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5" windowHeight="12390"/>
  </bookViews>
  <sheets>
    <sheet name="Patch_Unit" sheetId="1" r:id="rId1"/>
    <sheet name="deepseek-r1" sheetId="2" r:id="rId2"/>
    <sheet name="from u_q.ttl" sheetId="3" r:id="rId3"/>
  </sheets>
  <calcPr calcId="144525"/>
</workbook>
</file>

<file path=xl/sharedStrings.xml><?xml version="1.0" encoding="utf-8"?>
<sst xmlns="http://schemas.openxmlformats.org/spreadsheetml/2006/main" count="10356" uniqueCount="2286">
  <si>
    <t>ddhub:Unit</t>
  </si>
  <si>
    <t>ddhub:IsUnitForQuantity</t>
  </si>
  <si>
    <t>zzz:commonMnemonics</t>
  </si>
  <si>
    <t>standard?</t>
  </si>
  <si>
    <t>In demo?</t>
  </si>
  <si>
    <t>ddhub:IsUnitForQuantity by ChatGPT</t>
  </si>
  <si>
    <t>standard ddhub quantity</t>
  </si>
  <si>
    <t>with namespace</t>
  </si>
  <si>
    <t>ddhub:Aangstroem</t>
  </si>
  <si>
    <t>ddhub:LengthQuantity</t>
  </si>
  <si>
    <t>LengthQuantity</t>
  </si>
  <si>
    <t>AccelerationQuantity</t>
  </si>
  <si>
    <t>ddhub:Abampere</t>
  </si>
  <si>
    <t>ddhub:ElectricCurrentQuantity</t>
  </si>
  <si>
    <t>ElectricCurrentQuantity</t>
  </si>
  <si>
    <t>AmountSubstanceQuantity</t>
  </si>
  <si>
    <t>ddhub:Acre</t>
  </si>
  <si>
    <t>ddhub:AreaQuantity</t>
  </si>
  <si>
    <t>AreaQuantity</t>
  </si>
  <si>
    <t>AngleGradientPerLengthQuantity</t>
  </si>
  <si>
    <t>ddhub:Ampere</t>
  </si>
  <si>
    <t>A</t>
  </si>
  <si>
    <t>AngleMagneticFluxDensityQuantity</t>
  </si>
  <si>
    <t>ddhub:DepthDrillingQuantity</t>
  </si>
  <si>
    <t>ddhub:ArcMinute</t>
  </si>
  <si>
    <t>ddhub:PlaneAngleQuantity</t>
  </si>
  <si>
    <t>PlaneAngleQuantity</t>
  </si>
  <si>
    <t>AngularAccelerationQuantity</t>
  </si>
  <si>
    <t>ddhub:ArcSecond</t>
  </si>
  <si>
    <t>AngularVelocityQuantity</t>
  </si>
  <si>
    <t>ddhub:AstronomicalUnit</t>
  </si>
  <si>
    <t>MassDensityQuantity</t>
  </si>
  <si>
    <t>ddhub:MassDensityDrillingQuantity</t>
  </si>
  <si>
    <t>ddhub:AtomMassUnit</t>
  </si>
  <si>
    <t>ddhub:MassQuantity</t>
  </si>
  <si>
    <t>MassQuantity</t>
  </si>
  <si>
    <t>CompressibilityQuantity</t>
  </si>
  <si>
    <t>ddhub:Attowatt</t>
  </si>
  <si>
    <t>ddhub:PowerQuantity</t>
  </si>
  <si>
    <t>PowerQuantity</t>
  </si>
  <si>
    <t>CurvatureQuantity</t>
  </si>
  <si>
    <t>ddhub:Bar</t>
  </si>
  <si>
    <t>ddhub:StressQuantity ddhub:PressureQuantity</t>
  </si>
  <si>
    <t>PressureQuantity</t>
  </si>
  <si>
    <t>DimensionlessQuantity</t>
  </si>
  <si>
    <t>ddhub:BarPerMetre</t>
  </si>
  <si>
    <t>ddhub:PressureGradientPerLengthQuantity</t>
  </si>
  <si>
    <t>PressureGradientPerLengthQuantity</t>
  </si>
  <si>
    <t>DynamicViscosityQuantity</t>
  </si>
  <si>
    <t>ddhub:Barrel</t>
  </si>
  <si>
    <t>ddhub:VolumeQuantity</t>
  </si>
  <si>
    <t>VolumeQuantity</t>
  </si>
  <si>
    <t>ElectricCapacitanceQuantity</t>
  </si>
  <si>
    <t>VolumetricFlowRateQuantity</t>
  </si>
  <si>
    <t>ddhub:VolumetricFlowrateDrillingQuantity</t>
  </si>
  <si>
    <t>ddhub:BarrelPerDay</t>
  </si>
  <si>
    <t>ddhub:VolumetricFlowRateQuantity</t>
  </si>
  <si>
    <t>ddhub:BarrelPerHour</t>
  </si>
  <si>
    <t>ElectricResistivityQuantity</t>
  </si>
  <si>
    <t>ddhub:BarrelPerMinute</t>
  </si>
  <si>
    <t>ElongationGradientPerLengthQuantity</t>
  </si>
  <si>
    <t>ForceQuantity</t>
  </si>
  <si>
    <t>ddhub:HookLoadDrillingQuantity</t>
  </si>
  <si>
    <t>ddhub:BarrelPerSecond</t>
  </si>
  <si>
    <t>EnergyDensityQuantity</t>
  </si>
  <si>
    <t>ddhub:PositionDrillingQuantity</t>
  </si>
  <si>
    <t>ddhub:BarrelPerYear</t>
  </si>
  <si>
    <t>EnergyQuantity</t>
  </si>
  <si>
    <t>VelocityQuantity</t>
  </si>
  <si>
    <t>ddhub:BlockVelocityDrillingQuantity</t>
  </si>
  <si>
    <t>ddhub:BerlinerLichteinheit</t>
  </si>
  <si>
    <t>ddhub:LuminousIntensityQuantity</t>
  </si>
  <si>
    <t>LuminousIntensityQuantity</t>
  </si>
  <si>
    <t>ForceGradientPerLengthQuantity</t>
  </si>
  <si>
    <t>ddhub:Biot</t>
  </si>
  <si>
    <t>ddhub:BritishThermalUnit</t>
  </si>
  <si>
    <t>ddhub:EnergyQuantity</t>
  </si>
  <si>
    <t>FrequencyQuantity</t>
  </si>
  <si>
    <t>ddhub:BritishThermalUnitInchPerHourSquareFootDegreeFahrenheit</t>
  </si>
  <si>
    <t>ddhub:ThermalConductivityQuantity</t>
  </si>
  <si>
    <t>EnergyDensityGradientQuantity</t>
  </si>
  <si>
    <t>FrequencyRateOfChangeQuantity</t>
  </si>
  <si>
    <t>ddhub:RateOfPenetrationDrillingQuantity</t>
  </si>
  <si>
    <t>ddhub:BritishThermalUnitInchPerHourSquareFootDegreeFahrenheitSquared</t>
  </si>
  <si>
    <t>ddhub:ThermalConductivityGradientPerTemperatureQuantity</t>
  </si>
  <si>
    <t>HeatTransferQuantity</t>
  </si>
  <si>
    <t>GravitationalLoadQuantity</t>
  </si>
  <si>
    <t>ddhub:PressureDrillingQuantity</t>
  </si>
  <si>
    <t>ddhub:BritishThermalUnitPerCubicFoot</t>
  </si>
  <si>
    <t>ddhub:EnergyDensityQuantity</t>
  </si>
  <si>
    <t>HeatTransferCoefficientQuantity</t>
  </si>
  <si>
    <t>ddhub:RotationalFrequencyQuantity</t>
  </si>
  <si>
    <t>ddhub:BritishThermalUnitPerCubicInch</t>
  </si>
  <si>
    <t>HydraulicConductivityQuantity</t>
  </si>
  <si>
    <t>TorqueQuantity</t>
  </si>
  <si>
    <t>ddhub:TorqueDrillingQuantity</t>
  </si>
  <si>
    <t>ddhub:BritishThermalUnitPerCubicMetre</t>
  </si>
  <si>
    <t>InterfacialTensionQuantity</t>
  </si>
  <si>
    <t>ddhub:BritishThermalUnitPerGallonUk</t>
  </si>
  <si>
    <t>IsobaricSpecificHeatCapacityGradientPerTemperatureQuantity</t>
  </si>
  <si>
    <t>ddhub:BritishThermalUnitPerGallonUs</t>
  </si>
  <si>
    <t>IsobaricSpecificHeatCapacityQuantity</t>
  </si>
  <si>
    <t>ddhub:BritishThermalUnitPerHourFootDegreeFahrenheit</t>
  </si>
  <si>
    <t>ddhub:WeightOnBitDrillingQuantity</t>
  </si>
  <si>
    <t>ddhub:BritishThermalUnitPerHourFootDegreeFahrenheitSquared</t>
  </si>
  <si>
    <t>ddhub:BritishThermalUnitPerHourPerSquareFootPerDegreeFahrenheit</t>
  </si>
  <si>
    <t>ddhub:HeatTransferCoefficientQuantity</t>
  </si>
  <si>
    <t>MagneticFluxDensityQuantity</t>
  </si>
  <si>
    <t>ddhub:BritishThermalUnitPerLitre</t>
  </si>
  <si>
    <t>MagneticFluxQuantity</t>
  </si>
  <si>
    <t>ddhub:BritishThermalUnitPerPoundDegreeFahrenheit</t>
  </si>
  <si>
    <t>ddhub:IsobaricSpecificHeatCapacityQuantity</t>
  </si>
  <si>
    <t>MassDensityGradientPerLengthQuantity</t>
  </si>
  <si>
    <t>ddhub:BritishThermalUnitPerPoundSquaredDegreeFahrenheit</t>
  </si>
  <si>
    <t>ddhub:IsobaricSpecificHeatCapacityGradientPerTemperatureQuantity</t>
  </si>
  <si>
    <t>MassDensityGradientPerTemperatureQuantity</t>
  </si>
  <si>
    <t>ddhub:Calorie</t>
  </si>
  <si>
    <t>ddhub:CaloriePerCentimetreSecondDegreeCelsius</t>
  </si>
  <si>
    <t>MassDensityRateOfChangeQuantity</t>
  </si>
  <si>
    <t>ddhub:CaloriePerCentimetreSecondDegreeCelsiusSquared</t>
  </si>
  <si>
    <t>MassGradientPerLengthQuantity</t>
  </si>
  <si>
    <t>ddhub:CaloriePerCubicFoot</t>
  </si>
  <si>
    <t>ddhub:CaloriePerCubicInch</t>
  </si>
  <si>
    <t>MassRateQuantity</t>
  </si>
  <si>
    <t>ddhub:CaloriePerCubicMetre</t>
  </si>
  <si>
    <t>MaterialStrengthQuantity</t>
  </si>
  <si>
    <t>ddhub:CaloriePerGallonUk</t>
  </si>
  <si>
    <t>ddhub:CaloriePerGallonUs</t>
  </si>
  <si>
    <t>PorousMediumPermeabilityQuantity</t>
  </si>
  <si>
    <t>ddhub:CaloriePerGramDegreeCelsius</t>
  </si>
  <si>
    <t>SpecificHeatCapacityQuantity</t>
  </si>
  <si>
    <t>ddhub:CaloriePerGramDegreeSquaredCelsius</t>
  </si>
  <si>
    <t>ddhub:CaloriePerLitre</t>
  </si>
  <si>
    <t>PressureLossConstantQuantity</t>
  </si>
  <si>
    <t>ddhub:CaloriePerMetreSecondDegreeCelsius</t>
  </si>
  <si>
    <t>ddhub:CaloriePerMetreSecondDegreeCelsiusSquared</t>
  </si>
  <si>
    <t>ProportionQuantity</t>
  </si>
  <si>
    <t>ddhub:Candela</t>
  </si>
  <si>
    <t>RandomWalkQuantity</t>
  </si>
  <si>
    <t>ddhub:Carcel</t>
  </si>
  <si>
    <t>RelativeTemperatureQuantity</t>
  </si>
  <si>
    <t>ddhub:Celsius</t>
  </si>
  <si>
    <t>ddhub:TemperatureQuantity</t>
  </si>
  <si>
    <t>degC</t>
  </si>
  <si>
    <t>TemperatureQuantity</t>
  </si>
  <si>
    <t>RotationalFrequencyRateOfChangeQuantity</t>
  </si>
  <si>
    <t>ddhub:CelsiusPer100Foot</t>
  </si>
  <si>
    <t>ddhub:TemperatureGradientPerLengthQuantity</t>
  </si>
  <si>
    <t>ThermalConductivityGradientPerTemperatureQuantity</t>
  </si>
  <si>
    <t>SolidAngleQuantity</t>
  </si>
  <si>
    <t>ddhub:CelsiusPer100Metre</t>
  </si>
  <si>
    <t>TemperatureGradientQuantity</t>
  </si>
  <si>
    <t>StressQuantity</t>
  </si>
  <si>
    <t>ddhub:CelsiusPer10Metre</t>
  </si>
  <si>
    <t>TemperatureGradientPerLengthQuantity</t>
  </si>
  <si>
    <t>ddhub:CelsiusPer30Foot</t>
  </si>
  <si>
    <t>ddhub:CelsiusPer30Metre</t>
  </si>
  <si>
    <t>TensionQuantity</t>
  </si>
  <si>
    <t>ddhub:CelsiusPerFoot</t>
  </si>
  <si>
    <t>ddhub:CelsiusPerMetre</t>
  </si>
  <si>
    <t>ThermalConductivityQuantity</t>
  </si>
  <si>
    <t>ddhub:Centiampere</t>
  </si>
  <si>
    <t>TimeQuantity</t>
  </si>
  <si>
    <t>ddhub:Centigram</t>
  </si>
  <si>
    <t>TorqueGradientPerLengthQuantity</t>
  </si>
  <si>
    <t>ddhub:Centilitre</t>
  </si>
  <si>
    <t>cL</t>
  </si>
  <si>
    <t>ddhub:Centimetre</t>
  </si>
  <si>
    <t>cm</t>
  </si>
  <si>
    <t>ddhub:CentimetreMercuryAtZeroDegreeCelsius</t>
  </si>
  <si>
    <t>ddhub:PressureQuantity</t>
  </si>
  <si>
    <t>ddhub:CentimetrePerDay</t>
  </si>
  <si>
    <t>ddhub:VelocityQuantity</t>
  </si>
  <si>
    <t>VolumetricFlowRateOfChangeQuantity</t>
  </si>
  <si>
    <t>ddhub:CentimetrePerHour</t>
  </si>
  <si>
    <t>ddhub:CentimetrePerHourPerSecond</t>
  </si>
  <si>
    <t>ddhub:AccelerationQuantity</t>
  </si>
  <si>
    <t>WaveNumberQuantity</t>
  </si>
  <si>
    <t>ddhub:CentimetrePerKilometre</t>
  </si>
  <si>
    <t>ddhub:ElongationGradientPerLengthQuantity</t>
  </si>
  <si>
    <t>ddhub:CentimetrePerMetre</t>
  </si>
  <si>
    <t>ddhub:CentimetrePerMinute</t>
  </si>
  <si>
    <t>cm/min</t>
  </si>
  <si>
    <t>ddhub:CentimetrePerMinutePerSecond</t>
  </si>
  <si>
    <t>VelocityGradientQuantity</t>
  </si>
  <si>
    <t>ddhub:CentimetrePerSecond</t>
  </si>
  <si>
    <t>ddhub:VelocityQuantity ddhub:HydraulicConductivityQuantity</t>
  </si>
  <si>
    <t>cm/s</t>
  </si>
  <si>
    <t>ddhub:CentimetrePerSecondSquared</t>
  </si>
  <si>
    <t>cm/s2</t>
  </si>
  <si>
    <t>ddhub:CentimetreWaterAt4DegreeCelsius</t>
  </si>
  <si>
    <t>ddhub:Centimole</t>
  </si>
  <si>
    <t>ddhub:AmountSubstanceQuantity</t>
  </si>
  <si>
    <t>AmountOfSubstanceQuantity</t>
  </si>
  <si>
    <t>ddhub:Centipoise</t>
  </si>
  <si>
    <t>ddhub:DynamicViscosityQuantity</t>
  </si>
  <si>
    <t>ddhub:Centivolt</t>
  </si>
  <si>
    <t>ddhub:ElectricPotentialQuantity</t>
  </si>
  <si>
    <t>ElectricPotentialQuantity</t>
  </si>
  <si>
    <t>ddhub:Centiwatt</t>
  </si>
  <si>
    <t>ddhub:Century</t>
  </si>
  <si>
    <t>ddhub:TimeQuantity</t>
  </si>
  <si>
    <t>ddhub:Circle</t>
  </si>
  <si>
    <t>AngleQuantity</t>
  </si>
  <si>
    <t>ddhub:CoulombPerSecond</t>
  </si>
  <si>
    <t>ddhub:CoulombPerVolt</t>
  </si>
  <si>
    <t>ddhub:ElectricCapacitanceQuantity</t>
  </si>
  <si>
    <t>CapacitanceQuantity</t>
  </si>
  <si>
    <t>ddhub:CubicFoot</t>
  </si>
  <si>
    <t>ddhub:CubicFootPerDay</t>
  </si>
  <si>
    <t>VolumeFlowRateQuantity</t>
  </si>
  <si>
    <t>ddhub:CubicFootPerHour</t>
  </si>
  <si>
    <t>ddhub:CubicFootPerMinute</t>
  </si>
  <si>
    <t>ddhub:CubicFootPerSecond</t>
  </si>
  <si>
    <t>ddhub:CubicFootPerYear</t>
  </si>
  <si>
    <t>ddhub:CubicInch</t>
  </si>
  <si>
    <t>ddhub:CubicMetre</t>
  </si>
  <si>
    <t>m3,m^3</t>
  </si>
  <si>
    <t>ddhub:CubicMetrePerDay</t>
  </si>
  <si>
    <t>ddhub:CubicMetrePerHour</t>
  </si>
  <si>
    <t>ddhub:CubicMetrePerMinute</t>
  </si>
  <si>
    <t>ddhub:CubicMetrePerSecond</t>
  </si>
  <si>
    <t>ddhub:CubicMetrePerSecondSquared</t>
  </si>
  <si>
    <t>ddhub:VolumetricFlowRateOfChangeQuantity</t>
  </si>
  <si>
    <t>VolumetricAccelerationQuantity</t>
  </si>
  <si>
    <t>ddhub:CubicMetrePerYear</t>
  </si>
  <si>
    <t>ddhub:Darcy</t>
  </si>
  <si>
    <t>ddhub:PorousMediumPermeabilityQuantity</t>
  </si>
  <si>
    <t>PermeabilityQuantity</t>
  </si>
  <si>
    <t>ddhub:Day</t>
  </si>
  <si>
    <t>ddhub:Decade</t>
  </si>
  <si>
    <t>ddhub:Decagram</t>
  </si>
  <si>
    <t>ddhub:Decametre</t>
  </si>
  <si>
    <t>ddhub:Decanewton</t>
  </si>
  <si>
    <t>ddhub:TensionQuantity ddhub:ForceQuantity</t>
  </si>
  <si>
    <t>ddhub:DecanewtonMetre</t>
  </si>
  <si>
    <t>ddhub:TorqueQuantity</t>
  </si>
  <si>
    <t>ddhub:DecanewtonMetrePerCentimetre</t>
  </si>
  <si>
    <t>ddhub:TorqueGradientPerLengthQuantity</t>
  </si>
  <si>
    <t>ddhub:DecanewtonMetrePerDecimetre</t>
  </si>
  <si>
    <t>TorqueGradientQuantity</t>
  </si>
  <si>
    <t>ddhub:DecanewtonMetrePerFoot</t>
  </si>
  <si>
    <t>ddhub:DecanewtonMetrePerInch</t>
  </si>
  <si>
    <t>ddhub:DecanewtonMetrePerMetre</t>
  </si>
  <si>
    <t>ddhub:DecanewtonMetrePerMillimetre</t>
  </si>
  <si>
    <t>ddhub:DecanewtonPer10Metre</t>
  </si>
  <si>
    <t>ddhub:ForceGradientPerLengthQuantity</t>
  </si>
  <si>
    <t>ddhub:DecanewtonPer30Metre</t>
  </si>
  <si>
    <t>ForceGradientQuantity</t>
  </si>
  <si>
    <t>ddhub:DecanewtonPerCentimetre</t>
  </si>
  <si>
    <t>ddhub:DecanewtonPerDecimetre</t>
  </si>
  <si>
    <t>ddhub:DecanewtonPerMetre</t>
  </si>
  <si>
    <t>ddhub:DecanewtonPerMillimetre</t>
  </si>
  <si>
    <t>ddhub:Decawatt</t>
  </si>
  <si>
    <t>ddhub:Deciampere</t>
  </si>
  <si>
    <t>ddhub:Decilitre</t>
  </si>
  <si>
    <t>ddhub:DecimalCandle</t>
  </si>
  <si>
    <t>ddhub:Decimetre</t>
  </si>
  <si>
    <t>ddhub:DecimetrePerDay</t>
  </si>
  <si>
    <t>ddhub:DecimetrePerHour</t>
  </si>
  <si>
    <t>ddhub:DecimetrePerKilometre</t>
  </si>
  <si>
    <t>ddhub:DecimetrePerMetre</t>
  </si>
  <si>
    <t>ddhub:DecimetrePerMinute</t>
  </si>
  <si>
    <t>ddhub:DecimetrePerSecond</t>
  </si>
  <si>
    <t>ddhub:Decimole</t>
  </si>
  <si>
    <t>ddhub:Deciwatt</t>
  </si>
  <si>
    <t>ddhub:Degree</t>
  </si>
  <si>
    <t>deg</t>
  </si>
  <si>
    <t>ddhub:DegreeGauss</t>
  </si>
  <si>
    <t>ddhub:AngleMagneticFluxDensityQuantity</t>
  </si>
  <si>
    <t>ddhub:DegreeMaxwellPerSquareCentimetre</t>
  </si>
  <si>
    <t>ddhub:DegreeMicrotesla</t>
  </si>
  <si>
    <t>ddhub:DegreeMilligauss</t>
  </si>
  <si>
    <t>MagneticFieldStrengthQuantity</t>
  </si>
  <si>
    <t>ddhub:DegreeMillitesla</t>
  </si>
  <si>
    <t>ddhub:DegreeNanotesla</t>
  </si>
  <si>
    <t>ddhub:DegreePer100ft</t>
  </si>
  <si>
    <t>ddhub:CurvatureQuantity</t>
  </si>
  <si>
    <t>ddhub:DegreePer10m</t>
  </si>
  <si>
    <t>AngleGradientQuantity</t>
  </si>
  <si>
    <t>ddhub:DegreePer30ft</t>
  </si>
  <si>
    <t>ddhub:DegreePer30m</t>
  </si>
  <si>
    <t>ddhub:DegreePerCentimeter</t>
  </si>
  <si>
    <t>ddhub:DegreePerCentimetre</t>
  </si>
  <si>
    <t>ddhub:AngleGradientPerLengthQuantity</t>
  </si>
  <si>
    <t>ddhub:DegreePerDay</t>
  </si>
  <si>
    <t>ddhub:AngularVelocityQuantity</t>
  </si>
  <si>
    <t>ddhub:DegreePerDayPerHour</t>
  </si>
  <si>
    <t>ddhub:AngularAccelerationQuantity</t>
  </si>
  <si>
    <t>ddhub:DegreePerDayPerMinute</t>
  </si>
  <si>
    <t>ddhub:DegreePerDayPerSecond</t>
  </si>
  <si>
    <t>ddhub:DegreePerDaySquared</t>
  </si>
  <si>
    <t>ddhub:DegreePerDecameter</t>
  </si>
  <si>
    <t>ddhub:DegreePerDecimeter</t>
  </si>
  <si>
    <t>ddhub:DegreePerDecimetre</t>
  </si>
  <si>
    <t>ddhub:DegreePerFoot</t>
  </si>
  <si>
    <t>ddhub:CurvatureQuantity ddhub:AngleGradientPerLengthQuantity</t>
  </si>
  <si>
    <t>ddhub:DegreePerHectometer</t>
  </si>
  <si>
    <t>ddhub:DegreePerHour</t>
  </si>
  <si>
    <t>ddhub:DegreePerHourPerDay</t>
  </si>
  <si>
    <t>ddhub:DegreePerHourPerMinute</t>
  </si>
  <si>
    <t>ddhub:DegreePerHourPerSecond</t>
  </si>
  <si>
    <t>ddhub:DegreePerHourSquared</t>
  </si>
  <si>
    <t>ddhub:DegreePerInch</t>
  </si>
  <si>
    <t>ddhub:DegreePerKilometer</t>
  </si>
  <si>
    <t>ddhub:DegreePerMetre</t>
  </si>
  <si>
    <t>ddhub:DegreePerMicrometer</t>
  </si>
  <si>
    <t>ddhub:DegreePerMile</t>
  </si>
  <si>
    <t>ddhub:DegreePerMillimeter</t>
  </si>
  <si>
    <t>ddhub:DegreePerMillimetre</t>
  </si>
  <si>
    <t>ddhub:DegreePerMinute</t>
  </si>
  <si>
    <t>ddhub:DegreePerMinutePerDay</t>
  </si>
  <si>
    <t>ddhub:DegreePerMinutePerHour</t>
  </si>
  <si>
    <t>ddhub:DegreePerMinutePerSecond</t>
  </si>
  <si>
    <t>ddhub:DegreePerMinuteSquared</t>
  </si>
  <si>
    <t>ddhub:DegreePerNanometer</t>
  </si>
  <si>
    <t>ddhub:DegreePerSecond</t>
  </si>
  <si>
    <t>ddhub:DegreePerSecondPerDay</t>
  </si>
  <si>
    <t>ddhub:DegreePerSecondPerHour</t>
  </si>
  <si>
    <t>ddhub:DegreePerSecondPerMinute</t>
  </si>
  <si>
    <t>ddhub:DegreePerSecondSquared</t>
  </si>
  <si>
    <t>ddhub:DegreePerSquareRootDay</t>
  </si>
  <si>
    <t>ddhub:RandomWalkQuantity</t>
  </si>
  <si>
    <t>ddhub:DegreePerSquareRootHour</t>
  </si>
  <si>
    <t>ddhub:DegreePerSquareRootMinute</t>
  </si>
  <si>
    <t>ddhub:DegreePerSquareRootSecond</t>
  </si>
  <si>
    <t>ddhub:DegreePerYard</t>
  </si>
  <si>
    <t>ddhub:DegreeSquared</t>
  </si>
  <si>
    <t>ddhub:SolidAngleQuantity</t>
  </si>
  <si>
    <t>ddhub:DegreeTesla</t>
  </si>
  <si>
    <t>ddhub:DegreeWeberPerSquareMetre</t>
  </si>
  <si>
    <t>ddhub:Dimensionless</t>
  </si>
  <si>
    <t>ddhub:DimensionlessQuantity</t>
  </si>
  <si>
    <t>ddhub:DotPerInch</t>
  </si>
  <si>
    <t>zzz:TBD</t>
  </si>
  <si>
    <t>SurfaceDensityQuantity</t>
  </si>
  <si>
    <t>ddhub:DotPerMetre</t>
  </si>
  <si>
    <t>ddhub:DotPerMicrometre</t>
  </si>
  <si>
    <t>DensityQuantity</t>
  </si>
  <si>
    <t>ddhub:DotPerMillimetre</t>
  </si>
  <si>
    <t>ddhub:DvwgCandle</t>
  </si>
  <si>
    <t>ddhub:DynePerCentimetre</t>
  </si>
  <si>
    <t>ddhub:InterfacialTensionQuantity</t>
  </si>
  <si>
    <t>ddhub:DynePerSquareCentimetre</t>
  </si>
  <si>
    <t>ddhub:DyneSecondPerSquareCentimetre</t>
  </si>
  <si>
    <t>ddhub:EarthMass</t>
  </si>
  <si>
    <t>ddhub:Exawatt</t>
  </si>
  <si>
    <t>ddhub:Fahrenheit</t>
  </si>
  <si>
    <t>ddhub:FahrenheitPer100Foot</t>
  </si>
  <si>
    <t>ddhub:FahrenheitPer30Foot</t>
  </si>
  <si>
    <t>ddhub:FahrenheitPerFoot</t>
  </si>
  <si>
    <t>ddhub:Farad</t>
  </si>
  <si>
    <t>ddhub:Fathom</t>
  </si>
  <si>
    <t>ddhub:Femtowatt</t>
  </si>
  <si>
    <t>ddhub:Foot</t>
  </si>
  <si>
    <t>ft</t>
  </si>
  <si>
    <t>ddhub:FootPerDay</t>
  </si>
  <si>
    <t>ddhub:FootPerFoot</t>
  </si>
  <si>
    <t>ddhub:FootPerHour</t>
  </si>
  <si>
    <t>ddhub:FootPerHourPerSecond</t>
  </si>
  <si>
    <t>ddhub:FootPerMile</t>
  </si>
  <si>
    <t>ddhub:FootPerMinute</t>
  </si>
  <si>
    <t>ddhub:FootPerMinutePerSecond</t>
  </si>
  <si>
    <t>ddhub:FootPerSecond</t>
  </si>
  <si>
    <t>ddhub:FootPerSecondSquared</t>
  </si>
  <si>
    <t>ddhub:FootPerYard</t>
  </si>
  <si>
    <t>ddhub:FootPound</t>
  </si>
  <si>
    <t>ddhub:FootPoundPerCentimetre</t>
  </si>
  <si>
    <t>ddhub:FootPoundPerDecimetre</t>
  </si>
  <si>
    <t>ddhub:FootPoundPerFoot</t>
  </si>
  <si>
    <t>ddhub:FootPoundPerInch</t>
  </si>
  <si>
    <t>ddhub:FootPoundPerMetre</t>
  </si>
  <si>
    <t>ddhub:FootPoundPerMillimetre</t>
  </si>
  <si>
    <t>ddhub:FootWaterAt4DegreeCelsius</t>
  </si>
  <si>
    <t>ddhub:Fortnight</t>
  </si>
  <si>
    <t>ddhub:Furlong</t>
  </si>
  <si>
    <t>ddhub:FurlongPerFortnight</t>
  </si>
  <si>
    <t>ddhub:Galileo</t>
  </si>
  <si>
    <t>ddhub:Gauss</t>
  </si>
  <si>
    <t>ddhub:MagneticFluxDensityQuantity</t>
  </si>
  <si>
    <t>ddhub:GaussSquareCentimetre</t>
  </si>
  <si>
    <t>ddhub:MagneticFluxQuantity</t>
  </si>
  <si>
    <t>ddhub:Gigaampere</t>
  </si>
  <si>
    <t>ddhub:Gigahertz</t>
  </si>
  <si>
    <t>ddhub:FrequencyQuantity</t>
  </si>
  <si>
    <t>ddhub:GigaHertzPerDay</t>
  </si>
  <si>
    <t>ddhub:FrequencyRateOfChangeQuantity</t>
  </si>
  <si>
    <t>ddhub:GigaHertzPerHour</t>
  </si>
  <si>
    <t>ddhub:GigaHertzPerMinute</t>
  </si>
  <si>
    <t>ddhub:GigaHertzPerSecond</t>
  </si>
  <si>
    <t>ddhub:GigaHertzPerYear</t>
  </si>
  <si>
    <t>ddhub:Gigajoule</t>
  </si>
  <si>
    <t>GJ</t>
  </si>
  <si>
    <t>ddhub:GigajoulePerCubicFoot</t>
  </si>
  <si>
    <t>ddhub:GigajoulePerCubicInch</t>
  </si>
  <si>
    <t>ddhub:GigajoulePerCubicMetre</t>
  </si>
  <si>
    <t>ddhub:GigajoulePerGallonUk</t>
  </si>
  <si>
    <t>ddhub:GigajoulePerGallonUs</t>
  </si>
  <si>
    <t>ddhub:GigajoulePerLitre</t>
  </si>
  <si>
    <t>ddhub:GigaOhmMetre</t>
  </si>
  <si>
    <t>ddhub:ElectricResistivityQuantity</t>
  </si>
  <si>
    <t>ElectricalResistanceQuantity</t>
  </si>
  <si>
    <t>ddhub:Gigapascal</t>
  </si>
  <si>
    <t>ddhub:StressQuantity ddhub:PressureQuantity ddhub:MaterialStrengthQuantity</t>
  </si>
  <si>
    <t>GPa</t>
  </si>
  <si>
    <t>ddhub:Gigatonne</t>
  </si>
  <si>
    <t>ddhub:Gigavolt</t>
  </si>
  <si>
    <t>GV</t>
  </si>
  <si>
    <t>ddhub:Gigawatt</t>
  </si>
  <si>
    <t>GW</t>
  </si>
  <si>
    <t>ddhub:Gon</t>
  </si>
  <si>
    <t>ddhub:Grad</t>
  </si>
  <si>
    <t>ddhub:Grain</t>
  </si>
  <si>
    <t>ddhub:Gram</t>
  </si>
  <si>
    <t>g</t>
  </si>
  <si>
    <t>ddhub:GramPerCubicCentimetre</t>
  </si>
  <si>
    <t>ddhub:MassDensityQuantity</t>
  </si>
  <si>
    <t>ddhub:GramPerCubicCentimetrePer100Metre</t>
  </si>
  <si>
    <t>ddhub:MassDensityGradientPerLengthQuantity</t>
  </si>
  <si>
    <t>MassDensityGradientQuantity</t>
  </si>
  <si>
    <t>ddhub:GramPerCubicCentimetrePer10Metre</t>
  </si>
  <si>
    <t>ddhub:GramPerCubicCentimetrePer30Metre</t>
  </si>
  <si>
    <t>ddhub:GramPerCubicCentimetrePerCelsius</t>
  </si>
  <si>
    <t>ddhub:MassDensityGradientPerTemperatureQuantity</t>
  </si>
  <si>
    <t>MassDensityTemperatureGradientQuantity</t>
  </si>
  <si>
    <t>ddhub:GramPerCubicCentimetrePerHour</t>
  </si>
  <si>
    <t>ddhub:MassDensityRateOfChangeQuantity</t>
  </si>
  <si>
    <t>ddhub:GramPerCubicCentimetrePerMetre</t>
  </si>
  <si>
    <t>ddhub:GramPerCubicCentimetrePerMinute</t>
  </si>
  <si>
    <t>ddhub:GramPerCubicCentimetrePerSecond</t>
  </si>
  <si>
    <t>ddhub:GramPerCubicMetre</t>
  </si>
  <si>
    <t>ddhub:GramPerMetre</t>
  </si>
  <si>
    <t>ddhub:MassGradientPerLengthQuantity</t>
  </si>
  <si>
    <t>ddhub:GravityStandard</t>
  </si>
  <si>
    <t>ddhub:Hand</t>
  </si>
  <si>
    <t>ddhub:Hectare</t>
  </si>
  <si>
    <t>ddhub:Hectogram</t>
  </si>
  <si>
    <t>ddhub:Hectometre</t>
  </si>
  <si>
    <t>ddhub:Hectowatt</t>
  </si>
  <si>
    <t>ddhub:Hefnerkerze</t>
  </si>
  <si>
    <t>ddhub:Hertz</t>
  </si>
  <si>
    <t>Hz</t>
  </si>
  <si>
    <t>ddhub:HertzPerDay</t>
  </si>
  <si>
    <t>ddhub:HertzPerHour</t>
  </si>
  <si>
    <t>ddhub:HertzPerMinute</t>
  </si>
  <si>
    <t>ddhub:HertzPerSecond</t>
  </si>
  <si>
    <t>ddhub:FrequencyRateOfChangeQuantity ddhub:RotationalFrequencyRateOfChangeQuantity</t>
  </si>
  <si>
    <t>ddhub:HertzPerYear</t>
  </si>
  <si>
    <t>ddhub:Hour</t>
  </si>
  <si>
    <t>h</t>
  </si>
  <si>
    <t>ddhub:HundredWeights</t>
  </si>
  <si>
    <t>ddhub:Inch</t>
  </si>
  <si>
    <t>ddhub:InchMercuryAt32DegreeFahrenheit</t>
  </si>
  <si>
    <t>ddhub:InchMercuryAt60DegreeFahrenheit</t>
  </si>
  <si>
    <t>ddhub:InchPer32</t>
  </si>
  <si>
    <t>ddhub:InchPerDay</t>
  </si>
  <si>
    <t>ddhub:InchPerFoot</t>
  </si>
  <si>
    <t>ddhub:InchPerHour</t>
  </si>
  <si>
    <t>ddhub:InchPerHourPerSecond</t>
  </si>
  <si>
    <t>ddhub:InchPerMile</t>
  </si>
  <si>
    <t>ddhub:InchPerMinute</t>
  </si>
  <si>
    <t>ddhub:InchPerMinutePerSecond</t>
  </si>
  <si>
    <t>ddhub:InchPerSecond</t>
  </si>
  <si>
    <t>ddhub:InchPerSecondSquared</t>
  </si>
  <si>
    <t>ddhub:InchPerYard</t>
  </si>
  <si>
    <t>ddhub:InchPound</t>
  </si>
  <si>
    <t>ddhub:InchPoundPerCentimetre</t>
  </si>
  <si>
    <t>ddhub:InchPoundPerDecimetre</t>
  </si>
  <si>
    <t>ddhub:InchPoundPerFoot</t>
  </si>
  <si>
    <t>ddhub:InchPoundPerInch</t>
  </si>
  <si>
    <t>ddhub:InchPoundPerMetre</t>
  </si>
  <si>
    <t>ddhub:InchPoundPerMillimetre</t>
  </si>
  <si>
    <t>ddhub:InchWaterAt4DegreeCelsius</t>
  </si>
  <si>
    <t>ddhub:InternationalCandle</t>
  </si>
  <si>
    <t>ddhub:InternationalNauticalMile</t>
  </si>
  <si>
    <t>ddhub:InverseAtmosphere</t>
  </si>
  <si>
    <t>ddhub:CompressibilityQuantity</t>
  </si>
  <si>
    <t>ddhub:InverseBar</t>
  </si>
  <si>
    <t>ddhub:InversePascal</t>
  </si>
  <si>
    <t>ddhub:InversePoundPerSquareInch</t>
  </si>
  <si>
    <t>ddhub:Joule</t>
  </si>
  <si>
    <t>J</t>
  </si>
  <si>
    <t>ddhub:JoulePerCubicFoot</t>
  </si>
  <si>
    <t>ddhub:JoulePerCubicInch</t>
  </si>
  <si>
    <t>ddhub:JoulePerCubicMetre</t>
  </si>
  <si>
    <t>ddhub:JoulePerGallonUk</t>
  </si>
  <si>
    <t>ddhub:JoulePerGallonUs</t>
  </si>
  <si>
    <t>ddhub:JoulePerGramDegreeCelsius</t>
  </si>
  <si>
    <t>SpecificEnergyQuantity</t>
  </si>
  <si>
    <t>ddhub:JoulePerGramDegreeSquaredCelsius</t>
  </si>
  <si>
    <t>ddhub:JoulePerGramKelvin</t>
  </si>
  <si>
    <t>ddhub:JoulePerGramSquaredKelvin</t>
  </si>
  <si>
    <t>ddhub:JoulePerKilogramKelvin</t>
  </si>
  <si>
    <t>ddhub:JoulePerKilogramSquaredKelvin</t>
  </si>
  <si>
    <t>ddhub:JoulePerLitre</t>
  </si>
  <si>
    <t>ddhub:Kelvin</t>
  </si>
  <si>
    <t>ddhub:RelativeTemperatureQuantity ddhub:TemperatureQuantity</t>
  </si>
  <si>
    <t>ddhub:KelvinPerMetre</t>
  </si>
  <si>
    <t>ddhub:Kiloampere</t>
  </si>
  <si>
    <t>ddhub:KiloBritishThermalUnit</t>
  </si>
  <si>
    <t>ddhub:KiloBritishThermalUnitPerCubicFoot</t>
  </si>
  <si>
    <t>ddhub:KiloBritishThermalUnitPerCubicInch</t>
  </si>
  <si>
    <t>ddhub:KiloBritishThermalUnitPerCubicMetre</t>
  </si>
  <si>
    <t>ddhub:KiloBritishThermalUnitPerGallonUk</t>
  </si>
  <si>
    <t>ddhub:KiloBritishThermalUnitPerGallonUs</t>
  </si>
  <si>
    <t>ddhub:KiloBritishThermalUnitPerLitre</t>
  </si>
  <si>
    <t>ddhub:Kilocalorie</t>
  </si>
  <si>
    <t>ddhub:KilocaloriePerCubicFoot</t>
  </si>
  <si>
    <t>ddhub:KilocaloriePerCubicInch</t>
  </si>
  <si>
    <t>ddhub:KilocaloriePerCubicMetre</t>
  </si>
  <si>
    <t>ddhub:KilocaloriePerGallonUk</t>
  </si>
  <si>
    <t>ddhub:KilocaloriePerGallonUs</t>
  </si>
  <si>
    <t>ddhub:KilocaloriePerGramDegreeCelsius</t>
  </si>
  <si>
    <t>EnergySpecificHeatQuantity</t>
  </si>
  <si>
    <t>ddhub:KilocaloriePerLitre</t>
  </si>
  <si>
    <t>ddhub:Kilocandela</t>
  </si>
  <si>
    <t>ddhub:Kilodecanewton</t>
  </si>
  <si>
    <t>ddhub:KilofootPound</t>
  </si>
  <si>
    <t>ddhub:KilofootPoundPerCentimetre</t>
  </si>
  <si>
    <t>ddhub:KilofootPoundPerDecimetre</t>
  </si>
  <si>
    <t>ddhub:KilofootPoundPerFoot</t>
  </si>
  <si>
    <t>ddhub:KilofootPoundPerInch</t>
  </si>
  <si>
    <t>ddhub:KilofootPoundPerMetre</t>
  </si>
  <si>
    <t>ddhub:KilofootPoundPerMillimetre</t>
  </si>
  <si>
    <t>ddhub:Kilogram</t>
  </si>
  <si>
    <t>kg</t>
  </si>
  <si>
    <t>ddhub:KilogramForce</t>
  </si>
  <si>
    <t>ddhub:TensionQuantity ddhub:ForceQuantity ddhub:GravitationalLoadQuantity</t>
  </si>
  <si>
    <t>kgf</t>
  </si>
  <si>
    <t>ddhub:KilogramForceMetre</t>
  </si>
  <si>
    <t>ddhub:KilogramForceMetrePerCentimetre</t>
  </si>
  <si>
    <t>ddhub:KilogramForceMetrePerDecimetre</t>
  </si>
  <si>
    <t>ddhub:KilogramForceMetrePerFoot</t>
  </si>
  <si>
    <t>ddhub:KilogramForceMetrePerInch</t>
  </si>
  <si>
    <t>ddhub:KilogramForceMetrePerMetre</t>
  </si>
  <si>
    <t>ddhub:KilogramForceMetrePerMillimetre</t>
  </si>
  <si>
    <t>ddhub:KilogramPerCubicMetre</t>
  </si>
  <si>
    <t>ddhub:KilogramPerCubicMetrePer100Metre</t>
  </si>
  <si>
    <t>ddhub:KilogramPerCubicMetrePer10Metre</t>
  </si>
  <si>
    <t>ddhub:KilogramPerCubicMetrePer30Metre</t>
  </si>
  <si>
    <t>ddhub:KilogramPerCubicMetrePerKelvin</t>
  </si>
  <si>
    <t>ddhub:KilogramPerCubicMetrePerMetre</t>
  </si>
  <si>
    <t>ddhub:KilogramPerCubicMetrePerSecond</t>
  </si>
  <si>
    <t>MassFlowRateQuantity</t>
  </si>
  <si>
    <t>ddhub:KilogramPerHour</t>
  </si>
  <si>
    <t>ddhub:MassRateQuantity</t>
  </si>
  <si>
    <t>ddhub:KilogramPerMetre</t>
  </si>
  <si>
    <t>LinearDensityQuantity</t>
  </si>
  <si>
    <t>ddhub:KilogramPerMinute</t>
  </si>
  <si>
    <t>ddhub:KilogramPerSecond</t>
  </si>
  <si>
    <t>ddhub:KilogramPerYear</t>
  </si>
  <si>
    <t>ddhub:Kilohertz</t>
  </si>
  <si>
    <t>kHz</t>
  </si>
  <si>
    <t>ddhub:KiloHertzPerDay</t>
  </si>
  <si>
    <t>ddhub:KiloHertzPerHour</t>
  </si>
  <si>
    <t>ddhub:KiloHertzPerMinute</t>
  </si>
  <si>
    <t>ddhub:KiloHertzPerSecond</t>
  </si>
  <si>
    <t>ddhub:KiloHertzPerYear</t>
  </si>
  <si>
    <t>ddhub:Kilojoule</t>
  </si>
  <si>
    <t>kJ</t>
  </si>
  <si>
    <t>ddhub:KilojoulePerCubicFoot</t>
  </si>
  <si>
    <t>ddhub:KilojoulePerCubicInch</t>
  </si>
  <si>
    <t>ddhub:KilojoulePerCubicMetre</t>
  </si>
  <si>
    <t>ddhub:KilojoulePerGallonUk</t>
  </si>
  <si>
    <t>ddhub:KilojoulePerGallonUs</t>
  </si>
  <si>
    <t>ddhub:KilojoulePerLitre</t>
  </si>
  <si>
    <t>ddhub:Kiloline</t>
  </si>
  <si>
    <t>ddhub:Kilometre</t>
  </si>
  <si>
    <t>km</t>
  </si>
  <si>
    <t>ddhub:KilometrePerDay</t>
  </si>
  <si>
    <t>ddhub:KilometrePerHour</t>
  </si>
  <si>
    <t>ddhub:KilometrePerHourPerSecond</t>
  </si>
  <si>
    <t>ddhub:KilometrePerMinute</t>
  </si>
  <si>
    <t>ddhub:KilometrePerMinutePerSecond</t>
  </si>
  <si>
    <t>ddhub:KilometrePerSecond</t>
  </si>
  <si>
    <t>ddhub:KilometrePerSecondSquared</t>
  </si>
  <si>
    <t>ddhub:Kilomole</t>
  </si>
  <si>
    <t>ddhub:Kilonewton</t>
  </si>
  <si>
    <t>kN</t>
  </si>
  <si>
    <t>ddhub:KilonewtonMetre</t>
  </si>
  <si>
    <t>kN.m</t>
  </si>
  <si>
    <t>ddhub:KilonewtonMetrePerCentimetre</t>
  </si>
  <si>
    <t>ddhub:KilonewtonMetrePerDecimetre</t>
  </si>
  <si>
    <t>ddhub:KilonewtonMetrePerFoot</t>
  </si>
  <si>
    <t>ddhub:KilonewtonMetrePerInch</t>
  </si>
  <si>
    <t>ddhub:KilonewtonMetrePerMetre</t>
  </si>
  <si>
    <t>ddhub:KilonewtonMetrePerMillimetre</t>
  </si>
  <si>
    <t>ddhub:KilonewtonPer10Metre</t>
  </si>
  <si>
    <t>ddhub:KilonewtonPer30Metre</t>
  </si>
  <si>
    <t>ddhub:KilonewtonPerCentimetre</t>
  </si>
  <si>
    <t>ddhub:KilonewtonPerDecimetre</t>
  </si>
  <si>
    <t>ddhub:KilonewtonPerMetre</t>
  </si>
  <si>
    <t>ddhub:KilonewtonPerMillimetre</t>
  </si>
  <si>
    <t>ddhub:KilonewtonPerSquareMetre</t>
  </si>
  <si>
    <t>ddhub:KiloOhmMetre</t>
  </si>
  <si>
    <t>ddhub:Kilopascal</t>
  </si>
  <si>
    <t>kPa</t>
  </si>
  <si>
    <t>ddhub:Kilopound</t>
  </si>
  <si>
    <t>ddhub:KilopoundForce</t>
  </si>
  <si>
    <t>ddhub:KilopoundPer100Foot</t>
  </si>
  <si>
    <t>ddhub:KilopoundPer30Foot</t>
  </si>
  <si>
    <t>ddhub:KilopoundPerFoot</t>
  </si>
  <si>
    <t>ddhub:KilopoundPerInch</t>
  </si>
  <si>
    <t>ddhub:KilopoundPerSquareInch</t>
  </si>
  <si>
    <t>ddhub:Kilotonne</t>
  </si>
  <si>
    <t>ddhub:Kilovolt</t>
  </si>
  <si>
    <t>kV</t>
  </si>
  <si>
    <t>ddhub:Kilowatt</t>
  </si>
  <si>
    <t>kW</t>
  </si>
  <si>
    <t>ddhub:KnotPerSecond</t>
  </si>
  <si>
    <t>ddhub:LightYear</t>
  </si>
  <si>
    <t>ddhub:Line</t>
  </si>
  <si>
    <t>ddhub:Litre</t>
  </si>
  <si>
    <t>ddhub:LitrePerDay</t>
  </si>
  <si>
    <t>ddhub:LitrePerHour</t>
  </si>
  <si>
    <t>ddhub:LitrePerMinute</t>
  </si>
  <si>
    <t>ddhub:LitrePerMinutePerSecond</t>
  </si>
  <si>
    <t>ddhub:LitrePerMinuteSquared</t>
  </si>
  <si>
    <t>ddhub:LitrePerSecond</t>
  </si>
  <si>
    <t>ddhub:LitrePerSecondSquared</t>
  </si>
  <si>
    <t>ddhub:LitrePerYear</t>
  </si>
  <si>
    <t>ddhub:LumenPerSteradian</t>
  </si>
  <si>
    <t>ddhub:MagneticFluxQuantum</t>
  </si>
  <si>
    <t>ddhub:Maxwell</t>
  </si>
  <si>
    <t>ddhub:MaxwellPerSquareCentimetre</t>
  </si>
  <si>
    <t>ddhub:Megaampere</t>
  </si>
  <si>
    <t>ddhub:MegaBritishThermalUnit</t>
  </si>
  <si>
    <t>ddhub:Megahertz</t>
  </si>
  <si>
    <t>MHz</t>
  </si>
  <si>
    <t>ddhub:MegaHertzPerDay</t>
  </si>
  <si>
    <t>ddhub:MegaHertzPerHour</t>
  </si>
  <si>
    <t>ddhub:MegaHertzPerMinute</t>
  </si>
  <si>
    <t>ddhub:MegaHertzPerSecond</t>
  </si>
  <si>
    <t>ddhub:MegaHertzPerYear</t>
  </si>
  <si>
    <t>ddhub:Megajoule</t>
  </si>
  <si>
    <t>MJ</t>
  </si>
  <si>
    <t>ddhub:MegajoulePerCubicFoot</t>
  </si>
  <si>
    <t>ddhub:MegajoulePerCubicInch</t>
  </si>
  <si>
    <t>ddhub:MegajoulePerCubicMetre</t>
  </si>
  <si>
    <t>ddhub:MegajoulePerGallonUk</t>
  </si>
  <si>
    <t>ddhub:MegajoulePerGallonUs</t>
  </si>
  <si>
    <t>ddhub:MegajoulePerLitre</t>
  </si>
  <si>
    <t>ddhub:Megaline</t>
  </si>
  <si>
    <t>ddhub:MegaOhmMetre</t>
  </si>
  <si>
    <t>ddhub:Megapascal</t>
  </si>
  <si>
    <t>MPa</t>
  </si>
  <si>
    <t>ddhub:MegapoundPerSquareInch</t>
  </si>
  <si>
    <t>ddhub:Megatonne</t>
  </si>
  <si>
    <t>ddhub:Megavolt</t>
  </si>
  <si>
    <t>MV</t>
  </si>
  <si>
    <t>ElectricPotentialDifferenceQuantity</t>
  </si>
  <si>
    <t>ddhub:Megawatt</t>
  </si>
  <si>
    <t>MW</t>
  </si>
  <si>
    <t>ddhub:Metre</t>
  </si>
  <si>
    <t>m</t>
  </si>
  <si>
    <t>ddhub:MetrePerDay</t>
  </si>
  <si>
    <t>ddhub:MetrePerHour</t>
  </si>
  <si>
    <t>ddhub:MetrePerKilometre</t>
  </si>
  <si>
    <t>ddhub:MetrePerMetre</t>
  </si>
  <si>
    <t>ddhub:MetrePerMinute</t>
  </si>
  <si>
    <t>ddhub:MetrePerSecond</t>
  </si>
  <si>
    <t>ddhub:MetrePerSecondPerMillisecond</t>
  </si>
  <si>
    <t>ddhub:MetrePerSecondSquared</t>
  </si>
  <si>
    <t>ddhub:Microampere</t>
  </si>
  <si>
    <t>ddhub:Microbar</t>
  </si>
  <si>
    <t>ddhub:Microdarcy</t>
  </si>
  <si>
    <t>ddhub:Microfarad</t>
  </si>
  <si>
    <t>ddhub:Microgram</t>
  </si>
  <si>
    <t>mg</t>
  </si>
  <si>
    <t>ddhub:Micrometre</t>
  </si>
  <si>
    <t>mm</t>
  </si>
  <si>
    <t>ddhub:MicrometrePerKilometre</t>
  </si>
  <si>
    <t>ddhub:MicrometrePerMetre</t>
  </si>
  <si>
    <t>ddhub:Micromole</t>
  </si>
  <si>
    <t>ddhub:MicropascalSecond</t>
  </si>
  <si>
    <t>ddhub:Micropoise</t>
  </si>
  <si>
    <t>ddhub:Microsecond</t>
  </si>
  <si>
    <t>ms</t>
  </si>
  <si>
    <t>ddhub:Microtesla</t>
  </si>
  <si>
    <t>ddhub:Microvolt</t>
  </si>
  <si>
    <t>mV</t>
  </si>
  <si>
    <t>ddhub:Microwatt</t>
  </si>
  <si>
    <t>mW</t>
  </si>
  <si>
    <t>ddhub:Microweber</t>
  </si>
  <si>
    <t>ddhub:Mil</t>
  </si>
  <si>
    <t>ddhub:Mile</t>
  </si>
  <si>
    <t>ddhub:MilePerDay</t>
  </si>
  <si>
    <t>ddhub:MilePerHour</t>
  </si>
  <si>
    <t>ddhub:MilePerHourPerSecond</t>
  </si>
  <si>
    <t>ddhub:MilePerMinute</t>
  </si>
  <si>
    <t>ddhub:MilePerMinutePerSecond</t>
  </si>
  <si>
    <t>ddhub:MilePerSecond</t>
  </si>
  <si>
    <t>ddhub:MilePerSecondSquared</t>
  </si>
  <si>
    <t>ddhub:Millenia</t>
  </si>
  <si>
    <t>ddhub:Milliampere</t>
  </si>
  <si>
    <t>ddhub:Millibar</t>
  </si>
  <si>
    <t>ddhub:Millicandela</t>
  </si>
  <si>
    <t>ddhub:Millidarcy</t>
  </si>
  <si>
    <t>ddhub:Millifarad</t>
  </si>
  <si>
    <t>ddhub:Milligauss</t>
  </si>
  <si>
    <t>ddhub:Milligram</t>
  </si>
  <si>
    <t>ddhub:Millilitre</t>
  </si>
  <si>
    <t>ddhub:Millimetre</t>
  </si>
  <si>
    <t>ddhub:MillimetreMercuryAtZeroDegreeCelsius</t>
  </si>
  <si>
    <t>ddhub:MillimetrePerDay</t>
  </si>
  <si>
    <t>ddhub:MillimetrePerHour</t>
  </si>
  <si>
    <t>ddhub:MillimetrePerKilometre</t>
  </si>
  <si>
    <t>ddhub:MillimetrePerMetre</t>
  </si>
  <si>
    <t>ddhub:MillimetrePerMinute</t>
  </si>
  <si>
    <t>ddhub:MillimetrePerSecond</t>
  </si>
  <si>
    <t>ddhub:MillimetreWaterAt4DegreeCelsius</t>
  </si>
  <si>
    <t>ddhub:Millimole</t>
  </si>
  <si>
    <t>ddhub:MillinewtonPerMetre</t>
  </si>
  <si>
    <t>ddhub:MillionBarrel</t>
  </si>
  <si>
    <t>ddhub:MillionCubicMetre</t>
  </si>
  <si>
    <t>ddhub:MillionCubicMetrePerDay</t>
  </si>
  <si>
    <t>ddhub:MillionLiterPerDay</t>
  </si>
  <si>
    <t>ddhub:MillionLitre</t>
  </si>
  <si>
    <t>ddhub:MillionStandardCubicFoot</t>
  </si>
  <si>
    <t>ddhub:MillionStandardCubicFootPerDay</t>
  </si>
  <si>
    <t>ddhub:MillionUkGallon</t>
  </si>
  <si>
    <t>ddhub:MillionUkGallonPerDay</t>
  </si>
  <si>
    <t>ddhub:MillionUsGallon</t>
  </si>
  <si>
    <t>ddhub:MillionUsGallonPerDay</t>
  </si>
  <si>
    <t>ddhub:MillionYear</t>
  </si>
  <si>
    <t>ddhub:MillipascalSecond</t>
  </si>
  <si>
    <t>ddhub:Millipoise</t>
  </si>
  <si>
    <t>ddhub:Milliradian</t>
  </si>
  <si>
    <t>ddhub:Millisecond</t>
  </si>
  <si>
    <t>ddhub:Millitesla</t>
  </si>
  <si>
    <t>ddhub:Millivolt</t>
  </si>
  <si>
    <t>ddhub:Milliwatt</t>
  </si>
  <si>
    <t>ddhub:Milliweber</t>
  </si>
  <si>
    <t>ddhub:Minute</t>
  </si>
  <si>
    <t>min</t>
  </si>
  <si>
    <t>ddhub:Mole</t>
  </si>
  <si>
    <t>mol</t>
  </si>
  <si>
    <t>ddhub:MonthCommon</t>
  </si>
  <si>
    <t>ddhub:MonthSideral</t>
  </si>
  <si>
    <t>ddhub:MonthSynodic</t>
  </si>
  <si>
    <t>ddhub:Nanoampere</t>
  </si>
  <si>
    <t>nA</t>
  </si>
  <si>
    <t>ddhub:Nanodarcy</t>
  </si>
  <si>
    <t>ddhub:Nanofarad</t>
  </si>
  <si>
    <t>ddhub:Nanogram</t>
  </si>
  <si>
    <t>ng</t>
  </si>
  <si>
    <t>ddhub:Nanometre</t>
  </si>
  <si>
    <t>nm</t>
  </si>
  <si>
    <t>ddhub:Nanomole</t>
  </si>
  <si>
    <t>nmol</t>
  </si>
  <si>
    <t>ddhub:Nanosecond</t>
  </si>
  <si>
    <t>ns</t>
  </si>
  <si>
    <t>ddhub:Nanotesla</t>
  </si>
  <si>
    <t>nT</t>
  </si>
  <si>
    <t>ddhub:Nanovolt</t>
  </si>
  <si>
    <t>nV</t>
  </si>
  <si>
    <t>ddhub:Nanowatt</t>
  </si>
  <si>
    <t>nW</t>
  </si>
  <si>
    <t>ddhub:Newton</t>
  </si>
  <si>
    <t>N</t>
  </si>
  <si>
    <t>ddhub:NewtonCentimetre</t>
  </si>
  <si>
    <t>N.cm</t>
  </si>
  <si>
    <t>ddhub:NewtonCentimetrePerCentimetre</t>
  </si>
  <si>
    <t>ddhub:NewtonCentimetrePerDecimetre</t>
  </si>
  <si>
    <t>ddhub:NewtonCentimetrePerFoot</t>
  </si>
  <si>
    <t>ddhub:NewtonCentimetrePerInch</t>
  </si>
  <si>
    <t>ddhub:NewtonCentimetrePerMetre</t>
  </si>
  <si>
    <t>ddhub:NewtonCentimetrePerMillimetre</t>
  </si>
  <si>
    <t>ddhub:NewtonDecimetre</t>
  </si>
  <si>
    <t>ddhub:NewtonDecimetrePerCentimetre</t>
  </si>
  <si>
    <t>ddhub:NewtonDecimetrePerDecimetre</t>
  </si>
  <si>
    <t>ddhub:NewtonDecimetrePerFoot</t>
  </si>
  <si>
    <t>ddhub:NewtonDecimetrePerInch</t>
  </si>
  <si>
    <t>ddhub:NewtonDecimetrePerMetre</t>
  </si>
  <si>
    <t>ddhub:NewtonDecimetrePerMillimetre</t>
  </si>
  <si>
    <t>ddhub:NewtonMetre</t>
  </si>
  <si>
    <t>N.m</t>
  </si>
  <si>
    <t>ddhub:NewtonMetrePerCentimetre</t>
  </si>
  <si>
    <t>ddhub:NewtonMetrePerDecimetre</t>
  </si>
  <si>
    <t>ddhub:NewtonMetrePerFoot</t>
  </si>
  <si>
    <t>ddhub:NewtonMetrePerInch</t>
  </si>
  <si>
    <t>ddhub:NewtonMetrePerMetre</t>
  </si>
  <si>
    <t>ddhub:NewtonMetrePerMillimetre</t>
  </si>
  <si>
    <t>ddhub:NewtonMillimetre</t>
  </si>
  <si>
    <t>ddhub:NewtonMillimetrePerCentimetre</t>
  </si>
  <si>
    <t>ddhub:NewtonMillimetrePerDecimetre</t>
  </si>
  <si>
    <t>ddhub:NewtonMillimetrePerFoot</t>
  </si>
  <si>
    <t>ddhub:NewtonMillimetrePerInch</t>
  </si>
  <si>
    <t>ddhub:NewtonMillimetrePerMetre</t>
  </si>
  <si>
    <t>ddhub:NewtonMillimetrePerMillimetre</t>
  </si>
  <si>
    <t>ddhub:NewtonPer10Metre</t>
  </si>
  <si>
    <t>ddhub:NewtonPer30Metre</t>
  </si>
  <si>
    <t>ddhub:NewtonPerCentimetre</t>
  </si>
  <si>
    <t>ddhub:NewtonPerDecimetre</t>
  </si>
  <si>
    <t>ddhub:NewtonPerMetre</t>
  </si>
  <si>
    <t>ddhub:ForceGradientPerLengthQuantity ddhub:InterfacialTensionQuantity</t>
  </si>
  <si>
    <t>N/m</t>
  </si>
  <si>
    <t>ddhub:NewtonPerMillimetre</t>
  </si>
  <si>
    <t>ddhub:NewtonPerSquareCentimetre</t>
  </si>
  <si>
    <t>ddhub:NewtonPerSquareMetre</t>
  </si>
  <si>
    <t>ddhub:NewtonPerSquareMillimetre</t>
  </si>
  <si>
    <t>ddhub:Octant</t>
  </si>
  <si>
    <t>ddhub:OhmMetre</t>
  </si>
  <si>
    <t>ddhub:Ounce</t>
  </si>
  <si>
    <t>ddhub:Parsec</t>
  </si>
  <si>
    <t>ddhub:PartPerMillion</t>
  </si>
  <si>
    <t>ddhub:ProportionQuantity ddhub:ConcentrationQuantity</t>
  </si>
  <si>
    <t>ppm</t>
  </si>
  <si>
    <t>ddhub:Pascal</t>
  </si>
  <si>
    <t>ddhub:PascalPerMetre</t>
  </si>
  <si>
    <t>PressureGradientQuantity</t>
  </si>
  <si>
    <t>ddhub:PascalSecond</t>
  </si>
  <si>
    <t>ddhub:Percent</t>
  </si>
  <si>
    <t>ddhub:ProportionQuantity ddhub:DimensionlessQuantity</t>
  </si>
  <si>
    <t>%</t>
  </si>
  <si>
    <t>ddhub:PerThousand</t>
  </si>
  <si>
    <t>ddhub:ProportionQuantity</t>
  </si>
  <si>
    <t>ddhub:Petawatt</t>
  </si>
  <si>
    <t>ddhub:Picoampere</t>
  </si>
  <si>
    <t>ddhub:Picofarad</t>
  </si>
  <si>
    <t>ddhub:Picometre</t>
  </si>
  <si>
    <t>ddhub:Picomole</t>
  </si>
  <si>
    <t>ddhub:Picosecond</t>
  </si>
  <si>
    <t>ddhub:Picovolt</t>
  </si>
  <si>
    <t>ddhub:Picowatt</t>
  </si>
  <si>
    <t>ddhub:Poise</t>
  </si>
  <si>
    <t>ddhub:Pound</t>
  </si>
  <si>
    <t>ddhub:PoundForce</t>
  </si>
  <si>
    <t>ddhub:PoundPer100Foot</t>
  </si>
  <si>
    <t>MassGradientQuantity</t>
  </si>
  <si>
    <t>ddhub:PoundPer100SquareFoot</t>
  </si>
  <si>
    <t>ddhub:PoundPer30Foot</t>
  </si>
  <si>
    <t>ddhub:PoundPerCubicFoot</t>
  </si>
  <si>
    <t>ddhub:PoundPerCubicFootPer100Foot</t>
  </si>
  <si>
    <t>ddhub:PoundPerCubicFootPer30Foot</t>
  </si>
  <si>
    <t>ddhub:PoundPerCubicFootPerCelsius</t>
  </si>
  <si>
    <t>ddhub:PoundPerCubicFootPerFahrenheit</t>
  </si>
  <si>
    <t>ddhub:PoundPerCubicFootPerFoot</t>
  </si>
  <si>
    <t>ddhub:PoundPerCubicInch</t>
  </si>
  <si>
    <t>ddhub:PoundPerCubicInchPer100Foot</t>
  </si>
  <si>
    <t>ddhub:PoundPerCubicInchPer30Foot</t>
  </si>
  <si>
    <t>ddhub:PoundPerCubicInchPerCelsius</t>
  </si>
  <si>
    <t>ddhub:PoundPerCubicInchPerFahrenheit</t>
  </si>
  <si>
    <t>ddhub:PoundPerCubicInchPerFoot</t>
  </si>
  <si>
    <t>ddhub:PoundPerCubicYard</t>
  </si>
  <si>
    <t>ddhub:PoundPerCubicYardPer100Foot</t>
  </si>
  <si>
    <t>ddhub:PoundPerCubicYardPer30Foot</t>
  </si>
  <si>
    <t>ddhub:PoundPerCubicYardPerCelsius</t>
  </si>
  <si>
    <t>ddhub:PoundPerCubicYardPerFoot</t>
  </si>
  <si>
    <t>ddhub:PoundPerCubicYeardPerFahrenheit</t>
  </si>
  <si>
    <t>ddhub:PoundPerFoot</t>
  </si>
  <si>
    <t>ddhub:ForceGradientPerLengthQuantity ddhub:MassGradientPerLengthQuantity</t>
  </si>
  <si>
    <t>ddhub:PoundPerGallonUk</t>
  </si>
  <si>
    <t>ddhub:PoundPerGallonUkPer100Foot</t>
  </si>
  <si>
    <t>ddhub:PoundPerGallonUkPer30Foot</t>
  </si>
  <si>
    <t>ddhub:PoundPerGallonUkPerCelsius</t>
  </si>
  <si>
    <t>ThermalExpansionQuantity</t>
  </si>
  <si>
    <t>ddhub:PoundPerGallonUkPerFahrenheit</t>
  </si>
  <si>
    <t>ddhub:PoundPerGallonUkPerFoot</t>
  </si>
  <si>
    <t>ddhub:PoundPerGallonUkPerHour</t>
  </si>
  <si>
    <t>ddhub:PoundPerGallonUkPerMinute</t>
  </si>
  <si>
    <t>ddhub:PoundPerGallonUkPerSecond</t>
  </si>
  <si>
    <t>ddhub:PoundPerGallonUs</t>
  </si>
  <si>
    <t>ddhub:PoundPerGallonUsPer100Foot</t>
  </si>
  <si>
    <t>ddhub:PoundPerGallonUsPer30Foot</t>
  </si>
  <si>
    <t>ddhub:PoundPerGallonUsPerCelsius</t>
  </si>
  <si>
    <t>ddhub:PoundPerGallonUsPerFahrenheit</t>
  </si>
  <si>
    <t>ddhub:PoundPerGallonUsPerFoot</t>
  </si>
  <si>
    <t>ddhub:PoundPerGallonUsPerHour</t>
  </si>
  <si>
    <t>ddhub:PoundPerGallonUsPerMinute</t>
  </si>
  <si>
    <t>ddhub:PoundPerGallonUsPerSecond</t>
  </si>
  <si>
    <t>ddhub:PoundPerHour</t>
  </si>
  <si>
    <t>ddhub:PoundPerInch</t>
  </si>
  <si>
    <t>ddhub:PoundPerMinute</t>
  </si>
  <si>
    <t>ddhub:PoundPerSecond</t>
  </si>
  <si>
    <t>ddhub:PoundPerSecondSquared</t>
  </si>
  <si>
    <t>ddhub:PoundPerSquareFoot</t>
  </si>
  <si>
    <t>ddhub:PoundPerSquareInch</t>
  </si>
  <si>
    <t>ddhub:PoundPerYear</t>
  </si>
  <si>
    <t>ddhub:PoundSecondPer100SquareFoot</t>
  </si>
  <si>
    <t>ddhub:PoundSecondPerSquareFoot</t>
  </si>
  <si>
    <t>MomentumQuantity</t>
  </si>
  <si>
    <t>ddhub:PoundSecondPerSquareInch</t>
  </si>
  <si>
    <t>ddhub:PressureLossConstantMetric</t>
  </si>
  <si>
    <t>ddhub:PressureLossConstantQuantity</t>
  </si>
  <si>
    <t>ddhub:PressureLossConstantSi</t>
  </si>
  <si>
    <t>ddhub:PressureLossConstantUk</t>
  </si>
  <si>
    <t>ddhub:PressureLossConstantUs</t>
  </si>
  <si>
    <t>ddhub:Proportion</t>
  </si>
  <si>
    <t>ddhub:Psi</t>
  </si>
  <si>
    <t>ddhub:MaterialStrengthQuantity</t>
  </si>
  <si>
    <t>Psi</t>
  </si>
  <si>
    <t>ddhub:PsiPerFoot</t>
  </si>
  <si>
    <t>ddhub:PsiPerMetre</t>
  </si>
  <si>
    <t>ddhub:Quadrant</t>
  </si>
  <si>
    <t>ddhub:QuarterCommon</t>
  </si>
  <si>
    <t>ddhub:Radian</t>
  </si>
  <si>
    <t>rad</t>
  </si>
  <si>
    <t>ddhub:RadianGauss</t>
  </si>
  <si>
    <t>ddhub:RadianMaxwellPerSquareCentimetre</t>
  </si>
  <si>
    <t>ddhub:RadianMicrotesla</t>
  </si>
  <si>
    <t>ddhub:RadianMilligauss</t>
  </si>
  <si>
    <t>ddhub:RadianMillitesla</t>
  </si>
  <si>
    <t>ddhub:RadianNanotesla</t>
  </si>
  <si>
    <t>ddhub:RadianPerCentimeter</t>
  </si>
  <si>
    <t>ddhub:RadianPerCentimetre</t>
  </si>
  <si>
    <t>ddhub:RadianPerDay</t>
  </si>
  <si>
    <t>ddhub:RadianPerDayPerHour</t>
  </si>
  <si>
    <t>ddhub:RadianPerDayPerMinute</t>
  </si>
  <si>
    <t>AngularVelocityGradientQuantity</t>
  </si>
  <si>
    <t>ddhub:RadianPerDayPerSecond</t>
  </si>
  <si>
    <t>ddhub:RadianPerDaySquared</t>
  </si>
  <si>
    <t>ddhub:RadianPerDecameter</t>
  </si>
  <si>
    <t>ddhub:RadianPerDecimeter</t>
  </si>
  <si>
    <t>ddhub:RadianPerDecimetre</t>
  </si>
  <si>
    <t>ddhub:RadianPerFoot</t>
  </si>
  <si>
    <t>ddhub:RadianPerHectometer</t>
  </si>
  <si>
    <t>ddhub:RadianPerHour</t>
  </si>
  <si>
    <t>ddhub:RadianPerHourPerDay</t>
  </si>
  <si>
    <t>ddhub:RadianPerHourPerMinute</t>
  </si>
  <si>
    <t>ddhub:RadianPerHourPerSecond</t>
  </si>
  <si>
    <t>ddhub:RadianPerHourSquared</t>
  </si>
  <si>
    <t>ddhub:RadianPerInch</t>
  </si>
  <si>
    <t>ddhub:RadianPerKilometer</t>
  </si>
  <si>
    <t>ddhub:RadianPerMetre</t>
  </si>
  <si>
    <t>ddhub:RadianPerMicrometer</t>
  </si>
  <si>
    <t>ddhub:RadianPerMile</t>
  </si>
  <si>
    <t>ddhub:RadianPerMillimeter</t>
  </si>
  <si>
    <t>ddhub:RadianPerMillimetre</t>
  </si>
  <si>
    <t>ddhub:RadianPerMinute</t>
  </si>
  <si>
    <t>ddhub:RadianPerMinutePerDay</t>
  </si>
  <si>
    <t>ddhub:RadianPerMinutePerHour</t>
  </si>
  <si>
    <t>ddhub:RadianPerMinutePerSecond</t>
  </si>
  <si>
    <t>ddhub:RadianPerMinuteSquared</t>
  </si>
  <si>
    <t>ddhub:RadianPerNanometer</t>
  </si>
  <si>
    <t>ddhub:RadianPerSecond</t>
  </si>
  <si>
    <t>Rad/s</t>
  </si>
  <si>
    <t>ddhub:RadianPerSecondPerDay</t>
  </si>
  <si>
    <t>ddhub:RadianPerSecondPerHour</t>
  </si>
  <si>
    <t>ddhub:RadianPerSecondPerMinute</t>
  </si>
  <si>
    <t>ddhub:RadianPerSecondSquared</t>
  </si>
  <si>
    <t>ddhub:RadianPerSquareRootDay</t>
  </si>
  <si>
    <t>ddhub:RadianPerSquareRootHour</t>
  </si>
  <si>
    <t>ddhub:RadianPerSquareRootMinute</t>
  </si>
  <si>
    <t>ddhub:RadianPerSquareRootSecond</t>
  </si>
  <si>
    <t>ddhub:RadianPerYard</t>
  </si>
  <si>
    <t>ddhub:RadianTesla</t>
  </si>
  <si>
    <t>ddhub:RadianWeberPerSquareMetre</t>
  </si>
  <si>
    <t>ddhub:Rankine</t>
  </si>
  <si>
    <t>ddhub:ReciprocalAangstroem</t>
  </si>
  <si>
    <t>ddhub:WaveNumberQuantity</t>
  </si>
  <si>
    <t>ddhub:ReciprocalAstronomicalUnit</t>
  </si>
  <si>
    <t>ddhub:ReciprocalCentimetre</t>
  </si>
  <si>
    <t>ddhub:ReciprocalDecametre</t>
  </si>
  <si>
    <t>ddhub:ReciprocalDecimetre</t>
  </si>
  <si>
    <t>ddhub:ReciprocalFathom</t>
  </si>
  <si>
    <t>ddhub:ReciprocalFoot</t>
  </si>
  <si>
    <t>ddhub:ReciprocalFurlong</t>
  </si>
  <si>
    <t>ddhub:ReciprocalHand</t>
  </si>
  <si>
    <t>ddhub:ReciprocalHectometre</t>
  </si>
  <si>
    <t>ddhub:ReciprocalInch</t>
  </si>
  <si>
    <t>ddhub:ReciprocalInchPer32</t>
  </si>
  <si>
    <t>ddhub:ReciprocalInternationalNauticalMile</t>
  </si>
  <si>
    <t>ddhub:ReciprocalKilometre</t>
  </si>
  <si>
    <t>ddhub:ReciprocalLightYear</t>
  </si>
  <si>
    <t>ddhub:ReciprocalMetre</t>
  </si>
  <si>
    <t>ddhub:ReciprocalMicrometre</t>
  </si>
  <si>
    <t>ddhub:ReciprocalMil</t>
  </si>
  <si>
    <t>ddhub:ReciprocalMile</t>
  </si>
  <si>
    <t>ddhub:ReciprocalMillimetre</t>
  </si>
  <si>
    <t>ddhub:ReciprocalNanometre</t>
  </si>
  <si>
    <t>ddhub:ReciprocalParsec</t>
  </si>
  <si>
    <t>ddhub:ReciprocalPicometre</t>
  </si>
  <si>
    <t>ddhub:ReciprocalScandinavianMile</t>
  </si>
  <si>
    <t>ddhub:ReciprocalSecond</t>
  </si>
  <si>
    <t>ddhub:ReciprocalSurveyorsChain</t>
  </si>
  <si>
    <t>ddhub:ReciprocalThou</t>
  </si>
  <si>
    <t>ddhub:ReciprocalUkNauticalMile</t>
  </si>
  <si>
    <t>ddhub:ReciprocalUsSurveyFoot</t>
  </si>
  <si>
    <t>ddhub:ReciprocalYard</t>
  </si>
  <si>
    <t>ddhub:RelativeCelsius</t>
  </si>
  <si>
    <t>ddhub:RelativeTemperatureQuantity</t>
  </si>
  <si>
    <t>ddhub:Revolution</t>
  </si>
  <si>
    <t>ddhub:RotationPerHour</t>
  </si>
  <si>
    <t>ddhub:RotationPerSecond</t>
  </si>
  <si>
    <t>ddhub:Rpm</t>
  </si>
  <si>
    <t>RotationalFrequencyQuantity</t>
  </si>
  <si>
    <t>ddhub:ScandinavianMile</t>
  </si>
  <si>
    <t>ddhub:Second</t>
  </si>
  <si>
    <t>s,sec</t>
  </si>
  <si>
    <t>ddhub:Sextant</t>
  </si>
  <si>
    <t>ddhub:Shake</t>
  </si>
  <si>
    <t>ddhub:ShockPerHour</t>
  </si>
  <si>
    <t>ddhub:ShockPerMinute</t>
  </si>
  <si>
    <t>ddhub:ShockPerSecond</t>
  </si>
  <si>
    <t>ShockQuantity</t>
  </si>
  <si>
    <t>ddhub:SiemensVolt</t>
  </si>
  <si>
    <t>ElectricalConductanceQuantity</t>
  </si>
  <si>
    <t>ddhub:SolarMass</t>
  </si>
  <si>
    <t>ddhub:Spat</t>
  </si>
  <si>
    <t>ddhub:SpecificGravity</t>
  </si>
  <si>
    <t>ddhub:SpecificGravityPer100Metre</t>
  </si>
  <si>
    <t>SpecificGravityGradientQuantity</t>
  </si>
  <si>
    <t>ddhub:SpecificGravityPer10Metre</t>
  </si>
  <si>
    <t>DensityGradientQuantity</t>
  </si>
  <si>
    <t>ddhub:SpecificGravityPer30Metre</t>
  </si>
  <si>
    <t>ddhub:SpecificGravityPerCelsius</t>
  </si>
  <si>
    <t>SpecificGravityQuantity</t>
  </si>
  <si>
    <t>ddhub:SpecificGravityPerHour</t>
  </si>
  <si>
    <t>ddhub:SpecificGravityPerMetre</t>
  </si>
  <si>
    <t>ddhub:SpecificGravityPerMinute</t>
  </si>
  <si>
    <t>ddhub:SpecificGravityPerSecond</t>
  </si>
  <si>
    <t>ddhub:Spm</t>
  </si>
  <si>
    <t>ddhub:SquareCentimetre</t>
  </si>
  <si>
    <t>cm2,cm^2</t>
  </si>
  <si>
    <t>ddhub:SquareDecametre</t>
  </si>
  <si>
    <t>ddhub:SquareDecimetre</t>
  </si>
  <si>
    <t>dm2,dm^2</t>
  </si>
  <si>
    <t>ddhub:SquareFoot</t>
  </si>
  <si>
    <t>ddhub:SquareInch</t>
  </si>
  <si>
    <t>ddhub:SquareKilometre</t>
  </si>
  <si>
    <t>km2,km^2</t>
  </si>
  <si>
    <t>ddhub:SquareMetre</t>
  </si>
  <si>
    <t>ddhub:PorousMediumPermeabilityQuantity ddhub:AreaQuantity</t>
  </si>
  <si>
    <t>m2,m^2</t>
  </si>
  <si>
    <t>ddhub:SquareMicrometre</t>
  </si>
  <si>
    <t>mm2,mm^2</t>
  </si>
  <si>
    <t>ddhub:SquareMile</t>
  </si>
  <si>
    <t>ddhub:SquareMillimetre</t>
  </si>
  <si>
    <t>ddhub:SquareYard</t>
  </si>
  <si>
    <t>ddhub:StandardAtmosphere</t>
  </si>
  <si>
    <t>ddhub:Statampere</t>
  </si>
  <si>
    <t>ddhub:Steradian</t>
  </si>
  <si>
    <t>ddhub:Stone</t>
  </si>
  <si>
    <t>ddhub:StrokePerHour</t>
  </si>
  <si>
    <t>ddhub:StrokePerSecond</t>
  </si>
  <si>
    <t>ddhub:SurveyorSChain</t>
  </si>
  <si>
    <t>ddhub:Teraampere</t>
  </si>
  <si>
    <t>ddhub:Terahertz</t>
  </si>
  <si>
    <t>ddhub:Terawatt</t>
  </si>
  <si>
    <t>ddhub:Tesla</t>
  </si>
  <si>
    <t>T</t>
  </si>
  <si>
    <t>ddhub:TeslaSquareCentimetre</t>
  </si>
  <si>
    <t>ddhub:TeslaSquareMetre</t>
  </si>
  <si>
    <t>ddhub:Thou</t>
  </si>
  <si>
    <t>ddhub:ThousandStandardCubicFoot</t>
  </si>
  <si>
    <t>ddhub:ThousandStandardCubicFootPerDay</t>
  </si>
  <si>
    <t>ddhub:TonneMetric</t>
  </si>
  <si>
    <t>Ton</t>
  </si>
  <si>
    <t>ddhub:TonUk</t>
  </si>
  <si>
    <t>ddhub:TonUs</t>
  </si>
  <si>
    <t>ddhub:Torr</t>
  </si>
  <si>
    <t>ddhub:UkGallon</t>
  </si>
  <si>
    <t>ddhub:UkGallonPerDay</t>
  </si>
  <si>
    <t>ddhub:UkGallonPerHour</t>
  </si>
  <si>
    <t>ddhub:UkGallonPerMinute</t>
  </si>
  <si>
    <t>ddhub:UkGallonPerMinutePerSecond</t>
  </si>
  <si>
    <t>ddhub:UkGallonPerMinuteSquared</t>
  </si>
  <si>
    <t>ddhub:UkGallonPerSecond</t>
  </si>
  <si>
    <t>ddhub:UkGallonPerYear</t>
  </si>
  <si>
    <t>ddhub:UkNauticalMile</t>
  </si>
  <si>
    <t>ddhub:UnitPole</t>
  </si>
  <si>
    <t>ddhub:UsGallon</t>
  </si>
  <si>
    <t>ddhub:UsGallonPerDay</t>
  </si>
  <si>
    <t>ddhub:UsGallonPerHour</t>
  </si>
  <si>
    <t>ddhub:UsGallonPerMinute</t>
  </si>
  <si>
    <t>ddhub:UsGallonPerMinutePerSecond</t>
  </si>
  <si>
    <t>ddhub:UsGallonPerMinuteSquared</t>
  </si>
  <si>
    <t>ddhub:UsGallonPerSecond</t>
  </si>
  <si>
    <t>ddhub:UsGallonPerYear</t>
  </si>
  <si>
    <t>ddhub:UsSurveyFoot</t>
  </si>
  <si>
    <t>ddhub:Violle</t>
  </si>
  <si>
    <t>ddhub:Volt</t>
  </si>
  <si>
    <t>V</t>
  </si>
  <si>
    <t>ddhub:VoltPerOhm</t>
  </si>
  <si>
    <t>ddhub:VoltSecond</t>
  </si>
  <si>
    <t>ElectricChargeQuantity</t>
  </si>
  <si>
    <t>ddhub:Watt</t>
  </si>
  <si>
    <t>W</t>
  </si>
  <si>
    <t>ddhub:WattPerMetreKelvin</t>
  </si>
  <si>
    <t>ddhub:WattPerMetreKelvinPerKelvin</t>
  </si>
  <si>
    <t>ddhub:WattPerSquareMetrePerKelvin</t>
  </si>
  <si>
    <t>ddhub:WattPerVolt</t>
  </si>
  <si>
    <t>ddhub:Weber</t>
  </si>
  <si>
    <t>ddhub:WeberPerHenry</t>
  </si>
  <si>
    <t>InductanceQuantity</t>
  </si>
  <si>
    <t>ddhub:WeberPerSquareMetre</t>
  </si>
  <si>
    <t>ddhub:Week</t>
  </si>
  <si>
    <t>ddhub:Yard</t>
  </si>
  <si>
    <t>ddhub:YardPerFoot</t>
  </si>
  <si>
    <t>ddhub:YardPerMile</t>
  </si>
  <si>
    <t>ddhub:YardPerYard</t>
  </si>
  <si>
    <t>ddhub:YearAverageGregorian</t>
  </si>
  <si>
    <t>ddhub:YearCommon</t>
  </si>
  <si>
    <t>ddhub:YearJulian</t>
  </si>
  <si>
    <t>ddhub:YearLeap</t>
  </si>
  <si>
    <t>ddhub:YearTropical</t>
  </si>
  <si>
    <t>ddhub:Réaumur</t>
  </si>
  <si>
    <t>ddhub:ThousandKilogramForce</t>
  </si>
  <si>
    <t>kkgf</t>
  </si>
  <si>
    <t>ddhub:TonForce</t>
  </si>
  <si>
    <t>tonf</t>
  </si>
  <si>
    <t>ddhub:GammaRayAPI</t>
  </si>
  <si>
    <t>ddhub:ParticleFluxIntensityQuantity</t>
  </si>
  <si>
    <t>gAPI</t>
  </si>
  <si>
    <t>ddhub:SecondPerMeter</t>
  </si>
  <si>
    <t>ddhub:SlownessQuantity</t>
  </si>
  <si>
    <t>s/m</t>
  </si>
  <si>
    <t>ddhub:MicroSiemensPerMeter</t>
  </si>
  <si>
    <t>ddhub:ElectricalConductivityQuantity</t>
  </si>
  <si>
    <t>mS/m</t>
  </si>
  <si>
    <t>ddhub:SiemensPerMeter</t>
  </si>
  <si>
    <t>S/m</t>
  </si>
  <si>
    <t>ddhub:Siemens</t>
  </si>
  <si>
    <t>ddhub:ElectricalConductanceQuantity</t>
  </si>
  <si>
    <t>S</t>
  </si>
  <si>
    <t>ddhub:IsUnitForQuantity-0</t>
  </si>
  <si>
    <t>ddhub:IsUnitForQuantity-ds-r1</t>
  </si>
  <si>
    <t>Unit</t>
  </si>
  <si>
    <t>Quantity</t>
  </si>
  <si>
    <t>Explanation</t>
  </si>
  <si>
    <t>wrong lookup?</t>
  </si>
  <si>
    <t>Aangstroem</t>
  </si>
  <si>
    <t>Unit of length (1e-10 meters)</t>
  </si>
  <si>
    <t>Abampere</t>
  </si>
  <si>
    <t>CGS unit of electric current</t>
  </si>
  <si>
    <t>Acre</t>
  </si>
  <si>
    <t>Unit of land area</t>
  </si>
  <si>
    <t>Ampere</t>
  </si>
  <si>
    <t>SI unit of electric current</t>
  </si>
  <si>
    <t>ArcMinute</t>
  </si>
  <si>
    <t>Unit of angular measurement (1/60 degree)</t>
  </si>
  <si>
    <t>ArcSecond</t>
  </si>
  <si>
    <t>Unit of angular measurement (1/3600 degree)</t>
  </si>
  <si>
    <t>AstronomicalUnit</t>
  </si>
  <si>
    <t>Unit for astronomical distances</t>
  </si>
  <si>
    <t>AtomMassUnit</t>
  </si>
  <si>
    <t>Unit of atomic/molecular mass</t>
  </si>
  <si>
    <t>Attowatt</t>
  </si>
  <si>
    <t>Derived power unit (1e-18 watts)</t>
  </si>
  <si>
    <t>Bar</t>
  </si>
  <si>
    <t>Metric unit of pressure</t>
  </si>
  <si>
    <t>BarPerMetre</t>
  </si>
  <si>
    <t>Pressure gradient per length</t>
  </si>
  <si>
    <t>Barrel</t>
  </si>
  <si>
    <t>Unit of volume for liquids</t>
  </si>
  <si>
    <t>BarrelPerDay</t>
  </si>
  <si>
    <t>Liquid flow rate over time</t>
  </si>
  <si>
    <t>BarrelPerHour</t>
  </si>
  <si>
    <t>BarrelPerMinute</t>
  </si>
  <si>
    <t>BarrelPerSecond</t>
  </si>
  <si>
    <t>BarrelPerYear</t>
  </si>
  <si>
    <t>BerlinerLichteinheit</t>
  </si>
  <si>
    <t>TBD</t>
  </si>
  <si>
    <t>Uncertain (possibly historical luminous intensity unit)</t>
  </si>
  <si>
    <t>Biot</t>
  </si>
  <si>
    <t>Synonym for abampere (CGS unit)</t>
  </si>
  <si>
    <t>BritishThermalUnit</t>
  </si>
  <si>
    <t>Imperial energy unit</t>
  </si>
  <si>
    <t>BritishThermalUnitInchPerHourSquareFootDegreeFahrenheit</t>
  </si>
  <si>
    <t>Thermal conductivity unit</t>
  </si>
  <si>
    <t>BritishThermalUnitInchPerHourSquareFootDegreeFahrenheitSquared</t>
  </si>
  <si>
    <t>Uncertain (thermal property gradient?)</t>
  </si>
  <si>
    <t>BritishThermalUnitPerCubicFoot</t>
  </si>
  <si>
    <t>Energy per unit volume</t>
  </si>
  <si>
    <t>BritishThermalUnitPerCubicInch</t>
  </si>
  <si>
    <t>BritishThermalUnitPerCubicMetre</t>
  </si>
  <si>
    <t>BritishThermalUnitPerGallonUk</t>
  </si>
  <si>
    <t>BritishThermalUnitPerGallonUs</t>
  </si>
  <si>
    <t>BritishThermalUnitPerHourFootDegreeFahrenheit</t>
  </si>
  <si>
    <t>BritishThermalUnitPerHourFootDegreeFahrenheitSquared</t>
  </si>
  <si>
    <t>BritishThermalUnitPerHourPerSquareFootPerDegreeFahrenheit</t>
  </si>
  <si>
    <t>Heat transfer coefficient</t>
  </si>
  <si>
    <t>BritishThermalUnitPerLitre</t>
  </si>
  <si>
    <t>BritishThermalUnitPerPoundDegreeFahrenheit</t>
  </si>
  <si>
    <t>Specific heat capacity</t>
  </si>
  <si>
    <t>BritishThermalUnitPerPoundSquaredDegreeFahrenheit</t>
  </si>
  <si>
    <t>Uncertain (specific heat capacity gradient?)</t>
  </si>
  <si>
    <t>Calorie</t>
  </si>
  <si>
    <t>Unit of energy</t>
  </si>
  <si>
    <t>CaloriePerCentimetreSecondDegreeCelsius</t>
  </si>
  <si>
    <t>Thermal conductivity</t>
  </si>
  <si>
    <t>CaloriePerCentimetreSecondDegreeCelsiusSquared</t>
  </si>
  <si>
    <t>CaloriePerCubicFoot</t>
  </si>
  <si>
    <t>CaloriePerCubicInch</t>
  </si>
  <si>
    <t>CaloriePerCubicMetre</t>
  </si>
  <si>
    <t>CaloriePerGallonUk</t>
  </si>
  <si>
    <t>CaloriePerGallonUs</t>
  </si>
  <si>
    <t>CaloriePerGramDegreeCelsius</t>
  </si>
  <si>
    <t>CaloriePerGramDegreeSquaredCelsius</t>
  </si>
  <si>
    <t>CaloriePerLitre</t>
  </si>
  <si>
    <t>CaloriePerMetreSecondDegreeCelsius</t>
  </si>
  <si>
    <t>CaloriePerMetreSecondDegreeCelsiusSquared</t>
  </si>
  <si>
    <t>Candela</t>
  </si>
  <si>
    <t>SI unit of luminous intensity</t>
  </si>
  <si>
    <t>Carcel</t>
  </si>
  <si>
    <t>Historical French luminous intensity unit</t>
  </si>
  <si>
    <t>Celsius</t>
  </si>
  <si>
    <t>Temperature scale</t>
  </si>
  <si>
    <t>CelsiusPer100Foot</t>
  </si>
  <si>
    <t>Temperature change per length unit</t>
  </si>
  <si>
    <t>CelsiusPer100Metre</t>
  </si>
  <si>
    <t>CelsiusPer10Metre</t>
  </si>
  <si>
    <t>CelsiusPer30Foot</t>
  </si>
  <si>
    <t>CelsiusPer30Metre</t>
  </si>
  <si>
    <t>CelsiusPerFoot</t>
  </si>
  <si>
    <t>CelsiusPerMetre</t>
  </si>
  <si>
    <t>Centiampere</t>
  </si>
  <si>
    <t>0.01 amperes</t>
  </si>
  <si>
    <t>Centigram</t>
  </si>
  <si>
    <t>0.01 grams</t>
  </si>
  <si>
    <t>Centilitre</t>
  </si>
  <si>
    <t>0.01 liters</t>
  </si>
  <si>
    <t>Centimetre</t>
  </si>
  <si>
    <t>0.01 meters</t>
  </si>
  <si>
    <t>CentimetreMercuryAtZeroDegreeCelsius</t>
  </si>
  <si>
    <t>Pressure unit based on mercury column</t>
  </si>
  <si>
    <t>CentimetrePerDay</t>
  </si>
  <si>
    <t>Speed (length per time)</t>
  </si>
  <si>
    <t>CentimetrePerHour</t>
  </si>
  <si>
    <t>CentimetrePerHourPerSecond</t>
  </si>
  <si>
    <t>Acceleration (speed change per time)</t>
  </si>
  <si>
    <t>CentimetrePerKilometre</t>
  </si>
  <si>
    <t>Length ratio (dimensionless)</t>
  </si>
  <si>
    <t>CentimetrePerMetre</t>
  </si>
  <si>
    <t>CentimetrePerMinute</t>
  </si>
  <si>
    <t>CentimetrePerMinutePerSecond</t>
  </si>
  <si>
    <t>CentimetrePerSecond</t>
  </si>
  <si>
    <t>CentimetrePerSecondSquared</t>
  </si>
  <si>
    <t>Acceleration (length per time squared)</t>
  </si>
  <si>
    <t>CentimetreWaterAt4DegreeCelsius</t>
  </si>
  <si>
    <t>Pressure unit based on water column</t>
  </si>
  <si>
    <t>Centimole</t>
  </si>
  <si>
    <t>0.01 moles</t>
  </si>
  <si>
    <t>Centipoise</t>
  </si>
  <si>
    <t>Viscosity unit (0.01 poise)</t>
  </si>
  <si>
    <t>Centivolt</t>
  </si>
  <si>
    <t>Voltage unit (not explicitly listed in quantity categories)</t>
  </si>
  <si>
    <t>Centiwatt</t>
  </si>
  <si>
    <t>0.01 watts</t>
  </si>
  <si>
    <t>Century</t>
  </si>
  <si>
    <t>100 years</t>
  </si>
  <si>
    <t>Circle</t>
  </si>
  <si>
    <t>Full rotation (360 degrees)</t>
  </si>
  <si>
    <t>CoulombPerSecond</t>
  </si>
  <si>
    <t>Current (equivalent to ampere)</t>
  </si>
  <si>
    <t>CoulombPerVolt</t>
  </si>
  <si>
    <t>Capacitance (equivalent to farad)</t>
  </si>
  <si>
    <t>CubicFoot</t>
  </si>
  <si>
    <t>Volume unit</t>
  </si>
  <si>
    <t>CubicFootPerDay</t>
  </si>
  <si>
    <t>Volume flow rate over time</t>
  </si>
  <si>
    <t>CubicFootPerHour</t>
  </si>
  <si>
    <t>CubicFootPerMinute</t>
  </si>
  <si>
    <t>CubicFootPerSecond</t>
  </si>
  <si>
    <t>CubicFootPerYear</t>
  </si>
  <si>
    <t>CubicInch</t>
  </si>
  <si>
    <t>CubicMetre</t>
  </si>
  <si>
    <t>CubicMetrePerDay</t>
  </si>
  <si>
    <t>CubicMetrePerHour</t>
  </si>
  <si>
    <t>CubicMetrePerMinute</t>
  </si>
  <si>
    <t>CubicMetrePerSecond</t>
  </si>
  <si>
    <t>CubicMetrePerSecondSquared</t>
  </si>
  <si>
    <t>Rate of change of volumetric flow rate</t>
  </si>
  <si>
    <t>CubicMetrePerYear</t>
  </si>
  <si>
    <t>Darcy</t>
  </si>
  <si>
    <t>Permeability unit for porous media</t>
  </si>
  <si>
    <t>Day</t>
  </si>
  <si>
    <t>24-hour time unit</t>
  </si>
  <si>
    <t>Decade</t>
  </si>
  <si>
    <t>10 years</t>
  </si>
  <si>
    <t>Decagram</t>
  </si>
  <si>
    <t>10 grams</t>
  </si>
  <si>
    <t>Decametre</t>
  </si>
  <si>
    <t>10 meters</t>
  </si>
  <si>
    <t>ddhub:ForceQuantity</t>
  </si>
  <si>
    <t>Decanewton</t>
  </si>
  <si>
    <t>10 newtons</t>
  </si>
  <si>
    <t>DecanewtonMetre</t>
  </si>
  <si>
    <t>Torque measurement (10 newton-metres)</t>
  </si>
  <si>
    <t>DecanewtonMetrePerCentimetre</t>
  </si>
  <si>
    <t>Torque gradient per unit length</t>
  </si>
  <si>
    <t>DecanewtonMetrePerDecimetre</t>
  </si>
  <si>
    <t>DecanewtonMetrePerFoot</t>
  </si>
  <si>
    <t>DecanewtonMetrePerInch</t>
  </si>
  <si>
    <t>DecanewtonMetrePerMetre</t>
  </si>
  <si>
    <t>DecanewtonMetrePerMillimetre</t>
  </si>
  <si>
    <t>DecanewtonPer10Metre</t>
  </si>
  <si>
    <t>Force gradient per unit length</t>
  </si>
  <si>
    <t>DecanewtonPer30Metre</t>
  </si>
  <si>
    <t>DecanewtonPerCentimetre</t>
  </si>
  <si>
    <t>DecanewtonPerDecimetre</t>
  </si>
  <si>
    <t>DecanewtonPerMetre</t>
  </si>
  <si>
    <t>DecanewtonPerMillimetre</t>
  </si>
  <si>
    <t>Decawatt</t>
  </si>
  <si>
    <t>10 watts</t>
  </si>
  <si>
    <t>Deciampere</t>
  </si>
  <si>
    <t>0.1 amperes</t>
  </si>
  <si>
    <t>Decilitre</t>
  </si>
  <si>
    <t>0.1 liters</t>
  </si>
  <si>
    <t>DecimalCandle</t>
  </si>
  <si>
    <t>Historical luminous intensity unit</t>
  </si>
  <si>
    <t>Decimetre</t>
  </si>
  <si>
    <t>0.1 meters</t>
  </si>
  <si>
    <t>DecimetrePerDay</t>
  </si>
  <si>
    <t>DecimetrePerHour</t>
  </si>
  <si>
    <t>DecimetrePerKilometre</t>
  </si>
  <si>
    <t>DecimetrePerMetre</t>
  </si>
  <si>
    <t>DecimetrePerMinute</t>
  </si>
  <si>
    <t>DecimetrePerSecond</t>
  </si>
  <si>
    <t>Decimole</t>
  </si>
  <si>
    <t>0.1 moles</t>
  </si>
  <si>
    <t>Deciwatt</t>
  </si>
  <si>
    <t>0.1 watts</t>
  </si>
  <si>
    <t>Degree</t>
  </si>
  <si>
    <t>Unit of angular measurement</t>
  </si>
  <si>
    <t>DegreeGauss</t>
  </si>
  <si>
    <t>Magnetic flux density unit (non-SI)</t>
  </si>
  <si>
    <t>DegreeMaxwellPerSquareCentimetre</t>
  </si>
  <si>
    <t>DegreeMicrotesla</t>
  </si>
  <si>
    <t>DegreeMilligauss</t>
  </si>
  <si>
    <t>DegreeMillitesla</t>
  </si>
  <si>
    <t>DegreeNanotesla</t>
  </si>
  <si>
    <t>DegreePer100ft</t>
  </si>
  <si>
    <t>Angular change per unit length</t>
  </si>
  <si>
    <t>DegreePer10m</t>
  </si>
  <si>
    <t>DegreePer30ft</t>
  </si>
  <si>
    <t>DegreePer30m</t>
  </si>
  <si>
    <t>DegreePerCentimeter</t>
  </si>
  <si>
    <t>DegreePerCentimetre</t>
  </si>
  <si>
    <t>DegreePerDay</t>
  </si>
  <si>
    <t>Angular velocity (angle per time)</t>
  </si>
  <si>
    <t>DegreePerDayPerHour</t>
  </si>
  <si>
    <t>Angular acceleration (angle per time squared)</t>
  </si>
  <si>
    <t>DegreePerDayPerMinute</t>
  </si>
  <si>
    <t>DegreePerDayPerSecond</t>
  </si>
  <si>
    <t>DegreePerDaySquared</t>
  </si>
  <si>
    <t>DegreePerDecameter</t>
  </si>
  <si>
    <t>DegreePerDecimeter</t>
  </si>
  <si>
    <t>DegreePerDecimetre</t>
  </si>
  <si>
    <t>DegreePerFoot</t>
  </si>
  <si>
    <t>DegreePerHectometer</t>
  </si>
  <si>
    <t>DegreePerHour</t>
  </si>
  <si>
    <t>DegreePerHourPerDay</t>
  </si>
  <si>
    <t>DegreePerHourPerMinute</t>
  </si>
  <si>
    <t>DegreePerHourPerSecond</t>
  </si>
  <si>
    <t>DegreePerHourSquared</t>
  </si>
  <si>
    <t>DegreePerInch</t>
  </si>
  <si>
    <t>DegreePerKilometer</t>
  </si>
  <si>
    <t>DegreePerMetre</t>
  </si>
  <si>
    <t>DegreePerMicrometer</t>
  </si>
  <si>
    <t>DegreePerMile</t>
  </si>
  <si>
    <t>DegreePerMillimeter</t>
  </si>
  <si>
    <t>DegreePerMillimetre</t>
  </si>
  <si>
    <t>DegreePerMinute</t>
  </si>
  <si>
    <t>DegreePerMinutePerDay</t>
  </si>
  <si>
    <t>DegreePerMinutePerHour</t>
  </si>
  <si>
    <t>DegreePerMinutePerSecond</t>
  </si>
  <si>
    <t>DegreePerMinuteSquared</t>
  </si>
  <si>
    <t>DegreePerNanometer</t>
  </si>
  <si>
    <t>DegreePerSecond</t>
  </si>
  <si>
    <t>DegreePerSecondPerDay</t>
  </si>
  <si>
    <t>DegreePerSecondPerHour</t>
  </si>
  <si>
    <t>DegreePerSecondPerMinute</t>
  </si>
  <si>
    <t>DegreePerSecondSquared</t>
  </si>
  <si>
    <t>DegreePerSquareRootDay</t>
  </si>
  <si>
    <t>Non-standard angular rate unit</t>
  </si>
  <si>
    <t>DegreePerSquareRootHour</t>
  </si>
  <si>
    <t>DegreePerSquareRootMinute</t>
  </si>
  <si>
    <t>DegreePerSquareRootSecond</t>
  </si>
  <si>
    <t>DegreePerYard</t>
  </si>
  <si>
    <t>DegreeSquared</t>
  </si>
  <si>
    <t>Squared angular unit (dimensionless)</t>
  </si>
  <si>
    <t>DegreeTesla</t>
  </si>
  <si>
    <t>DegreeWeberPerSquareMetre</t>
  </si>
  <si>
    <t>Dimensionless</t>
  </si>
  <si>
    <t>Unitless quantity</t>
  </si>
  <si>
    <t>DotPerInch</t>
  </si>
  <si>
    <t>Resolution measurement (dimensionless ratio)</t>
  </si>
  <si>
    <t>DotPerMetre</t>
  </si>
  <si>
    <t>DotPerMicrometre</t>
  </si>
  <si>
    <t>DotPerMillimetre</t>
  </si>
  <si>
    <t>DvwgCandle</t>
  </si>
  <si>
    <t>DynePerCentimetre</t>
  </si>
  <si>
    <t>Force per unit length</t>
  </si>
  <si>
    <t>DynePerSquareCentimetre</t>
  </si>
  <si>
    <t>Pressure unit (force per area)</t>
  </si>
  <si>
    <t>DyneSecondPerSquareCentimetre</t>
  </si>
  <si>
    <t>Dynamic viscosity unit</t>
  </si>
  <si>
    <t>EarthMass</t>
  </si>
  <si>
    <t>Unit of planetary mass</t>
  </si>
  <si>
    <t>Exawatt</t>
  </si>
  <si>
    <t>1e18 watts</t>
  </si>
  <si>
    <t>Fahrenheit</t>
  </si>
  <si>
    <t>FahrenheitPer100Foot</t>
  </si>
  <si>
    <t>Temperature change per unit length</t>
  </si>
  <si>
    <t>FahrenheitPer30Foot</t>
  </si>
  <si>
    <t>FahrenheitPerFoot</t>
  </si>
  <si>
    <t>Farad</t>
  </si>
  <si>
    <t>SI unit of capacitance</t>
  </si>
  <si>
    <t>Fathom</t>
  </si>
  <si>
    <t>Nautical depth unit (6 feet)</t>
  </si>
  <si>
    <t>Femtowatt</t>
  </si>
  <si>
    <t>1e-15 watts</t>
  </si>
  <si>
    <t>Foot</t>
  </si>
  <si>
    <t>Imperial length unit (0.3048 meters)</t>
  </si>
  <si>
    <t>FootPerDay</t>
  </si>
  <si>
    <t>FootPerFoot</t>
  </si>
  <si>
    <t>FootPerHour</t>
  </si>
  <si>
    <t>FootPerHourPerSecond</t>
  </si>
  <si>
    <t>FootPerMile</t>
  </si>
  <si>
    <t>FootPerMinute</t>
  </si>
  <si>
    <t>FootPerMinutePerSecond</t>
  </si>
  <si>
    <t>FootPerSecond</t>
  </si>
  <si>
    <t>FootPerSecondSquared</t>
  </si>
  <si>
    <t>FootPerYard</t>
  </si>
  <si>
    <t>FootPound</t>
  </si>
  <si>
    <t>Energy/torque unit (1.3558 joules)</t>
  </si>
  <si>
    <t>FootPoundPerCentimetre</t>
  </si>
  <si>
    <t>FootPoundPerDecimetre</t>
  </si>
  <si>
    <t>FootPoundPerFoot</t>
  </si>
  <si>
    <t>FootPoundPerInch</t>
  </si>
  <si>
    <t>FootPoundPerMetre</t>
  </si>
  <si>
    <t>FootPoundPerMillimetre</t>
  </si>
  <si>
    <t>FootWaterAt4DegreeCelsius</t>
  </si>
  <si>
    <t>Fortnight</t>
  </si>
  <si>
    <t>14 days</t>
  </si>
  <si>
    <t>Furlong</t>
  </si>
  <si>
    <t>Imperial length unit (660 feet)</t>
  </si>
  <si>
    <t>FurlongPerFortnight</t>
  </si>
  <si>
    <t>Galileo</t>
  </si>
  <si>
    <t>Acceleration unit (1e-2 m/s²)</t>
  </si>
  <si>
    <t>Gauss</t>
  </si>
  <si>
    <t>CGS unit of magnetic flux density</t>
  </si>
  <si>
    <t>GaussSquareCentimetre</t>
  </si>
  <si>
    <t>CGS unit of magnetic flux</t>
  </si>
  <si>
    <t>Gigaampere</t>
  </si>
  <si>
    <t>1e9 amperes</t>
  </si>
  <si>
    <t>Gigahertz</t>
  </si>
  <si>
    <t>1e9 hertz</t>
  </si>
  <si>
    <t>GigaHertzPerDay</t>
  </si>
  <si>
    <t>Rate of frequency change over time</t>
  </si>
  <si>
    <t>GigaHertzPerHour</t>
  </si>
  <si>
    <t>GigaHertzPerMinute</t>
  </si>
  <si>
    <t>GigaHertzPerSecond</t>
  </si>
  <si>
    <t>GigaHertzPerYear</t>
  </si>
  <si>
    <t>Gigajoule</t>
  </si>
  <si>
    <t>1e9 joules</t>
  </si>
  <si>
    <t>GigajoulePerCubicFoot</t>
  </si>
  <si>
    <t>GigajoulePerCubicInch</t>
  </si>
  <si>
    <t>GigajoulePerCubicMetre</t>
  </si>
  <si>
    <t>GigajoulePerGallonUk</t>
  </si>
  <si>
    <t>GigajoulePerGallonUs</t>
  </si>
  <si>
    <t>GigajoulePerLitre</t>
  </si>
  <si>
    <t>GigaOhmMetre</t>
  </si>
  <si>
    <t>Electrical resistivity unit</t>
  </si>
  <si>
    <t>Gigapascal</t>
  </si>
  <si>
    <t>1e9 pascals</t>
  </si>
  <si>
    <t>Gigatonne</t>
  </si>
  <si>
    <t>1e9 metric tons</t>
  </si>
  <si>
    <t>Gigavolt</t>
  </si>
  <si>
    <t>Gigawatt</t>
  </si>
  <si>
    <t>1e9 watts</t>
  </si>
  <si>
    <t>Gon</t>
  </si>
  <si>
    <t>Angular unit (0.9 degrees)</t>
  </si>
  <si>
    <t>Grad</t>
  </si>
  <si>
    <t>Grain</t>
  </si>
  <si>
    <t>Imperial mass unit (~64.8 milligrams)</t>
  </si>
  <si>
    <t>Gram</t>
  </si>
  <si>
    <t>Metric mass unit (0.001 kg)</t>
  </si>
  <si>
    <t>GramPerCubicCentimetre</t>
  </si>
  <si>
    <t>Mass density unit</t>
  </si>
  <si>
    <t>GramPerCubicCentimetrePer100Metre</t>
  </si>
  <si>
    <t>Mass density gradient per length</t>
  </si>
  <si>
    <t>GramPerCubicCentimetrePer10Metre</t>
  </si>
  <si>
    <t>GramPerCubicCentimetrePer30Metre</t>
  </si>
  <si>
    <t>GramPerCubicCentimetrePerCelsius</t>
  </si>
  <si>
    <t>Uncertain (mass density per temperature?)</t>
  </si>
  <si>
    <t>GramPerCubicCentimetrePerHour</t>
  </si>
  <si>
    <t>Uncertain (mass density rate?)</t>
  </si>
  <si>
    <t>GramPerCubicCentimetrePerMetre</t>
  </si>
  <si>
    <t>GramPerCubicCentimetrePerMinute</t>
  </si>
  <si>
    <t>GramPerCubicCentimetrePerSecond</t>
  </si>
  <si>
    <t>GramPerCubicMetre</t>
  </si>
  <si>
    <t>GramPerMetre</t>
  </si>
  <si>
    <t>Mass per unit length</t>
  </si>
  <si>
    <t>GravityStandard</t>
  </si>
  <si>
    <t>Standard gravitational acceleration (~9.80665 m/s²)</t>
  </si>
  <si>
    <t>Hand</t>
  </si>
  <si>
    <t>Unit of length (~10.16 cm)</t>
  </si>
  <si>
    <t>Hectare</t>
  </si>
  <si>
    <t>Unit of land area (10,000 m²)</t>
  </si>
  <si>
    <t>Hectogram</t>
  </si>
  <si>
    <t>100 grams</t>
  </si>
  <si>
    <t>Hectometre</t>
  </si>
  <si>
    <t>100 meters</t>
  </si>
  <si>
    <t>Hectowatt</t>
  </si>
  <si>
    <t>100 watts</t>
  </si>
  <si>
    <t>Hefnerkerze</t>
  </si>
  <si>
    <t>Historical German luminous intensity unit</t>
  </si>
  <si>
    <t>Hertz</t>
  </si>
  <si>
    <t>SI unit of frequency</t>
  </si>
  <si>
    <t>HertzPerDay</t>
  </si>
  <si>
    <t>HertzPerHour</t>
  </si>
  <si>
    <t>HertzPerMinute</t>
  </si>
  <si>
    <t>HertzPerSecond</t>
  </si>
  <si>
    <t>HertzPerYear</t>
  </si>
  <si>
    <t>Hour</t>
  </si>
  <si>
    <t>60-minute time unit</t>
  </si>
  <si>
    <t>HundredWeights</t>
  </si>
  <si>
    <t>Imperial mass unit (100 pounds)</t>
  </si>
  <si>
    <t>Inch</t>
  </si>
  <si>
    <t>Imperial length unit (0.0254 meters)</t>
  </si>
  <si>
    <t>InchMercuryAt32DegreeFahrenheit</t>
  </si>
  <si>
    <t>InchMercuryAt60DegreeFahrenheit</t>
  </si>
  <si>
    <t>InchPer32</t>
  </si>
  <si>
    <t>Ambiguous unit (possibly a length ratio)</t>
  </si>
  <si>
    <t>InchPerDay</t>
  </si>
  <si>
    <t>InchPerFoot</t>
  </si>
  <si>
    <t>InchPerHour</t>
  </si>
  <si>
    <t>InchPerHourPerSecond</t>
  </si>
  <si>
    <t>InchPerMile</t>
  </si>
  <si>
    <t>InchPerMinute</t>
  </si>
  <si>
    <t>InchPerMinutePerSecond</t>
  </si>
  <si>
    <t>InchPerSecond</t>
  </si>
  <si>
    <t>InchPerSecondSquared</t>
  </si>
  <si>
    <t>InchPerYard</t>
  </si>
  <si>
    <t>InchPound</t>
  </si>
  <si>
    <t>Torque measurement (force × length)</t>
  </si>
  <si>
    <t>InchPoundPerCentimetre</t>
  </si>
  <si>
    <t>InchPoundPerDecimetre</t>
  </si>
  <si>
    <t>InchPoundPerFoot</t>
  </si>
  <si>
    <t>InchPoundPerInch</t>
  </si>
  <si>
    <t>InchPoundPerMetre</t>
  </si>
  <si>
    <t>InchPoundPerMillimetre</t>
  </si>
  <si>
    <t>InchWaterAt4DegreeCelsius</t>
  </si>
  <si>
    <t>InternationalCandle</t>
  </si>
  <si>
    <t>Standardized luminous intensity unit</t>
  </si>
  <si>
    <t>InternationalNauticalMile</t>
  </si>
  <si>
    <t>Nautical distance unit (1,852 meters)</t>
  </si>
  <si>
    <t>InverseAtmosphere</t>
  </si>
  <si>
    <t>Compressibility measurement</t>
  </si>
  <si>
    <t>InverseBar</t>
  </si>
  <si>
    <t>InversePascal</t>
  </si>
  <si>
    <t>InversePoundPerSquareInch</t>
  </si>
  <si>
    <t>Uncertain (compressibility or inverse pressure?)</t>
  </si>
  <si>
    <t>Joule</t>
  </si>
  <si>
    <t>SI unit of energy</t>
  </si>
  <si>
    <t>JoulePerCubicFoot</t>
  </si>
  <si>
    <t>JoulePerCubicInch</t>
  </si>
  <si>
    <t>JoulePerCubicMetre</t>
  </si>
  <si>
    <t>JoulePerGallonUk</t>
  </si>
  <si>
    <t>JoulePerGallonUs</t>
  </si>
  <si>
    <t>JoulePerGramDegreeCelsius</t>
  </si>
  <si>
    <t>JoulePerGramDegreeSquaredCelsius</t>
  </si>
  <si>
    <t>JoulePerGramKelvin</t>
  </si>
  <si>
    <t>JoulePerGramSquaredKelvin</t>
  </si>
  <si>
    <t>JoulePerKilogramKelvin</t>
  </si>
  <si>
    <t>JoulePerKilogramSquaredKelvin</t>
  </si>
  <si>
    <t>JoulePerLitre</t>
  </si>
  <si>
    <t>Kelvin</t>
  </si>
  <si>
    <t>SI base unit of temperature</t>
  </si>
  <si>
    <t>KelvinPerMetre</t>
  </si>
  <si>
    <t>Kiloampere</t>
  </si>
  <si>
    <t>1,000 amperes</t>
  </si>
  <si>
    <t>KiloBritishThermalUnit</t>
  </si>
  <si>
    <t>1,000 British thermal units</t>
  </si>
  <si>
    <t>KiloBritishThermalUnitPerCubicFoot</t>
  </si>
  <si>
    <t>KiloBritishThermalUnitPerCubicInch</t>
  </si>
  <si>
    <t>KiloBritishThermalUnitPerCubicMetre</t>
  </si>
  <si>
    <t>KiloBritishThermalUnitPerGallonUk</t>
  </si>
  <si>
    <t>KiloBritishThermalUnitPerGallonUs</t>
  </si>
  <si>
    <t>KiloBritishThermalUnitPerLitre</t>
  </si>
  <si>
    <t>Kilocalorie</t>
  </si>
  <si>
    <t>1,000 calories</t>
  </si>
  <si>
    <t>KilocaloriePerCubicFoot</t>
  </si>
  <si>
    <t>KilocaloriePerCubicInch</t>
  </si>
  <si>
    <t>KilocaloriePerCubicMetre</t>
  </si>
  <si>
    <t>KilocaloriePerGallonUk</t>
  </si>
  <si>
    <t>KilocaloriePerGallonUs</t>
  </si>
  <si>
    <t>KilocaloriePerGramDegreeCelsius</t>
  </si>
  <si>
    <t>KilocaloriePerLitre</t>
  </si>
  <si>
    <t>Kilocandela</t>
  </si>
  <si>
    <t>1,000 candelas</t>
  </si>
  <si>
    <t>Kilodecanewton</t>
  </si>
  <si>
    <t>10,000 newtons</t>
  </si>
  <si>
    <t>KilofootPound</t>
  </si>
  <si>
    <t>1,000 foot-pounds</t>
  </si>
  <si>
    <t>KilofootPoundPerCentimetre</t>
  </si>
  <si>
    <t>KilofootPoundPerDecimetre</t>
  </si>
  <si>
    <t>KilofootPoundPerFoot</t>
  </si>
  <si>
    <t>KilofootPoundPerInch</t>
  </si>
  <si>
    <t>KilofootPoundPerMetre</t>
  </si>
  <si>
    <t>KilofootPoundPerMillimetre</t>
  </si>
  <si>
    <t>Kilogram</t>
  </si>
  <si>
    <t>SI base unit of mass</t>
  </si>
  <si>
    <t>KilogramForce</t>
  </si>
  <si>
    <t>Non-SI force unit (9.80665 N)</t>
  </si>
  <si>
    <t>KilogramForceMetre</t>
  </si>
  <si>
    <t>KilogramForceMetrePerCentimetre</t>
  </si>
  <si>
    <t>KilogramForceMetrePerDecimetre</t>
  </si>
  <si>
    <t>KilogramForceMetrePerFoot</t>
  </si>
  <si>
    <t>KilogramForceMetrePerInch</t>
  </si>
  <si>
    <t>KilogramForceMetrePerMetre</t>
  </si>
  <si>
    <t>KilogramForceMetrePerMillimetre</t>
  </si>
  <si>
    <t>KilogramPerCubicMetre</t>
  </si>
  <si>
    <t>KilogramPerCubicMetrePer100Metre</t>
  </si>
  <si>
    <t>KilogramPerCubicMetrePer10Metre</t>
  </si>
  <si>
    <t>KilogramPerCubicMetrePer30Metre</t>
  </si>
  <si>
    <t>KilogramPerCubicMetrePerKelvin</t>
  </si>
  <si>
    <t>Mass density change per temperature</t>
  </si>
  <si>
    <t>KilogramPerCubicMetrePerMetre</t>
  </si>
  <si>
    <t>KilogramPerCubicMetrePerSecond</t>
  </si>
  <si>
    <t>Rate of mass density change over time</t>
  </si>
  <si>
    <t>KilogramPerHour</t>
  </si>
  <si>
    <t>Mass flow rate</t>
  </si>
  <si>
    <t>KilogramPerMetre</t>
  </si>
  <si>
    <t>KilogramPerMinute</t>
  </si>
  <si>
    <t>KilogramPerSecond</t>
  </si>
  <si>
    <t>KilogramPerYear</t>
  </si>
  <si>
    <t>Kilohertz</t>
  </si>
  <si>
    <t>1,000 hertz</t>
  </si>
  <si>
    <t>KiloHertzPerDay</t>
  </si>
  <si>
    <t>KiloHertzPerHour</t>
  </si>
  <si>
    <t>KiloHertzPerMinute</t>
  </si>
  <si>
    <t>KiloHertzPerSecond</t>
  </si>
  <si>
    <t>KiloHertzPerYear</t>
  </si>
  <si>
    <t>Kilojoule</t>
  </si>
  <si>
    <t>1,000 joules</t>
  </si>
  <si>
    <t>KilojoulePerCubicFoot</t>
  </si>
  <si>
    <t>KilojoulePerCubicInch</t>
  </si>
  <si>
    <t>KilojoulePerCubicMetre</t>
  </si>
  <si>
    <t>KilojoulePerGallonUk</t>
  </si>
  <si>
    <t>KilojoulePerGallonUs</t>
  </si>
  <si>
    <t>KilojoulePerLitre</t>
  </si>
  <si>
    <t>Kiloline</t>
  </si>
  <si>
    <t>1,000 maxwells (CGS magnetic flux unit)</t>
  </si>
  <si>
    <t>Kilometre</t>
  </si>
  <si>
    <t>1,000 meters</t>
  </si>
  <si>
    <t>KilometrePerDay</t>
  </si>
  <si>
    <t>KilometrePerHour</t>
  </si>
  <si>
    <t>KilometrePerHourPerSecond</t>
  </si>
  <si>
    <t>KilometrePerMinute</t>
  </si>
  <si>
    <t>KilometrePerMinutePerSecond</t>
  </si>
  <si>
    <t>KilometrePerSecond</t>
  </si>
  <si>
    <t>KilometrePerSecondSquared</t>
  </si>
  <si>
    <t>Kilomole</t>
  </si>
  <si>
    <t>1,000 moles</t>
  </si>
  <si>
    <t>Kilonewton</t>
  </si>
  <si>
    <t>1,000 newtons</t>
  </si>
  <si>
    <t>KilonewtonMetre</t>
  </si>
  <si>
    <t>Torque measurement (1,000 N·m)</t>
  </si>
  <si>
    <t>KilonewtonMetrePerCentimetre</t>
  </si>
  <si>
    <t>KilonewtonMetrePerDecimetre</t>
  </si>
  <si>
    <t>KilonewtonMetrePerFoot</t>
  </si>
  <si>
    <t>KilonewtonMetrePerInch</t>
  </si>
  <si>
    <t>KilonewtonMetrePerMetre</t>
  </si>
  <si>
    <t>KilonewtonMetrePerMillimetre</t>
  </si>
  <si>
    <t>KilonewtonPer10Metre</t>
  </si>
  <si>
    <t>KilonewtonPer30Metre</t>
  </si>
  <si>
    <t>KilonewtonPerCentimetre</t>
  </si>
  <si>
    <t>KilonewtonPerDecimetre</t>
  </si>
  <si>
    <t>KilonewtonPerMetre</t>
  </si>
  <si>
    <t>KilonewtonPerMillimetre</t>
  </si>
  <si>
    <t>KilonewtonPerSquareMetre</t>
  </si>
  <si>
    <t>Pressure (force per area)</t>
  </si>
  <si>
    <t>KiloOhmMetre</t>
  </si>
  <si>
    <t>Kilopascal</t>
  </si>
  <si>
    <t>1,000 pascals</t>
  </si>
  <si>
    <t>Kilopound</t>
  </si>
  <si>
    <t>1,000 pounds</t>
  </si>
  <si>
    <t>KilopoundForce</t>
  </si>
  <si>
    <t>1,000 pound-force</t>
  </si>
  <si>
    <t>KilopoundPer100Foot</t>
  </si>
  <si>
    <t>KilopoundPer30Foot</t>
  </si>
  <si>
    <t>KilopoundPerFoot</t>
  </si>
  <si>
    <t>KilopoundPerInch</t>
  </si>
  <si>
    <t>KilopoundPerSquareInch</t>
  </si>
  <si>
    <t>Kilotonne</t>
  </si>
  <si>
    <t>1,000 metric tons</t>
  </si>
  <si>
    <t>Kilovolt</t>
  </si>
  <si>
    <t>Kilowatt</t>
  </si>
  <si>
    <t>1,000 watts</t>
  </si>
  <si>
    <t>KnotPerSecond</t>
  </si>
  <si>
    <t>Acceleration (nautical speed change per time)</t>
  </si>
  <si>
    <t>LightYear</t>
  </si>
  <si>
    <t>Astronomical distance unit</t>
  </si>
  <si>
    <t>Line</t>
  </si>
  <si>
    <t>CGS magnetic flux unit (1 maxwell)</t>
  </si>
  <si>
    <t>Litre</t>
  </si>
  <si>
    <t>Metric volume unit (0.001 m³)</t>
  </si>
  <si>
    <t>LitrePerDay</t>
  </si>
  <si>
    <t>LitrePerHour</t>
  </si>
  <si>
    <t>LitrePerMinute</t>
  </si>
  <si>
    <t>LitrePerMinutePerSecond</t>
  </si>
  <si>
    <t>Rate of volumetric flow rate change</t>
  </si>
  <si>
    <t>LitrePerMinuteSquared</t>
  </si>
  <si>
    <t>LitrePerSecond</t>
  </si>
  <si>
    <t>LitrePerSecondSquared</t>
  </si>
  <si>
    <t>LitrePerYear</t>
  </si>
  <si>
    <t>LumenPerSteradian</t>
  </si>
  <si>
    <t>SI unit of luminous intensity (equivalent to candela)</t>
  </si>
  <si>
    <t>MagneticFluxQuantum</t>
  </si>
  <si>
    <t>Fundamental quantum of magnetic flux</t>
  </si>
  <si>
    <t>Maxwell</t>
  </si>
  <si>
    <t>MaxwellPerSquareCentimetre</t>
  </si>
  <si>
    <t>Magnetic flux density (CGS unit)</t>
  </si>
  <si>
    <t>Megaampere</t>
  </si>
  <si>
    <t>1e6 amperes</t>
  </si>
  <si>
    <t>MegaBritishThermalUnit</t>
  </si>
  <si>
    <t>1e6 British thermal units</t>
  </si>
  <si>
    <t>Megahertz</t>
  </si>
  <si>
    <t>1e6 hertz</t>
  </si>
  <si>
    <t>MegaHertzPerDay</t>
  </si>
  <si>
    <t>MegaHertzPerHour</t>
  </si>
  <si>
    <t>MegaHertzPerMinute</t>
  </si>
  <si>
    <t>MegaHertzPerSecond</t>
  </si>
  <si>
    <t>MegaHertzPerYear</t>
  </si>
  <si>
    <t>Megajoule</t>
  </si>
  <si>
    <t>1e6 joules</t>
  </si>
  <si>
    <t>MegajoulePerCubicFoot</t>
  </si>
  <si>
    <t>MegajoulePerCubicInch</t>
  </si>
  <si>
    <t>MegajoulePerCubicMetre</t>
  </si>
  <si>
    <t>MegajoulePerGallonUk</t>
  </si>
  <si>
    <t>MegajoulePerGallonUs</t>
  </si>
  <si>
    <t>MegajoulePerLitre</t>
  </si>
  <si>
    <t>Megaline</t>
  </si>
  <si>
    <t>1e6 maxwells (CGS magnetic flux unit)</t>
  </si>
  <si>
    <t>MegaOhmMetre</t>
  </si>
  <si>
    <t>Megapascal</t>
  </si>
  <si>
    <t>1e6 pascals</t>
  </si>
  <si>
    <t>MegapoundPerSquareInch</t>
  </si>
  <si>
    <t>Megatonne</t>
  </si>
  <si>
    <t>1e6 metric tons</t>
  </si>
  <si>
    <t>Megavolt</t>
  </si>
  <si>
    <t>Megawatt</t>
  </si>
  <si>
    <t>1e6 watts</t>
  </si>
  <si>
    <t>Metre</t>
  </si>
  <si>
    <t>SI base unit of length</t>
  </si>
  <si>
    <t>MetrePerDay</t>
  </si>
  <si>
    <t>MetrePerHour</t>
  </si>
  <si>
    <t>MetrePerKilometre</t>
  </si>
  <si>
    <t>MetrePerMetre</t>
  </si>
  <si>
    <t>MetrePerMinute</t>
  </si>
  <si>
    <t>MetrePerSecond</t>
  </si>
  <si>
    <t>MetrePerSecondPerMillisecond</t>
  </si>
  <si>
    <t>MetrePerSecondSquared</t>
  </si>
  <si>
    <t>Microampere</t>
  </si>
  <si>
    <t>1e-6 amperes</t>
  </si>
  <si>
    <t>Microbar</t>
  </si>
  <si>
    <t>1e-6 bar (pressure unit)</t>
  </si>
  <si>
    <t>Microdarcy</t>
  </si>
  <si>
    <t>Microfarad</t>
  </si>
  <si>
    <t>1e-6 farads</t>
  </si>
  <si>
    <t>Microgram</t>
  </si>
  <si>
    <t>1e-6 grams</t>
  </si>
  <si>
    <t>Micrometre</t>
  </si>
  <si>
    <t>1e-6 meters</t>
  </si>
  <si>
    <t>MicrometrePerKilometre</t>
  </si>
  <si>
    <t>MicrometrePerMetre</t>
  </si>
  <si>
    <t>Micromole</t>
  </si>
  <si>
    <t>1e-6 moles</t>
  </si>
  <si>
    <t>MicropascalSecond</t>
  </si>
  <si>
    <t>Dynamic viscosity (pressure × time)</t>
  </si>
  <si>
    <t>Micropoise</t>
  </si>
  <si>
    <t>1e-6 poise (viscosity unit)</t>
  </si>
  <si>
    <t>Microsecond</t>
  </si>
  <si>
    <t>1e-6 seconds</t>
  </si>
  <si>
    <t>Microtesla</t>
  </si>
  <si>
    <t>1e-6 tesla (magnetic flux density)</t>
  </si>
  <si>
    <t>Microvolt</t>
  </si>
  <si>
    <t>Microwatt</t>
  </si>
  <si>
    <t>1e-6 watts</t>
  </si>
  <si>
    <t>Microweber</t>
  </si>
  <si>
    <t>1e-6 weber (SI magnetic flux unit)</t>
  </si>
  <si>
    <t>Mil</t>
  </si>
  <si>
    <t>0.001 inch (~0.0254 mm)</t>
  </si>
  <si>
    <t>Mile</t>
  </si>
  <si>
    <t>Imperial length unit (~1,609 meters)</t>
  </si>
  <si>
    <t>MilePerDay</t>
  </si>
  <si>
    <t>MilePerHour</t>
  </si>
  <si>
    <t>MilePerHourPerSecond</t>
  </si>
  <si>
    <t>MilePerMinute</t>
  </si>
  <si>
    <t>MilePerMinutePerSecond</t>
  </si>
  <si>
    <t>MilePerSecond</t>
  </si>
  <si>
    <t>MilePerSecondSquared</t>
  </si>
  <si>
    <t>Millenia</t>
  </si>
  <si>
    <t>1,000 years</t>
  </si>
  <si>
    <t>Milliampere</t>
  </si>
  <si>
    <t>0.001 amperes</t>
  </si>
  <si>
    <t>Millibar</t>
  </si>
  <si>
    <t>0.001 bar (pressure unit)</t>
  </si>
  <si>
    <t>Millicandela</t>
  </si>
  <si>
    <t>0.001 candela</t>
  </si>
  <si>
    <t>Millidarcy</t>
  </si>
  <si>
    <t>Millifarad</t>
  </si>
  <si>
    <t>0.001 farads</t>
  </si>
  <si>
    <t>Milligauss</t>
  </si>
  <si>
    <t>0.001 gauss (CGS magnetic flux density unit)</t>
  </si>
  <si>
    <t>Milligram</t>
  </si>
  <si>
    <t>0.001 grams</t>
  </si>
  <si>
    <t>Millilitre</t>
  </si>
  <si>
    <t>0.001 liters</t>
  </si>
  <si>
    <t>Millimetre</t>
  </si>
  <si>
    <t>0.001 meters</t>
  </si>
  <si>
    <t>MillimetreMercuryAtZeroDegreeCelsius</t>
  </si>
  <si>
    <t>MillimetrePerDay</t>
  </si>
  <si>
    <t>MillimetrePerHour</t>
  </si>
  <si>
    <t>MillimetrePerKilometre</t>
  </si>
  <si>
    <t>MillimetrePerMetre</t>
  </si>
  <si>
    <t>MillimetrePerMinute</t>
  </si>
  <si>
    <t>MillimetrePerSecond</t>
  </si>
  <si>
    <t>MillimetreWaterAt4DegreeCelsius</t>
  </si>
  <si>
    <t>Millimole</t>
  </si>
  <si>
    <t>0.001 moles</t>
  </si>
  <si>
    <t>MillinewtonPerMetre</t>
  </si>
  <si>
    <t>MillionBarrel</t>
  </si>
  <si>
    <t>Large volume unit (1e6 barrels)</t>
  </si>
  <si>
    <t>MillionCubicMetre</t>
  </si>
  <si>
    <t>Large volume unit (1e6 cubic meters)</t>
  </si>
  <si>
    <t>MillionCubicMetrePerDay</t>
  </si>
  <si>
    <t>Large volumetric flow rate</t>
  </si>
  <si>
    <t>MillionLiterPerDay</t>
  </si>
  <si>
    <t>MillionLitre</t>
  </si>
  <si>
    <t>Large volume unit (1e6 liters)</t>
  </si>
  <si>
    <t>MillionStandardCubicFoot</t>
  </si>
  <si>
    <t>Large volume unit (1e6 standard cubic feet)</t>
  </si>
  <si>
    <t>MillionStandardCubicFootPerDay</t>
  </si>
  <si>
    <t>MillionUkGallon</t>
  </si>
  <si>
    <t>Large volume unit (1e6 UK gallons)</t>
  </si>
  <si>
    <t>MillionUkGallonPerDay</t>
  </si>
  <si>
    <t>MillionUsGallon</t>
  </si>
  <si>
    <t>Large volume unit (1e6 US gallons)</t>
  </si>
  <si>
    <t>MillionUsGallonPerDay</t>
  </si>
  <si>
    <t>MillionYear</t>
  </si>
  <si>
    <t>1e6 years</t>
  </si>
  <si>
    <t>MillipascalSecond</t>
  </si>
  <si>
    <t>Millipoise</t>
  </si>
  <si>
    <t>0.001 poise (viscosity unit)</t>
  </si>
  <si>
    <t>Milliradian</t>
  </si>
  <si>
    <t>0.001 radians</t>
  </si>
  <si>
    <t>Millisecond</t>
  </si>
  <si>
    <t>0.001 seconds</t>
  </si>
  <si>
    <t>Millitesla</t>
  </si>
  <si>
    <t>0.001 tesla (magnetic flux density)</t>
  </si>
  <si>
    <t>Millivolt</t>
  </si>
  <si>
    <t>Milliwatt</t>
  </si>
  <si>
    <t>0.001 watts</t>
  </si>
  <si>
    <t>Milliweber</t>
  </si>
  <si>
    <t>0.001 weber (SI magnetic flux unit)</t>
  </si>
  <si>
    <t>Minute</t>
  </si>
  <si>
    <t>60 seconds</t>
  </si>
  <si>
    <t>Mole</t>
  </si>
  <si>
    <t>SI base unit of substance amount</t>
  </si>
  <si>
    <t>MonthCommon</t>
  </si>
  <si>
    <t>Average calendar month (~30.44 days)</t>
  </si>
  <si>
    <t>MonthSideral</t>
  </si>
  <si>
    <t>Sidereal month (~27.32 days)</t>
  </si>
  <si>
    <t>MonthSynodic</t>
  </si>
  <si>
    <t>Synodic month (~29.53 days)</t>
  </si>
  <si>
    <t>Nanoampere</t>
  </si>
  <si>
    <t>1e-9 amperes</t>
  </si>
  <si>
    <t>Nanodarcy</t>
  </si>
  <si>
    <t>Nanofarad</t>
  </si>
  <si>
    <t>1e-9 farads</t>
  </si>
  <si>
    <t>Nanogram</t>
  </si>
  <si>
    <t>1e-9 grams</t>
  </si>
  <si>
    <t>Nanometre</t>
  </si>
  <si>
    <t>1e-9 meters</t>
  </si>
  <si>
    <t>Nanomole</t>
  </si>
  <si>
    <t>1e-9 moles</t>
  </si>
  <si>
    <t>Nanosecond</t>
  </si>
  <si>
    <t>1e-9 seconds</t>
  </si>
  <si>
    <t>Nanotesla</t>
  </si>
  <si>
    <t>1e-9 tesla (magnetic flux density)</t>
  </si>
  <si>
    <t>Nanovolt</t>
  </si>
  <si>
    <t>Nanowatt</t>
  </si>
  <si>
    <t>1e-9 watts</t>
  </si>
  <si>
    <t>Newton</t>
  </si>
  <si>
    <t>SI unit of force</t>
  </si>
  <si>
    <t>NewtonCentimetre</t>
  </si>
  <si>
    <t>NewtonCentimetrePerCentimetre</t>
  </si>
  <si>
    <t>NewtonCentimetrePerDecimetre</t>
  </si>
  <si>
    <t>NewtonCentimetrePerFoot</t>
  </si>
  <si>
    <t>NewtonCentimetrePerInch</t>
  </si>
  <si>
    <t>NewtonCentimetrePerMetre</t>
  </si>
  <si>
    <t>NewtonCentimetrePerMillimetre</t>
  </si>
  <si>
    <t>NewtonDecimetre</t>
  </si>
  <si>
    <t>NewtonDecimetrePerCentimetre</t>
  </si>
  <si>
    <t>NewtonDecimetrePerDecimetre</t>
  </si>
  <si>
    <t>NewtonDecimetrePerFoot</t>
  </si>
  <si>
    <t>NewtonDecimetrePerInch</t>
  </si>
  <si>
    <t>NewtonDecimetrePerMetre</t>
  </si>
  <si>
    <t>NewtonDecimetrePerMillimetre</t>
  </si>
  <si>
    <t>NewtonMetre</t>
  </si>
  <si>
    <t>SI unit of torque (force × length)</t>
  </si>
  <si>
    <t>NewtonMetrePerCentimetre</t>
  </si>
  <si>
    <t>NewtonMetrePerDecimetre</t>
  </si>
  <si>
    <t>NewtonMetrePerFoot</t>
  </si>
  <si>
    <t>NewtonMetrePerInch</t>
  </si>
  <si>
    <t>NewtonMetrePerMetre</t>
  </si>
  <si>
    <t>NewtonMetrePerMillimetre</t>
  </si>
  <si>
    <t>NewtonMillimetre</t>
  </si>
  <si>
    <t>NewtonMillimetrePerCentimetre</t>
  </si>
  <si>
    <t>NewtonMillimetrePerDecimetre</t>
  </si>
  <si>
    <t>NewtonMillimetrePerFoot</t>
  </si>
  <si>
    <t>NewtonMillimetrePerInch</t>
  </si>
  <si>
    <t>NewtonMillimetrePerMetre</t>
  </si>
  <si>
    <t>NewtonMillimetrePerMillimetre</t>
  </si>
  <si>
    <t>NewtonPer10Metre</t>
  </si>
  <si>
    <t>NewtonPer30Metre</t>
  </si>
  <si>
    <t>NewtonPerCentimetre</t>
  </si>
  <si>
    <t>NewtonPerDecimetre</t>
  </si>
  <si>
    <t>NewtonPerMetre</t>
  </si>
  <si>
    <t>NewtonPerMillimetre</t>
  </si>
  <si>
    <t>NewtonPerSquareCentimetre</t>
  </si>
  <si>
    <t>NewtonPerSquareMetre</t>
  </si>
  <si>
    <t>Pressure (equivalent to pascal)</t>
  </si>
  <si>
    <t>NewtonPerSquareMillimetre</t>
  </si>
  <si>
    <t>Octant</t>
  </si>
  <si>
    <t>Angular unit (45 degrees)</t>
  </si>
  <si>
    <t>OhmMetre</t>
  </si>
  <si>
    <t>SI unit of electrical resistivity</t>
  </si>
  <si>
    <t>Ounce</t>
  </si>
  <si>
    <t>Imperial mass unit (~28.35 grams)</t>
  </si>
  <si>
    <t>Parsec</t>
  </si>
  <si>
    <t>Astronomical distance unit (~3.085e16 meters)</t>
  </si>
  <si>
    <t>PartPerMillion</t>
  </si>
  <si>
    <t>Ratio measurement (1e-6)</t>
  </si>
  <si>
    <t>Pascal</t>
  </si>
  <si>
    <t>SI unit of pressure (force per area)</t>
  </si>
  <si>
    <t>PascalPerMetre</t>
  </si>
  <si>
    <t>Pressure gradient per unit length</t>
  </si>
  <si>
    <t>PascalSecond</t>
  </si>
  <si>
    <t>Percent</t>
  </si>
  <si>
    <t>Ratio measurement (1e-2)</t>
  </si>
  <si>
    <t>PerThousand</t>
  </si>
  <si>
    <t>Ratio measurement (1e-3)</t>
  </si>
  <si>
    <t>Petawatt</t>
  </si>
  <si>
    <t>1e15 watts</t>
  </si>
  <si>
    <t>Picoampere</t>
  </si>
  <si>
    <t>1e-12 amperes</t>
  </si>
  <si>
    <t>Picofarad</t>
  </si>
  <si>
    <t>1e-12 farads</t>
  </si>
  <si>
    <t>Picometre</t>
  </si>
  <si>
    <t>1e-12 meters</t>
  </si>
  <si>
    <t>Picomole</t>
  </si>
  <si>
    <t>1e-12 moles</t>
  </si>
  <si>
    <t>Picosecond</t>
  </si>
  <si>
    <t>1e-12 seconds</t>
  </si>
  <si>
    <t>Picovolt</t>
  </si>
  <si>
    <t>Picowatt</t>
  </si>
  <si>
    <t>1e-12 watts</t>
  </si>
  <si>
    <t>Poise</t>
  </si>
  <si>
    <t>CGS unit of dynamic viscosity</t>
  </si>
  <si>
    <t>Pound</t>
  </si>
  <si>
    <t>Imperial mass unit (~0.4536 kg)</t>
  </si>
  <si>
    <t>PoundForce</t>
  </si>
  <si>
    <t>Imperial force unit (~4.448 N)</t>
  </si>
  <si>
    <t>PoundPer100Foot</t>
  </si>
  <si>
    <t>PoundPer100SquareFoot</t>
  </si>
  <si>
    <t>Uncertain (mass per area?)</t>
  </si>
  <si>
    <t>PoundPer30Foot</t>
  </si>
  <si>
    <t>PoundPerCubicFoot</t>
  </si>
  <si>
    <t>PoundPerCubicFootPer100Foot</t>
  </si>
  <si>
    <t>PoundPerCubicFootPer30Foot</t>
  </si>
  <si>
    <t>PoundPerCubicFootPerCelsius</t>
  </si>
  <si>
    <t>PoundPerCubicFootPerFahrenheit</t>
  </si>
  <si>
    <t>PoundPerCubicFootPerFoot</t>
  </si>
  <si>
    <t>PoundPerCubicInch</t>
  </si>
  <si>
    <t>PoundPerCubicInchPer100Foot</t>
  </si>
  <si>
    <t>PoundPerCubicInchPer30Foot</t>
  </si>
  <si>
    <t>PoundPerCubicInchPerCelsius</t>
  </si>
  <si>
    <t>PoundPerCubicInchPerFahrenheit</t>
  </si>
  <si>
    <t>PoundPerCubicInchPerFoot</t>
  </si>
  <si>
    <t>PoundPerCubicYard</t>
  </si>
  <si>
    <t>PoundPerCubicYardPer100Foot</t>
  </si>
  <si>
    <t>PoundPerCubicYardPer30Foot</t>
  </si>
  <si>
    <t>PoundPerCubicYardPerCelsius</t>
  </si>
  <si>
    <t>PoundPerCubicYardPerFoot</t>
  </si>
  <si>
    <t>PoundPerCubicYeardPerFahrenheit</t>
  </si>
  <si>
    <t>PoundPerFoot</t>
  </si>
  <si>
    <t>PoundPerGallonUk</t>
  </si>
  <si>
    <t>PoundPerGallonUkPer100Foot</t>
  </si>
  <si>
    <t>PoundPerGallonUkPer30Foot</t>
  </si>
  <si>
    <t>PoundPerGallonUkPerCelsius</t>
  </si>
  <si>
    <t>PoundPerGallonUkPerFahrenheit</t>
  </si>
  <si>
    <t>PoundPerGallonUkPerFoot</t>
  </si>
  <si>
    <t>PoundPerGallonUkPerHour</t>
  </si>
  <si>
    <t>PoundPerGallonUkPerMinute</t>
  </si>
  <si>
    <t>PoundPerGallonUkPerSecond</t>
  </si>
  <si>
    <t>PoundPerGallonUs</t>
  </si>
  <si>
    <t>PoundPerGallonUsPer100Foot</t>
  </si>
  <si>
    <t>PoundPerGallonUsPer30Foot</t>
  </si>
  <si>
    <t>PoundPerGallonUsPerCelsius</t>
  </si>
  <si>
    <t>PoundPerGallonUsPerFahrenheit</t>
  </si>
  <si>
    <t>PoundPerGallonUsPerFoot</t>
  </si>
  <si>
    <t>PoundPerGallonUsPerHour</t>
  </si>
  <si>
    <t>PoundPerGallonUsPerMinute</t>
  </si>
  <si>
    <t>PoundPerGallonUsPerSecond</t>
  </si>
  <si>
    <t>PoundPerHour</t>
  </si>
  <si>
    <t>PoundPerInch</t>
  </si>
  <si>
    <t>PoundPerMinute</t>
  </si>
  <si>
    <t>PoundPerSecond</t>
  </si>
  <si>
    <t>PoundPerSecondSquared</t>
  </si>
  <si>
    <t>Uncertain (mass per time squared)</t>
  </si>
  <si>
    <t>PoundPerSquareFoot</t>
  </si>
  <si>
    <t>PoundPerSquareInch</t>
  </si>
  <si>
    <t>PoundPerYear</t>
  </si>
  <si>
    <t>Mass flow rate over time</t>
  </si>
  <si>
    <t>PoundSecondPer100SquareFoot</t>
  </si>
  <si>
    <t>Uncertain (impulse per area)</t>
  </si>
  <si>
    <t>PoundSecondPerSquareFoot</t>
  </si>
  <si>
    <t>PoundSecondPerSquareInch</t>
  </si>
  <si>
    <t>PressureLossConstantMetric</t>
  </si>
  <si>
    <t>Pressure loss coefficient (metric system)</t>
  </si>
  <si>
    <t>PressureLossConstantSi</t>
  </si>
  <si>
    <t>Pressure loss coefficient (SI system)</t>
  </si>
  <si>
    <t>PressureLossConstantUk</t>
  </si>
  <si>
    <t>Pressure loss coefficient (UK system)</t>
  </si>
  <si>
    <t>PressureLossConstantUs</t>
  </si>
  <si>
    <t>Pressure loss coefficient (US system)</t>
  </si>
  <si>
    <t>Proportion</t>
  </si>
  <si>
    <t>Proportional relationship (dimensionless)</t>
  </si>
  <si>
    <t>Pounds per square inch (pressure unit)</t>
  </si>
  <si>
    <t>PsiPerFoot</t>
  </si>
  <si>
    <t>PsiPerMetre</t>
  </si>
  <si>
    <t>Quadrant</t>
  </si>
  <si>
    <t>Angular unit (90 degrees)</t>
  </si>
  <si>
    <t>QuarterCommon</t>
  </si>
  <si>
    <t>3-month period (~91 days)</t>
  </si>
  <si>
    <t>Radian</t>
  </si>
  <si>
    <t>SI unit of angular measurement</t>
  </si>
  <si>
    <t>RadianGauss</t>
  </si>
  <si>
    <t>Magnetic flux density (non-SI unit)</t>
  </si>
  <si>
    <t>RadianMaxwellPerSquareCentimetre</t>
  </si>
  <si>
    <t>RadianMicrotesla</t>
  </si>
  <si>
    <t>Magnetic flux density (1e-6 tesla)</t>
  </si>
  <si>
    <t>RadianMilligauss</t>
  </si>
  <si>
    <t>Magnetic flux density (0.001 gauss)</t>
  </si>
  <si>
    <t>RadianMillitesla</t>
  </si>
  <si>
    <t>Magnetic flux density (0.001 tesla)</t>
  </si>
  <si>
    <t>RadianNanotesla</t>
  </si>
  <si>
    <t>Magnetic flux density (1e-9 tesla)</t>
  </si>
  <si>
    <t>RadianPerCentimeter</t>
  </si>
  <si>
    <t>RadianPerCentimetre</t>
  </si>
  <si>
    <t>RadianPerDay</t>
  </si>
  <si>
    <t>RadianPerDayPerHour</t>
  </si>
  <si>
    <t>RadianPerDayPerMinute</t>
  </si>
  <si>
    <t>RadianPerDayPerSecond</t>
  </si>
  <si>
    <t>RadianPerDaySquared</t>
  </si>
  <si>
    <t>RadianPerDecameter</t>
  </si>
  <si>
    <t>RadianPerDecimeter</t>
  </si>
  <si>
    <t>RadianPerDecimetre</t>
  </si>
  <si>
    <t>RadianPerFoot</t>
  </si>
  <si>
    <t>RadianPerHectometer</t>
  </si>
  <si>
    <t>RadianPerHour</t>
  </si>
  <si>
    <t>RadianPerHourPerDay</t>
  </si>
  <si>
    <t>RadianPerHourPerMinute</t>
  </si>
  <si>
    <t>RadianPerHourPerSecond</t>
  </si>
  <si>
    <t>RadianPerHourSquared</t>
  </si>
  <si>
    <t>RadianPerInch</t>
  </si>
  <si>
    <t>RadianPerKilometer</t>
  </si>
  <si>
    <t>RadianPerMetre</t>
  </si>
  <si>
    <t>RadianPerMicrometer</t>
  </si>
  <si>
    <t>RadianPerMile</t>
  </si>
  <si>
    <t>RadianPerMillimeter</t>
  </si>
  <si>
    <t>RadianPerMillimetre</t>
  </si>
  <si>
    <t>RadianPerMinute</t>
  </si>
  <si>
    <t>RadianPerMinutePerDay</t>
  </si>
  <si>
    <t>RadianPerMinutePerHour</t>
  </si>
  <si>
    <t>RadianPerMinutePerSecond</t>
  </si>
  <si>
    <t>RadianPerMinuteSquared</t>
  </si>
  <si>
    <t>RadianPerNanometer</t>
  </si>
  <si>
    <t>RadianPerSecond</t>
  </si>
  <si>
    <t>RadianPerSecondPerDay</t>
  </si>
  <si>
    <t>RadianPerSecondPerHour</t>
  </si>
  <si>
    <t>RadianPerSecondPerMinute</t>
  </si>
  <si>
    <t>RadianPerSecondSquared</t>
  </si>
  <si>
    <t>RadianPerSquareRootDay</t>
  </si>
  <si>
    <t>RadianPerSquareRootHour</t>
  </si>
  <si>
    <t>RadianPerSquareRootMinute</t>
  </si>
  <si>
    <t>RadianPerSquareRootSecond</t>
  </si>
  <si>
    <t>RadianPerYard</t>
  </si>
  <si>
    <t>RadianTesla</t>
  </si>
  <si>
    <t>Magnetic flux density (tesla × radian)</t>
  </si>
  <si>
    <t>RadianWeberPerSquareMetre</t>
  </si>
  <si>
    <t>Magnetic flux density (weber per square metre × radian)</t>
  </si>
  <si>
    <t>Rankine</t>
  </si>
  <si>
    <t>Absolute temperature scale (similar to Kelvin for Fahrenheit)</t>
  </si>
  <si>
    <t>ReciprocalAangstroem</t>
  </si>
  <si>
    <t>Wave number (inverse length)</t>
  </si>
  <si>
    <t>ReciprocalAstronomicalUnit</t>
  </si>
  <si>
    <t>ReciprocalCentimetre</t>
  </si>
  <si>
    <t>ReciprocalDecametre</t>
  </si>
  <si>
    <t>ReciprocalDecimetre</t>
  </si>
  <si>
    <t>ReciprocalFathom</t>
  </si>
  <si>
    <t>ReciprocalFoot</t>
  </si>
  <si>
    <t>ReciprocalFurlong</t>
  </si>
  <si>
    <t>ReciprocalHand</t>
  </si>
  <si>
    <t>ReciprocalHectometre</t>
  </si>
  <si>
    <t>ReciprocalInch</t>
  </si>
  <si>
    <t>RelativeCelsius</t>
  </si>
  <si>
    <t>Temperature difference measurement</t>
  </si>
  <si>
    <t>ddhub:dimensionlessQuantity</t>
  </si>
  <si>
    <t>Revolution</t>
  </si>
  <si>
    <t>RotationPerHour</t>
  </si>
  <si>
    <t>Angular velocity (rotations per time)</t>
  </si>
  <si>
    <t>RotationPerSecond</t>
  </si>
  <si>
    <t>Rpm</t>
  </si>
  <si>
    <t>Revolutions per minute (angular velocity)</t>
  </si>
  <si>
    <t>ScandinavianMile</t>
  </si>
  <si>
    <t>Scandinavian length unit (10 kilometers)</t>
  </si>
  <si>
    <t>Second</t>
  </si>
  <si>
    <t>SI base unit of time</t>
  </si>
  <si>
    <t>Sextant</t>
  </si>
  <si>
    <t>Angular unit (60 degrees)</t>
  </si>
  <si>
    <t>Shake</t>
  </si>
  <si>
    <t>Very short time unit (~1e-8 seconds)</t>
  </si>
  <si>
    <t>ShockPerHour</t>
  </si>
  <si>
    <t>Event rate (shocks per hour)</t>
  </si>
  <si>
    <t>ShockPerMinute</t>
  </si>
  <si>
    <t>Event rate (shocks per minute)</t>
  </si>
  <si>
    <t>ShockPerSecond</t>
  </si>
  <si>
    <t>Event rate (shocks per second)</t>
  </si>
  <si>
    <t>SiemensVolt</t>
  </si>
  <si>
    <t>Ambiguous unit (not in standard quantity categories)</t>
  </si>
  <si>
    <t>SolarMass</t>
  </si>
  <si>
    <t>Astronomical mass unit (~1.988e30 kg)</t>
  </si>
  <si>
    <t>Spat</t>
  </si>
  <si>
    <t>Solid angle unit (4π steradians)</t>
  </si>
  <si>
    <t>SpecificGravity</t>
  </si>
  <si>
    <t>Density ratio (dimensionless)</t>
  </si>
  <si>
    <t>SpecificGravityPer100Metre</t>
  </si>
  <si>
    <t>Uncertain (proportion gradient per length?)</t>
  </si>
  <si>
    <t>SpecificGravityPer10Metre</t>
  </si>
  <si>
    <t>SpecificGravityPer30Metre</t>
  </si>
  <si>
    <t>SpecificGravityPerCelsius</t>
  </si>
  <si>
    <t>Uncertain (proportion per temperature?)</t>
  </si>
  <si>
    <t>SpecificGravityPerHour</t>
  </si>
  <si>
    <t>Uncertain (proportion rate?)</t>
  </si>
  <si>
    <t>SpecificGravityPerMetre</t>
  </si>
  <si>
    <t>SpecificGravityPerMinute</t>
  </si>
  <si>
    <t>SpecificGravityPerSecond</t>
  </si>
  <si>
    <t>Spm</t>
  </si>
  <si>
    <t>Strokes per minute (event rate)</t>
  </si>
  <si>
    <t>SquareCentimetre</t>
  </si>
  <si>
    <t>Area unit (0.0001 m²)</t>
  </si>
  <si>
    <t>SquareDecametre</t>
  </si>
  <si>
    <t>Area unit (100 m²)</t>
  </si>
  <si>
    <t>SquareDecimetre</t>
  </si>
  <si>
    <t>Area unit (0.01 m²)</t>
  </si>
  <si>
    <t>SquareFoot</t>
  </si>
  <si>
    <t>Imperial area unit (~0.0929 m²)</t>
  </si>
  <si>
    <t>SquareInch</t>
  </si>
  <si>
    <t>Imperial area unit (~6.452e-4 m²)</t>
  </si>
  <si>
    <t>SquareKilometre</t>
  </si>
  <si>
    <t>Area unit (1e6 m²)</t>
  </si>
  <si>
    <t>SquareMetre</t>
  </si>
  <si>
    <t>SI unit of area</t>
  </si>
  <si>
    <t>SquareMicrometre</t>
  </si>
  <si>
    <t>Area unit (1e-12 m²)</t>
  </si>
  <si>
    <t>SquareMile</t>
  </si>
  <si>
    <t>Imperial area unit (~2.59e6 m²)</t>
  </si>
  <si>
    <t>SquareMillimetre</t>
  </si>
  <si>
    <t>Area unit (1e-6 m²)</t>
  </si>
  <si>
    <t>SquareYard</t>
  </si>
  <si>
    <t>Imperial area unit (~0.8361 m²)</t>
  </si>
  <si>
    <t>StandardAtmosphere</t>
  </si>
  <si>
    <t>Standard pressure unit (~101,325 Pa)</t>
  </si>
  <si>
    <t>Statampere</t>
  </si>
  <si>
    <t>CGS electrostatic current unit</t>
  </si>
  <si>
    <t>Steradian</t>
  </si>
  <si>
    <t>SI unit of solid angle</t>
  </si>
  <si>
    <t>Stone</t>
  </si>
  <si>
    <t>Imperial mass unit (~6.35 kg)</t>
  </si>
  <si>
    <t>StrokePerHour</t>
  </si>
  <si>
    <t>Event rate (strokes per hour)</t>
  </si>
  <si>
    <t>StrokePerSecond</t>
  </si>
  <si>
    <t>Event rate (strokes per second)</t>
  </si>
  <si>
    <t>SurveyorSChain</t>
  </si>
  <si>
    <t>Surveying length unit (~20.12 meters)</t>
  </si>
  <si>
    <t>Teraampere</t>
  </si>
  <si>
    <t>1e12 amperes</t>
  </si>
  <si>
    <t>Terahertz</t>
  </si>
  <si>
    <t>1e12 hertz</t>
  </si>
  <si>
    <t>Terawatt</t>
  </si>
  <si>
    <t>1e12 watts</t>
  </si>
  <si>
    <t>Tesla</t>
  </si>
  <si>
    <t>SI unit of magnetic flux density</t>
  </si>
  <si>
    <t>TeslaSquareCentimetre</t>
  </si>
  <si>
    <t>Magnetic flux unit (1e-4 weber)</t>
  </si>
  <si>
    <t>TeslaSquareMetre</t>
  </si>
  <si>
    <t>Magnetic flux (equivalent to weber)</t>
  </si>
  <si>
    <t>Thou</t>
  </si>
  <si>
    <t>ThousandStandardCubicFoot</t>
  </si>
  <si>
    <t>Volume unit (1,000 standard cubic feet)</t>
  </si>
  <si>
    <t>ThousandStandardCubicFootPerDay</t>
  </si>
  <si>
    <t>Volumetric flow rate</t>
  </si>
  <si>
    <t>TonneMetric</t>
  </si>
  <si>
    <t>Metric ton (1,000 kg)</t>
  </si>
  <si>
    <t>TonUk</t>
  </si>
  <si>
    <t>UK long ton (1,016 kg)</t>
  </si>
  <si>
    <t>TonUs</t>
  </si>
  <si>
    <t>US short ton (907.185 kg)</t>
  </si>
  <si>
    <t>Torr</t>
  </si>
  <si>
    <t>Pressure unit (~133.322 Pa)</t>
  </si>
  <si>
    <t>UkGallon</t>
  </si>
  <si>
    <t>UK liquid volume unit (~4.546 liters)</t>
  </si>
  <si>
    <t>UkGallonPerDay</t>
  </si>
  <si>
    <t>UkGallonPerHour</t>
  </si>
  <si>
    <t>UkGallonPerMinute</t>
  </si>
  <si>
    <t>UkGallonPerMinutePerSecond</t>
  </si>
  <si>
    <t>Rate of flow rate change</t>
  </si>
  <si>
    <t>UkGallonPerMinuteSquared</t>
  </si>
  <si>
    <t>UkGallonPerSecond</t>
  </si>
  <si>
    <t>UkGallonPerYear</t>
  </si>
  <si>
    <t>UkNauticalMile</t>
  </si>
  <si>
    <t>UK nautical mile (~1,853 meters)</t>
  </si>
  <si>
    <t>UnitPole</t>
  </si>
  <si>
    <t>CGS magnetic flux unit (~1.256e-7 weber)</t>
  </si>
  <si>
    <t>UsGallon</t>
  </si>
  <si>
    <t>US liquid volume unit (~3.785 liters)</t>
  </si>
  <si>
    <t>UsGallonPerDay</t>
  </si>
  <si>
    <t>UsGallonPerHour</t>
  </si>
  <si>
    <t>UsGallonPerMinute</t>
  </si>
  <si>
    <t>UsGallonPerMinutePerSecond</t>
  </si>
  <si>
    <t>UsGallonPerMinuteSquared</t>
  </si>
  <si>
    <t>UsGallonPerSecond</t>
  </si>
  <si>
    <t>UsGallonPerYear</t>
  </si>
  <si>
    <t>UsSurveyFoot</t>
  </si>
  <si>
    <t>US survey foot (~0.3048 meters)</t>
  </si>
  <si>
    <t>Violle</t>
  </si>
  <si>
    <t>Historical luminous intensity unit (~20.17 candelas)</t>
  </si>
  <si>
    <t>Volt</t>
  </si>
  <si>
    <t>SI unit of electric potential</t>
  </si>
  <si>
    <t>VoltPerOhm</t>
  </si>
  <si>
    <t>Current (Ohm's law: V/Ω = A)</t>
  </si>
  <si>
    <t>VoltSecond</t>
  </si>
  <si>
    <t>Watt</t>
  </si>
  <si>
    <t>SI unit of power</t>
  </si>
  <si>
    <t>WattPerMetreKelvin</t>
  </si>
  <si>
    <t>WattPerMetreKelvinPerKelvin</t>
  </si>
  <si>
    <t>Uncertain (thermal conductivity gradient per temperature?)</t>
  </si>
  <si>
    <t>WattPerSquareMetrePerKelvin</t>
  </si>
  <si>
    <t>Heat transfer coefficient (power per area per temperature)</t>
  </si>
  <si>
    <t>WattPerVolt</t>
  </si>
  <si>
    <t>Current via power-voltage relationship (W/V = A)</t>
  </si>
  <si>
    <t>Weber</t>
  </si>
  <si>
    <t>SI unit of magnetic flux</t>
  </si>
  <si>
    <t>WeberPerHenry</t>
  </si>
  <si>
    <t>Current derived from magnetic flux/inductance (Wb/H = A)</t>
  </si>
  <si>
    <t>WeberPerSquareMetre</t>
  </si>
  <si>
    <t>Magnetic flux density (equivalent to tesla)</t>
  </si>
  <si>
    <t>Week</t>
  </si>
  <si>
    <t>7-day time unit</t>
  </si>
  <si>
    <t>Yard</t>
  </si>
  <si>
    <t>Imperial length unit (~0.9144 meters)</t>
  </si>
  <si>
    <t>YardPerFoot</t>
  </si>
  <si>
    <t>Length ratio (3 feet = 1 yard)</t>
  </si>
  <si>
    <t>YardPerMile</t>
  </si>
  <si>
    <t>Length ratio (1 mile = 1,760 yards)</t>
  </si>
  <si>
    <t>YardPerYard</t>
  </si>
  <si>
    <t>Unitless ratio (1:1)</t>
  </si>
  <si>
    <t>YearAverageGregorian</t>
  </si>
  <si>
    <t>Average Gregorian year (~365.2425 days)</t>
  </si>
  <si>
    <t>YearCommon</t>
  </si>
  <si>
    <t>Common year (365 days)</t>
  </si>
  <si>
    <t>YearJulian</t>
  </si>
  <si>
    <t>Julian year (~365.25 days)</t>
  </si>
  <si>
    <t>YearLeap</t>
  </si>
  <si>
    <t>Leap year (366 days)</t>
  </si>
  <si>
    <t>YearTropical</t>
  </si>
  <si>
    <t>Tropical year (~365.24219 days)</t>
  </si>
  <si>
    <t>Réaumur</t>
  </si>
  <si>
    <t>Historical temperature scale (0°R = 0°C, 80°R = 100°C)</t>
  </si>
  <si>
    <t>ThousandKilogramForce</t>
  </si>
  <si>
    <t>Force unit (1,000 kilogram-force ≈ 9,806.65 N)</t>
  </si>
  <si>
    <t>ddhub:IsUnitForQuantity-u_q.ttl</t>
  </si>
  <si>
    <t>ddhub:StressQuantity</t>
  </si>
  <si>
    <t>ddhub:HydraulicConductivityQuantity</t>
  </si>
  <si>
    <t>ddhub:TensionQuantity</t>
  </si>
  <si>
    <t>ddhub:RotationalFrequencyRateOfChangeQuantity</t>
  </si>
  <si>
    <t>ddhub:GravitationalLoadQuantity</t>
  </si>
  <si>
    <t>ddhub:RpmPerSecond</t>
  </si>
  <si>
    <t>ddhub:SpmPerSecond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</si>
</sst>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sz val="11"/>
      <color rgb="FF3F3F76"/>
      <name val="Aptos Narrow"/>
      <charset val="134"/>
      <scheme val="minor"/>
    </font>
    <font>
      <sz val="11"/>
      <color rgb="FF9C570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" fillId="0" borderId="13" applyNumberFormat="0" applyFill="0" applyAlignment="0" applyProtection="0">
      <alignment vertical="center"/>
    </xf>
    <xf numFmtId="0" fontId="13" fillId="11" borderId="1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3" borderId="15" applyNumberFormat="0" applyFont="0" applyAlignment="0" applyProtection="0">
      <alignment vertical="center"/>
    </xf>
    <xf numFmtId="0" fontId="19" fillId="26" borderId="1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1" borderId="11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4" borderId="8" applyNumberFormat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Border="1">
      <alignment vertical="center"/>
    </xf>
    <xf numFmtId="0" fontId="0" fillId="0" borderId="3" xfId="0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>
      <alignment vertical="center"/>
    </xf>
    <xf numFmtId="0" fontId="1" fillId="0" borderId="0" xfId="0" applyFont="1" applyAlignment="1"/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0" fontId="3" fillId="0" borderId="6" xfId="0" applyFont="1" applyBorder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/>
    <xf numFmtId="0" fontId="0" fillId="2" borderId="0" xfId="0" applyFill="1" applyAlignment="1"/>
    <xf numFmtId="0" fontId="2" fillId="2" borderId="0" xfId="0" applyFont="1" applyFill="1" applyAlignment="1"/>
    <xf numFmtId="0" fontId="0" fillId="2" borderId="0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7" xfId="0" applyBorder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44"/>
  <sheetViews>
    <sheetView tabSelected="1" topLeftCell="A813" workbookViewId="0">
      <selection activeCell="A838" sqref="A838:C844"/>
    </sheetView>
  </sheetViews>
  <sheetFormatPr defaultColWidth="9" defaultRowHeight="14.5"/>
  <cols>
    <col min="1" max="1" width="70.1775700934579" customWidth="1"/>
    <col min="2" max="2" width="83.4485981308411" customWidth="1"/>
    <col min="3" max="3" width="23.9065420560748" customWidth="1"/>
    <col min="4" max="4" width="7.54205607476636" customWidth="1"/>
    <col min="7" max="7" width="45.7289719626168" customWidth="1"/>
    <col min="10" max="10" width="59.9065420560748" customWidth="1"/>
    <col min="11" max="12" width="25.4485981308411" customWidth="1"/>
    <col min="13" max="13" width="27.1775700934579" customWidth="1"/>
    <col min="14" max="14" width="35.2710280373832" customWidth="1"/>
    <col min="15" max="15" width="33.3644859813084" customWidth="1"/>
  </cols>
  <sheetData>
    <row r="1" spans="1:12">
      <c r="A1" s="1" t="s">
        <v>0</v>
      </c>
      <c r="B1" s="2" t="s">
        <v>1</v>
      </c>
      <c r="C1" s="14" t="s">
        <v>2</v>
      </c>
      <c r="D1" s="3"/>
      <c r="E1" s="18" t="s">
        <v>3</v>
      </c>
      <c r="F1" s="18" t="s">
        <v>4</v>
      </c>
      <c r="G1" s="18" t="s">
        <v>5</v>
      </c>
      <c r="H1" s="18"/>
      <c r="I1" s="18"/>
      <c r="J1" s="18" t="s">
        <v>6</v>
      </c>
      <c r="K1" s="18" t="s">
        <v>7</v>
      </c>
      <c r="L1" s="18"/>
    </row>
    <row r="2" spans="1:11">
      <c r="A2" s="4" t="s">
        <v>8</v>
      </c>
      <c r="B2" s="5" t="s">
        <v>9</v>
      </c>
      <c r="C2" s="15"/>
      <c r="D2" s="8"/>
      <c r="E2">
        <f t="shared" ref="E2:E65" si="0">COUNTIF(K$2:K$65,B2)</f>
        <v>1</v>
      </c>
      <c r="F2">
        <f t="shared" ref="F2:F65" si="1">COUNTIF(O$5:O$29,B2)</f>
        <v>3</v>
      </c>
      <c r="G2" t="s">
        <v>10</v>
      </c>
      <c r="H2">
        <f t="shared" ref="H2:H65" si="2">COUNTIF(J$2:J$65,G2)</f>
        <v>1</v>
      </c>
      <c r="J2" t="s">
        <v>11</v>
      </c>
      <c r="K2" t="str">
        <f>"ddhub:"&amp;J2</f>
        <v>ddhub:AccelerationQuantity</v>
      </c>
    </row>
    <row r="3" spans="1:11">
      <c r="A3" s="4" t="s">
        <v>12</v>
      </c>
      <c r="B3" s="8" t="s">
        <v>13</v>
      </c>
      <c r="C3" s="16"/>
      <c r="D3" s="8"/>
      <c r="E3">
        <f t="shared" si="0"/>
        <v>1</v>
      </c>
      <c r="F3">
        <f t="shared" si="1"/>
        <v>0</v>
      </c>
      <c r="G3" t="s">
        <v>14</v>
      </c>
      <c r="H3">
        <f t="shared" si="2"/>
        <v>1</v>
      </c>
      <c r="J3" t="s">
        <v>15</v>
      </c>
      <c r="K3" t="str">
        <f t="shared" ref="K3:K65" si="3">"ddhub:"&amp;J3</f>
        <v>ddhub:AmountSubstanceQuantity</v>
      </c>
    </row>
    <row r="4" spans="1:11">
      <c r="A4" s="4" t="s">
        <v>16</v>
      </c>
      <c r="B4" s="8" t="s">
        <v>17</v>
      </c>
      <c r="C4" s="16"/>
      <c r="D4" s="8"/>
      <c r="E4">
        <f t="shared" si="0"/>
        <v>1</v>
      </c>
      <c r="F4">
        <f t="shared" si="1"/>
        <v>0</v>
      </c>
      <c r="G4" t="s">
        <v>18</v>
      </c>
      <c r="H4">
        <f t="shared" si="2"/>
        <v>1</v>
      </c>
      <c r="J4" t="s">
        <v>19</v>
      </c>
      <c r="K4" t="str">
        <f t="shared" si="3"/>
        <v>ddhub:AngleGradientPerLengthQuantity</v>
      </c>
    </row>
    <row r="5" spans="1:15">
      <c r="A5" s="4" t="s">
        <v>20</v>
      </c>
      <c r="B5" s="8" t="s">
        <v>13</v>
      </c>
      <c r="C5" s="16" t="s">
        <v>21</v>
      </c>
      <c r="D5" s="8"/>
      <c r="E5">
        <f t="shared" si="0"/>
        <v>1</v>
      </c>
      <c r="F5">
        <f t="shared" si="1"/>
        <v>0</v>
      </c>
      <c r="G5" t="s">
        <v>14</v>
      </c>
      <c r="H5">
        <f t="shared" si="2"/>
        <v>1</v>
      </c>
      <c r="J5" t="s">
        <v>22</v>
      </c>
      <c r="K5" t="str">
        <f t="shared" si="3"/>
        <v>ddhub:AngleMagneticFluxDensityQuantity</v>
      </c>
      <c r="M5" s="19" t="s">
        <v>10</v>
      </c>
      <c r="N5" s="20" t="s">
        <v>23</v>
      </c>
      <c r="O5" t="str">
        <f>"ddhub:"&amp;M5</f>
        <v>ddhub:LengthQuantity</v>
      </c>
    </row>
    <row r="6" spans="1:14">
      <c r="A6" s="4" t="s">
        <v>24</v>
      </c>
      <c r="B6" s="8" t="s">
        <v>25</v>
      </c>
      <c r="C6" s="16"/>
      <c r="D6" s="8"/>
      <c r="E6">
        <f t="shared" si="0"/>
        <v>1</v>
      </c>
      <c r="F6">
        <f t="shared" si="1"/>
        <v>0</v>
      </c>
      <c r="G6" t="s">
        <v>26</v>
      </c>
      <c r="H6">
        <f t="shared" si="2"/>
        <v>1</v>
      </c>
      <c r="J6" t="s">
        <v>27</v>
      </c>
      <c r="K6" t="str">
        <f t="shared" si="3"/>
        <v>ddhub:AngularAccelerationQuantity</v>
      </c>
      <c r="M6" s="19"/>
      <c r="N6" s="19"/>
    </row>
    <row r="7" spans="1:14">
      <c r="A7" s="4" t="s">
        <v>28</v>
      </c>
      <c r="B7" s="8" t="s">
        <v>25</v>
      </c>
      <c r="C7" s="16"/>
      <c r="D7" s="8"/>
      <c r="E7">
        <f t="shared" si="0"/>
        <v>1</v>
      </c>
      <c r="F7">
        <f t="shared" si="1"/>
        <v>0</v>
      </c>
      <c r="G7" t="s">
        <v>26</v>
      </c>
      <c r="H7">
        <f t="shared" si="2"/>
        <v>1</v>
      </c>
      <c r="J7" t="s">
        <v>29</v>
      </c>
      <c r="K7" t="str">
        <f t="shared" si="3"/>
        <v>ddhub:AngularVelocityQuantity</v>
      </c>
      <c r="M7" s="19"/>
      <c r="N7" s="19"/>
    </row>
    <row r="8" spans="1:15">
      <c r="A8" s="4" t="s">
        <v>30</v>
      </c>
      <c r="B8" s="5" t="s">
        <v>9</v>
      </c>
      <c r="C8" s="15"/>
      <c r="D8" s="8"/>
      <c r="E8">
        <f t="shared" si="0"/>
        <v>1</v>
      </c>
      <c r="F8">
        <f t="shared" si="1"/>
        <v>3</v>
      </c>
      <c r="G8" t="s">
        <v>10</v>
      </c>
      <c r="H8">
        <f t="shared" si="2"/>
        <v>1</v>
      </c>
      <c r="J8" t="s">
        <v>18</v>
      </c>
      <c r="K8" t="str">
        <f t="shared" si="3"/>
        <v>ddhub:AreaQuantity</v>
      </c>
      <c r="M8" s="19" t="s">
        <v>31</v>
      </c>
      <c r="N8" s="20" t="s">
        <v>32</v>
      </c>
      <c r="O8" t="str">
        <f>"ddhub:"&amp;M8</f>
        <v>ddhub:MassDensityQuantity</v>
      </c>
    </row>
    <row r="9" spans="1:14">
      <c r="A9" s="4" t="s">
        <v>33</v>
      </c>
      <c r="B9" s="8" t="s">
        <v>34</v>
      </c>
      <c r="C9" s="16"/>
      <c r="D9" s="8"/>
      <c r="E9">
        <f t="shared" si="0"/>
        <v>1</v>
      </c>
      <c r="F9">
        <f t="shared" si="1"/>
        <v>0</v>
      </c>
      <c r="G9" t="s">
        <v>35</v>
      </c>
      <c r="H9">
        <f t="shared" si="2"/>
        <v>1</v>
      </c>
      <c r="J9" t="s">
        <v>36</v>
      </c>
      <c r="K9" t="str">
        <f t="shared" si="3"/>
        <v>ddhub:CompressibilityQuantity</v>
      </c>
      <c r="M9" s="19"/>
      <c r="N9" s="19"/>
    </row>
    <row r="10" spans="1:14">
      <c r="A10" s="4" t="s">
        <v>37</v>
      </c>
      <c r="B10" s="8" t="s">
        <v>38</v>
      </c>
      <c r="C10" s="16"/>
      <c r="D10" s="8"/>
      <c r="E10">
        <f t="shared" si="0"/>
        <v>1</v>
      </c>
      <c r="F10">
        <f t="shared" si="1"/>
        <v>0</v>
      </c>
      <c r="G10" t="s">
        <v>39</v>
      </c>
      <c r="H10">
        <f t="shared" si="2"/>
        <v>1</v>
      </c>
      <c r="J10" t="s">
        <v>40</v>
      </c>
      <c r="K10" t="str">
        <f t="shared" si="3"/>
        <v>ddhub:CurvatureQuantity</v>
      </c>
      <c r="M10" s="19"/>
      <c r="N10" s="19"/>
    </row>
    <row r="11" spans="1:14">
      <c r="A11" s="4" t="s">
        <v>41</v>
      </c>
      <c r="B11" s="5" t="s">
        <v>42</v>
      </c>
      <c r="C11" s="15"/>
      <c r="D11" s="8"/>
      <c r="E11">
        <f t="shared" si="0"/>
        <v>0</v>
      </c>
      <c r="F11">
        <f t="shared" si="1"/>
        <v>0</v>
      </c>
      <c r="G11" t="s">
        <v>43</v>
      </c>
      <c r="H11">
        <f t="shared" si="2"/>
        <v>1</v>
      </c>
      <c r="J11" t="s">
        <v>44</v>
      </c>
      <c r="K11" t="str">
        <f t="shared" si="3"/>
        <v>ddhub:DimensionlessQuantity</v>
      </c>
      <c r="M11" s="19"/>
      <c r="N11" s="19"/>
    </row>
    <row r="12" spans="1:14">
      <c r="A12" s="4" t="s">
        <v>45</v>
      </c>
      <c r="B12" s="8" t="s">
        <v>46</v>
      </c>
      <c r="C12" s="16"/>
      <c r="D12" s="8"/>
      <c r="E12">
        <f t="shared" si="0"/>
        <v>1</v>
      </c>
      <c r="F12">
        <f t="shared" si="1"/>
        <v>0</v>
      </c>
      <c r="G12" t="s">
        <v>47</v>
      </c>
      <c r="H12">
        <f t="shared" si="2"/>
        <v>1</v>
      </c>
      <c r="J12" t="s">
        <v>48</v>
      </c>
      <c r="K12" t="str">
        <f t="shared" si="3"/>
        <v>ddhub:DynamicViscosityQuantity</v>
      </c>
      <c r="M12" s="19"/>
      <c r="N12" s="19"/>
    </row>
    <row r="13" spans="1:15">
      <c r="A13" s="4" t="s">
        <v>49</v>
      </c>
      <c r="B13" s="8" t="s">
        <v>50</v>
      </c>
      <c r="C13" s="16"/>
      <c r="D13" s="8"/>
      <c r="E13">
        <f t="shared" si="0"/>
        <v>1</v>
      </c>
      <c r="F13">
        <f t="shared" si="1"/>
        <v>0</v>
      </c>
      <c r="G13" t="s">
        <v>51</v>
      </c>
      <c r="H13">
        <f t="shared" si="2"/>
        <v>1</v>
      </c>
      <c r="J13" t="s">
        <v>52</v>
      </c>
      <c r="K13" t="str">
        <f t="shared" si="3"/>
        <v>ddhub:ElectricCapacitanceQuantity</v>
      </c>
      <c r="M13" s="19" t="s">
        <v>53</v>
      </c>
      <c r="N13" s="20" t="s">
        <v>54</v>
      </c>
      <c r="O13" t="str">
        <f>"ddhub:"&amp;M13</f>
        <v>ddhub:VolumetricFlowRateQuantity</v>
      </c>
    </row>
    <row r="14" spans="1:14">
      <c r="A14" s="4" t="s">
        <v>55</v>
      </c>
      <c r="B14" s="5" t="s">
        <v>56</v>
      </c>
      <c r="C14" s="15"/>
      <c r="D14" s="8"/>
      <c r="E14">
        <f t="shared" si="0"/>
        <v>1</v>
      </c>
      <c r="F14">
        <f t="shared" si="1"/>
        <v>1</v>
      </c>
      <c r="G14" t="s">
        <v>53</v>
      </c>
      <c r="H14">
        <f t="shared" si="2"/>
        <v>1</v>
      </c>
      <c r="J14" t="s">
        <v>14</v>
      </c>
      <c r="K14" t="str">
        <f t="shared" si="3"/>
        <v>ddhub:ElectricCurrentQuantity</v>
      </c>
      <c r="M14" s="19"/>
      <c r="N14" s="19"/>
    </row>
    <row r="15" spans="1:15">
      <c r="A15" s="4" t="s">
        <v>57</v>
      </c>
      <c r="B15" s="5" t="s">
        <v>56</v>
      </c>
      <c r="C15" s="15"/>
      <c r="D15" s="8"/>
      <c r="E15">
        <f t="shared" si="0"/>
        <v>1</v>
      </c>
      <c r="F15">
        <f t="shared" si="1"/>
        <v>1</v>
      </c>
      <c r="G15" t="s">
        <v>53</v>
      </c>
      <c r="H15">
        <f t="shared" si="2"/>
        <v>1</v>
      </c>
      <c r="J15" t="s">
        <v>58</v>
      </c>
      <c r="K15" t="str">
        <f t="shared" si="3"/>
        <v>ddhub:ElectricResistivityQuantity</v>
      </c>
      <c r="M15" s="19" t="s">
        <v>10</v>
      </c>
      <c r="N15" s="20" t="s">
        <v>23</v>
      </c>
      <c r="O15" t="str">
        <f t="shared" ref="O15:O18" si="4">"ddhub:"&amp;M15</f>
        <v>ddhub:LengthQuantity</v>
      </c>
    </row>
    <row r="16" spans="1:15">
      <c r="A16" s="4" t="s">
        <v>59</v>
      </c>
      <c r="B16" s="5" t="s">
        <v>56</v>
      </c>
      <c r="C16" s="16"/>
      <c r="D16" s="8"/>
      <c r="E16">
        <f t="shared" si="0"/>
        <v>1</v>
      </c>
      <c r="F16">
        <f t="shared" si="1"/>
        <v>1</v>
      </c>
      <c r="G16" t="s">
        <v>47</v>
      </c>
      <c r="H16">
        <f t="shared" si="2"/>
        <v>1</v>
      </c>
      <c r="J16" t="s">
        <v>60</v>
      </c>
      <c r="K16" t="str">
        <f t="shared" si="3"/>
        <v>ddhub:ElongationGradientPerLengthQuantity</v>
      </c>
      <c r="M16" s="19" t="s">
        <v>61</v>
      </c>
      <c r="N16" s="20" t="s">
        <v>62</v>
      </c>
      <c r="O16" t="str">
        <f t="shared" si="4"/>
        <v>ddhub:ForceQuantity</v>
      </c>
    </row>
    <row r="17" spans="1:15">
      <c r="A17" s="4" t="s">
        <v>63</v>
      </c>
      <c r="B17" s="5" t="s">
        <v>56</v>
      </c>
      <c r="C17" s="15"/>
      <c r="D17" s="8"/>
      <c r="E17">
        <f t="shared" si="0"/>
        <v>1</v>
      </c>
      <c r="F17">
        <f t="shared" si="1"/>
        <v>1</v>
      </c>
      <c r="G17" t="s">
        <v>53</v>
      </c>
      <c r="H17">
        <f t="shared" si="2"/>
        <v>1</v>
      </c>
      <c r="J17" t="s">
        <v>64</v>
      </c>
      <c r="K17" t="str">
        <f t="shared" si="3"/>
        <v>ddhub:EnergyDensityQuantity</v>
      </c>
      <c r="M17" s="19" t="s">
        <v>10</v>
      </c>
      <c r="N17" s="20" t="s">
        <v>65</v>
      </c>
      <c r="O17" t="str">
        <f t="shared" si="4"/>
        <v>ddhub:LengthQuantity</v>
      </c>
    </row>
    <row r="18" spans="1:15">
      <c r="A18" s="4" t="s">
        <v>66</v>
      </c>
      <c r="B18" s="5" t="s">
        <v>56</v>
      </c>
      <c r="C18" s="16"/>
      <c r="D18" s="8"/>
      <c r="E18">
        <f t="shared" si="0"/>
        <v>1</v>
      </c>
      <c r="F18">
        <f t="shared" si="1"/>
        <v>1</v>
      </c>
      <c r="G18" t="s">
        <v>47</v>
      </c>
      <c r="H18">
        <f t="shared" si="2"/>
        <v>1</v>
      </c>
      <c r="J18" t="s">
        <v>67</v>
      </c>
      <c r="K18" t="str">
        <f t="shared" si="3"/>
        <v>ddhub:EnergyQuantity</v>
      </c>
      <c r="M18" s="19" t="s">
        <v>68</v>
      </c>
      <c r="N18" s="20" t="s">
        <v>69</v>
      </c>
      <c r="O18" t="str">
        <f t="shared" si="4"/>
        <v>ddhub:VelocityQuantity</v>
      </c>
    </row>
    <row r="19" spans="1:14">
      <c r="A19" s="4" t="s">
        <v>70</v>
      </c>
      <c r="B19" s="8" t="s">
        <v>71</v>
      </c>
      <c r="C19" s="16"/>
      <c r="D19" s="8"/>
      <c r="E19">
        <f t="shared" si="0"/>
        <v>1</v>
      </c>
      <c r="F19">
        <f t="shared" si="1"/>
        <v>0</v>
      </c>
      <c r="G19" t="s">
        <v>72</v>
      </c>
      <c r="H19">
        <f t="shared" si="2"/>
        <v>1</v>
      </c>
      <c r="J19" t="s">
        <v>73</v>
      </c>
      <c r="K19" t="str">
        <f t="shared" si="3"/>
        <v>ddhub:ForceGradientPerLengthQuantity</v>
      </c>
      <c r="M19" s="19"/>
      <c r="N19" s="19"/>
    </row>
    <row r="20" spans="1:14">
      <c r="A20" s="4" t="s">
        <v>74</v>
      </c>
      <c r="B20" s="8" t="s">
        <v>13</v>
      </c>
      <c r="C20" s="16"/>
      <c r="D20" s="8"/>
      <c r="E20">
        <f t="shared" si="0"/>
        <v>1</v>
      </c>
      <c r="F20">
        <f t="shared" si="1"/>
        <v>0</v>
      </c>
      <c r="G20" t="s">
        <v>14</v>
      </c>
      <c r="H20">
        <f t="shared" si="2"/>
        <v>1</v>
      </c>
      <c r="J20" t="s">
        <v>61</v>
      </c>
      <c r="K20" t="str">
        <f t="shared" si="3"/>
        <v>ddhub:ForceQuantity</v>
      </c>
      <c r="M20" s="19"/>
      <c r="N20" s="19"/>
    </row>
    <row r="21" spans="1:14">
      <c r="A21" s="4" t="s">
        <v>75</v>
      </c>
      <c r="B21" s="8" t="s">
        <v>76</v>
      </c>
      <c r="C21" s="16"/>
      <c r="D21" s="8"/>
      <c r="E21">
        <f t="shared" si="0"/>
        <v>1</v>
      </c>
      <c r="F21">
        <f t="shared" si="1"/>
        <v>0</v>
      </c>
      <c r="G21" t="s">
        <v>67</v>
      </c>
      <c r="H21">
        <f t="shared" si="2"/>
        <v>1</v>
      </c>
      <c r="J21" t="s">
        <v>77</v>
      </c>
      <c r="K21" t="str">
        <f t="shared" si="3"/>
        <v>ddhub:FrequencyQuantity</v>
      </c>
      <c r="M21" s="19"/>
      <c r="N21" s="19"/>
    </row>
    <row r="22" spans="1:15">
      <c r="A22" s="4" t="s">
        <v>78</v>
      </c>
      <c r="B22" s="8" t="s">
        <v>79</v>
      </c>
      <c r="C22" s="16"/>
      <c r="D22" s="8"/>
      <c r="E22">
        <f t="shared" si="0"/>
        <v>1</v>
      </c>
      <c r="F22">
        <f t="shared" si="1"/>
        <v>0</v>
      </c>
      <c r="G22" t="s">
        <v>80</v>
      </c>
      <c r="H22">
        <f t="shared" si="2"/>
        <v>0</v>
      </c>
      <c r="J22" t="s">
        <v>81</v>
      </c>
      <c r="K22" t="str">
        <f t="shared" si="3"/>
        <v>ddhub:FrequencyRateOfChangeQuantity</v>
      </c>
      <c r="M22" s="19" t="s">
        <v>68</v>
      </c>
      <c r="N22" s="20" t="s">
        <v>82</v>
      </c>
      <c r="O22" t="str">
        <f t="shared" ref="O22:O25" si="5">"ddhub:"&amp;M22</f>
        <v>ddhub:VelocityQuantity</v>
      </c>
    </row>
    <row r="23" spans="1:15">
      <c r="A23" s="4" t="s">
        <v>83</v>
      </c>
      <c r="B23" s="8" t="s">
        <v>84</v>
      </c>
      <c r="C23" s="16"/>
      <c r="D23" s="8"/>
      <c r="E23">
        <f t="shared" si="0"/>
        <v>1</v>
      </c>
      <c r="F23">
        <f t="shared" si="1"/>
        <v>0</v>
      </c>
      <c r="G23" t="s">
        <v>85</v>
      </c>
      <c r="H23">
        <f t="shared" si="2"/>
        <v>0</v>
      </c>
      <c r="J23" t="s">
        <v>86</v>
      </c>
      <c r="K23" t="str">
        <f t="shared" si="3"/>
        <v>ddhub:GravitationalLoadQuantity</v>
      </c>
      <c r="M23" s="19" t="s">
        <v>43</v>
      </c>
      <c r="N23" s="20" t="s">
        <v>87</v>
      </c>
      <c r="O23" t="str">
        <f t="shared" si="5"/>
        <v>ddhub:PressureQuantity</v>
      </c>
    </row>
    <row r="24" spans="1:15">
      <c r="A24" s="4" t="s">
        <v>88</v>
      </c>
      <c r="B24" s="8" t="s">
        <v>89</v>
      </c>
      <c r="C24" s="16"/>
      <c r="D24" s="8"/>
      <c r="E24">
        <f t="shared" si="0"/>
        <v>1</v>
      </c>
      <c r="F24">
        <f t="shared" si="1"/>
        <v>0</v>
      </c>
      <c r="G24" t="s">
        <v>64</v>
      </c>
      <c r="H24">
        <f t="shared" si="2"/>
        <v>1</v>
      </c>
      <c r="J24" t="s">
        <v>90</v>
      </c>
      <c r="K24" t="str">
        <f t="shared" si="3"/>
        <v>ddhub:HeatTransferCoefficientQuantity</v>
      </c>
      <c r="M24" s="21" t="s">
        <v>77</v>
      </c>
      <c r="N24" s="22" t="s">
        <v>91</v>
      </c>
      <c r="O24" t="str">
        <f t="shared" si="5"/>
        <v>ddhub:FrequencyQuantity</v>
      </c>
    </row>
    <row r="25" spans="1:15">
      <c r="A25" s="4" t="s">
        <v>92</v>
      </c>
      <c r="B25" s="8" t="s">
        <v>89</v>
      </c>
      <c r="C25" s="16"/>
      <c r="D25" s="8"/>
      <c r="E25">
        <f t="shared" si="0"/>
        <v>1</v>
      </c>
      <c r="F25">
        <f t="shared" si="1"/>
        <v>0</v>
      </c>
      <c r="G25" t="s">
        <v>64</v>
      </c>
      <c r="H25">
        <f t="shared" si="2"/>
        <v>1</v>
      </c>
      <c r="J25" t="s">
        <v>93</v>
      </c>
      <c r="K25" t="str">
        <f t="shared" si="3"/>
        <v>ddhub:HydraulicConductivityQuantity</v>
      </c>
      <c r="M25" s="19" t="s">
        <v>94</v>
      </c>
      <c r="N25" s="20" t="s">
        <v>95</v>
      </c>
      <c r="O25" t="str">
        <f t="shared" si="5"/>
        <v>ddhub:TorqueQuantity</v>
      </c>
    </row>
    <row r="26" spans="1:14">
      <c r="A26" s="4" t="s">
        <v>96</v>
      </c>
      <c r="B26" s="8" t="s">
        <v>89</v>
      </c>
      <c r="C26" s="16"/>
      <c r="D26" s="8"/>
      <c r="E26">
        <f t="shared" si="0"/>
        <v>1</v>
      </c>
      <c r="F26">
        <f t="shared" si="1"/>
        <v>0</v>
      </c>
      <c r="G26" t="s">
        <v>64</v>
      </c>
      <c r="H26">
        <f t="shared" si="2"/>
        <v>1</v>
      </c>
      <c r="J26" t="s">
        <v>97</v>
      </c>
      <c r="K26" t="str">
        <f t="shared" si="3"/>
        <v>ddhub:InterfacialTensionQuantity</v>
      </c>
      <c r="M26" s="19"/>
      <c r="N26" s="19"/>
    </row>
    <row r="27" spans="1:14">
      <c r="A27" s="4" t="s">
        <v>98</v>
      </c>
      <c r="B27" s="8" t="s">
        <v>89</v>
      </c>
      <c r="C27" s="16"/>
      <c r="D27" s="8"/>
      <c r="E27">
        <f t="shared" si="0"/>
        <v>1</v>
      </c>
      <c r="F27">
        <f t="shared" si="1"/>
        <v>0</v>
      </c>
      <c r="G27" t="s">
        <v>64</v>
      </c>
      <c r="H27">
        <f t="shared" si="2"/>
        <v>1</v>
      </c>
      <c r="J27" t="s">
        <v>99</v>
      </c>
      <c r="K27" t="str">
        <f t="shared" si="3"/>
        <v>ddhub:IsobaricSpecificHeatCapacityGradientPerTemperatureQuantity</v>
      </c>
      <c r="M27" s="19"/>
      <c r="N27" s="19"/>
    </row>
    <row r="28" spans="1:14">
      <c r="A28" s="4" t="s">
        <v>100</v>
      </c>
      <c r="B28" s="8" t="s">
        <v>89</v>
      </c>
      <c r="C28" s="16"/>
      <c r="D28" s="8"/>
      <c r="E28">
        <f t="shared" si="0"/>
        <v>1</v>
      </c>
      <c r="F28">
        <f t="shared" si="1"/>
        <v>0</v>
      </c>
      <c r="G28" t="s">
        <v>67</v>
      </c>
      <c r="H28">
        <f t="shared" si="2"/>
        <v>1</v>
      </c>
      <c r="J28" t="s">
        <v>101</v>
      </c>
      <c r="K28" t="str">
        <f t="shared" si="3"/>
        <v>ddhub:IsobaricSpecificHeatCapacityQuantity</v>
      </c>
      <c r="M28" s="19"/>
      <c r="N28" s="19"/>
    </row>
    <row r="29" spans="1:15">
      <c r="A29" s="4" t="s">
        <v>102</v>
      </c>
      <c r="B29" s="8" t="s">
        <v>79</v>
      </c>
      <c r="C29" s="16"/>
      <c r="D29" s="8"/>
      <c r="E29">
        <f t="shared" si="0"/>
        <v>1</v>
      </c>
      <c r="F29">
        <f t="shared" si="1"/>
        <v>0</v>
      </c>
      <c r="G29" t="s">
        <v>85</v>
      </c>
      <c r="H29">
        <f t="shared" si="2"/>
        <v>0</v>
      </c>
      <c r="J29" t="s">
        <v>10</v>
      </c>
      <c r="K29" t="str">
        <f t="shared" si="3"/>
        <v>ddhub:LengthQuantity</v>
      </c>
      <c r="M29" s="19" t="s">
        <v>61</v>
      </c>
      <c r="N29" s="20" t="s">
        <v>103</v>
      </c>
      <c r="O29" t="str">
        <f>"ddhub:"&amp;M29</f>
        <v>ddhub:ForceQuantity</v>
      </c>
    </row>
    <row r="30" spans="1:11">
      <c r="A30" s="4" t="s">
        <v>104</v>
      </c>
      <c r="B30" s="8" t="s">
        <v>84</v>
      </c>
      <c r="C30" s="16"/>
      <c r="D30" s="8"/>
      <c r="E30">
        <f t="shared" si="0"/>
        <v>1</v>
      </c>
      <c r="F30">
        <f t="shared" si="1"/>
        <v>0</v>
      </c>
      <c r="G30" t="s">
        <v>85</v>
      </c>
      <c r="H30">
        <f t="shared" si="2"/>
        <v>0</v>
      </c>
      <c r="J30" t="s">
        <v>72</v>
      </c>
      <c r="K30" t="str">
        <f t="shared" si="3"/>
        <v>ddhub:LuminousIntensityQuantity</v>
      </c>
    </row>
    <row r="31" spans="1:11">
      <c r="A31" s="4" t="s">
        <v>105</v>
      </c>
      <c r="B31" s="8" t="s">
        <v>106</v>
      </c>
      <c r="C31" s="16"/>
      <c r="D31" s="8"/>
      <c r="E31">
        <f t="shared" si="0"/>
        <v>1</v>
      </c>
      <c r="F31">
        <f t="shared" si="1"/>
        <v>0</v>
      </c>
      <c r="G31" t="s">
        <v>80</v>
      </c>
      <c r="H31">
        <f t="shared" si="2"/>
        <v>0</v>
      </c>
      <c r="J31" t="s">
        <v>107</v>
      </c>
      <c r="K31" t="str">
        <f t="shared" si="3"/>
        <v>ddhub:MagneticFluxDensityQuantity</v>
      </c>
    </row>
    <row r="32" spans="1:11">
      <c r="A32" s="4" t="s">
        <v>108</v>
      </c>
      <c r="B32" s="8" t="s">
        <v>89</v>
      </c>
      <c r="C32" s="16"/>
      <c r="D32" s="8"/>
      <c r="E32">
        <f t="shared" si="0"/>
        <v>1</v>
      </c>
      <c r="F32">
        <f t="shared" si="1"/>
        <v>0</v>
      </c>
      <c r="G32" t="s">
        <v>64</v>
      </c>
      <c r="H32">
        <f t="shared" si="2"/>
        <v>1</v>
      </c>
      <c r="J32" t="s">
        <v>109</v>
      </c>
      <c r="K32" t="str">
        <f t="shared" si="3"/>
        <v>ddhub:MagneticFluxQuantity</v>
      </c>
    </row>
    <row r="33" spans="1:11">
      <c r="A33" s="4" t="s">
        <v>110</v>
      </c>
      <c r="B33" s="8" t="s">
        <v>111</v>
      </c>
      <c r="C33" s="16"/>
      <c r="D33" s="8"/>
      <c r="E33">
        <f t="shared" si="0"/>
        <v>1</v>
      </c>
      <c r="F33">
        <f t="shared" si="1"/>
        <v>0</v>
      </c>
      <c r="G33" t="s">
        <v>80</v>
      </c>
      <c r="H33">
        <f t="shared" si="2"/>
        <v>0</v>
      </c>
      <c r="J33" t="s">
        <v>112</v>
      </c>
      <c r="K33" t="str">
        <f t="shared" si="3"/>
        <v>ddhub:MassDensityGradientPerLengthQuantity</v>
      </c>
    </row>
    <row r="34" spans="1:11">
      <c r="A34" s="4" t="s">
        <v>113</v>
      </c>
      <c r="B34" s="8" t="s">
        <v>114</v>
      </c>
      <c r="C34" s="16"/>
      <c r="D34" s="8"/>
      <c r="E34">
        <f t="shared" si="0"/>
        <v>1</v>
      </c>
      <c r="F34">
        <f t="shared" si="1"/>
        <v>0</v>
      </c>
      <c r="G34" t="s">
        <v>85</v>
      </c>
      <c r="H34">
        <f t="shared" si="2"/>
        <v>0</v>
      </c>
      <c r="J34" t="s">
        <v>115</v>
      </c>
      <c r="K34" t="str">
        <f t="shared" si="3"/>
        <v>ddhub:MassDensityGradientPerTemperatureQuantity</v>
      </c>
    </row>
    <row r="35" spans="1:11">
      <c r="A35" s="4" t="s">
        <v>116</v>
      </c>
      <c r="B35" s="8" t="s">
        <v>76</v>
      </c>
      <c r="C35" s="16"/>
      <c r="D35" s="8"/>
      <c r="E35">
        <f t="shared" si="0"/>
        <v>1</v>
      </c>
      <c r="F35">
        <f t="shared" si="1"/>
        <v>0</v>
      </c>
      <c r="G35" t="s">
        <v>67</v>
      </c>
      <c r="H35">
        <f t="shared" si="2"/>
        <v>1</v>
      </c>
      <c r="J35" t="s">
        <v>31</v>
      </c>
      <c r="K35" t="str">
        <f t="shared" si="3"/>
        <v>ddhub:MassDensityQuantity</v>
      </c>
    </row>
    <row r="36" spans="1:11">
      <c r="A36" s="4" t="s">
        <v>117</v>
      </c>
      <c r="B36" s="8" t="s">
        <v>79</v>
      </c>
      <c r="C36" s="16"/>
      <c r="D36" s="8"/>
      <c r="E36">
        <f t="shared" si="0"/>
        <v>1</v>
      </c>
      <c r="F36">
        <f t="shared" si="1"/>
        <v>0</v>
      </c>
      <c r="G36" t="s">
        <v>85</v>
      </c>
      <c r="H36">
        <f t="shared" si="2"/>
        <v>0</v>
      </c>
      <c r="J36" t="s">
        <v>118</v>
      </c>
      <c r="K36" t="str">
        <f t="shared" si="3"/>
        <v>ddhub:MassDensityRateOfChangeQuantity</v>
      </c>
    </row>
    <row r="37" spans="1:11">
      <c r="A37" s="4" t="s">
        <v>119</v>
      </c>
      <c r="B37" s="8" t="s">
        <v>84</v>
      </c>
      <c r="C37" s="16"/>
      <c r="D37" s="8"/>
      <c r="E37">
        <f t="shared" si="0"/>
        <v>1</v>
      </c>
      <c r="F37">
        <f t="shared" si="1"/>
        <v>0</v>
      </c>
      <c r="G37" t="s">
        <v>85</v>
      </c>
      <c r="H37">
        <f t="shared" si="2"/>
        <v>0</v>
      </c>
      <c r="J37" t="s">
        <v>120</v>
      </c>
      <c r="K37" t="str">
        <f t="shared" si="3"/>
        <v>ddhub:MassGradientPerLengthQuantity</v>
      </c>
    </row>
    <row r="38" spans="1:11">
      <c r="A38" s="4" t="s">
        <v>121</v>
      </c>
      <c r="B38" s="8" t="s">
        <v>89</v>
      </c>
      <c r="C38" s="16"/>
      <c r="D38" s="8"/>
      <c r="E38">
        <f t="shared" si="0"/>
        <v>1</v>
      </c>
      <c r="F38">
        <f t="shared" si="1"/>
        <v>0</v>
      </c>
      <c r="G38" t="s">
        <v>64</v>
      </c>
      <c r="H38">
        <f t="shared" si="2"/>
        <v>1</v>
      </c>
      <c r="J38" t="s">
        <v>35</v>
      </c>
      <c r="K38" t="str">
        <f t="shared" si="3"/>
        <v>ddhub:MassQuantity</v>
      </c>
    </row>
    <row r="39" spans="1:11">
      <c r="A39" s="4" t="s">
        <v>122</v>
      </c>
      <c r="B39" s="8" t="s">
        <v>89</v>
      </c>
      <c r="C39" s="16"/>
      <c r="D39" s="8"/>
      <c r="E39">
        <f t="shared" si="0"/>
        <v>1</v>
      </c>
      <c r="F39">
        <f t="shared" si="1"/>
        <v>0</v>
      </c>
      <c r="G39" t="s">
        <v>64</v>
      </c>
      <c r="H39">
        <f t="shared" si="2"/>
        <v>1</v>
      </c>
      <c r="J39" t="s">
        <v>123</v>
      </c>
      <c r="K39" t="str">
        <f t="shared" si="3"/>
        <v>ddhub:MassRateQuantity</v>
      </c>
    </row>
    <row r="40" spans="1:11">
      <c r="A40" s="4" t="s">
        <v>124</v>
      </c>
      <c r="B40" s="8" t="s">
        <v>89</v>
      </c>
      <c r="C40" s="16"/>
      <c r="D40" s="8"/>
      <c r="E40">
        <f t="shared" si="0"/>
        <v>1</v>
      </c>
      <c r="F40">
        <f t="shared" si="1"/>
        <v>0</v>
      </c>
      <c r="G40" t="s">
        <v>64</v>
      </c>
      <c r="H40">
        <f t="shared" si="2"/>
        <v>1</v>
      </c>
      <c r="J40" t="s">
        <v>125</v>
      </c>
      <c r="K40" t="str">
        <f t="shared" si="3"/>
        <v>ddhub:MaterialStrengthQuantity</v>
      </c>
    </row>
    <row r="41" spans="1:11">
      <c r="A41" s="4" t="s">
        <v>126</v>
      </c>
      <c r="B41" s="8" t="s">
        <v>89</v>
      </c>
      <c r="C41" s="16"/>
      <c r="D41" s="8"/>
      <c r="E41">
        <f t="shared" si="0"/>
        <v>1</v>
      </c>
      <c r="F41">
        <f t="shared" si="1"/>
        <v>0</v>
      </c>
      <c r="G41" t="s">
        <v>67</v>
      </c>
      <c r="H41">
        <f t="shared" si="2"/>
        <v>1</v>
      </c>
      <c r="J41" t="s">
        <v>26</v>
      </c>
      <c r="K41" t="str">
        <f t="shared" si="3"/>
        <v>ddhub:PlaneAngleQuantity</v>
      </c>
    </row>
    <row r="42" spans="1:11">
      <c r="A42" s="4" t="s">
        <v>127</v>
      </c>
      <c r="B42" s="8" t="s">
        <v>89</v>
      </c>
      <c r="C42" s="16"/>
      <c r="D42" s="8"/>
      <c r="E42">
        <f t="shared" si="0"/>
        <v>1</v>
      </c>
      <c r="F42">
        <f t="shared" si="1"/>
        <v>0</v>
      </c>
      <c r="G42" t="s">
        <v>64</v>
      </c>
      <c r="H42">
        <f t="shared" si="2"/>
        <v>1</v>
      </c>
      <c r="J42" t="s">
        <v>128</v>
      </c>
      <c r="K42" t="str">
        <f t="shared" si="3"/>
        <v>ddhub:PorousMediumPermeabilityQuantity</v>
      </c>
    </row>
    <row r="43" spans="1:11">
      <c r="A43" s="4" t="s">
        <v>129</v>
      </c>
      <c r="B43" s="8" t="s">
        <v>111</v>
      </c>
      <c r="C43" s="16"/>
      <c r="D43" s="8"/>
      <c r="E43">
        <f t="shared" si="0"/>
        <v>1</v>
      </c>
      <c r="F43">
        <f t="shared" si="1"/>
        <v>0</v>
      </c>
      <c r="G43" t="s">
        <v>130</v>
      </c>
      <c r="H43">
        <f t="shared" si="2"/>
        <v>0</v>
      </c>
      <c r="J43" t="s">
        <v>39</v>
      </c>
      <c r="K43" t="str">
        <f t="shared" si="3"/>
        <v>ddhub:PowerQuantity</v>
      </c>
    </row>
    <row r="44" spans="1:11">
      <c r="A44" s="4" t="s">
        <v>131</v>
      </c>
      <c r="B44" s="8" t="s">
        <v>114</v>
      </c>
      <c r="C44" s="16"/>
      <c r="D44" s="8"/>
      <c r="E44">
        <f t="shared" si="0"/>
        <v>1</v>
      </c>
      <c r="F44">
        <f t="shared" si="1"/>
        <v>0</v>
      </c>
      <c r="G44" t="s">
        <v>130</v>
      </c>
      <c r="H44">
        <f t="shared" si="2"/>
        <v>0</v>
      </c>
      <c r="J44" t="s">
        <v>47</v>
      </c>
      <c r="K44" t="str">
        <f t="shared" si="3"/>
        <v>ddhub:PressureGradientPerLengthQuantity</v>
      </c>
    </row>
    <row r="45" spans="1:11">
      <c r="A45" s="4" t="s">
        <v>132</v>
      </c>
      <c r="B45" s="8" t="s">
        <v>89</v>
      </c>
      <c r="C45" s="16"/>
      <c r="D45" s="8"/>
      <c r="E45">
        <f t="shared" si="0"/>
        <v>1</v>
      </c>
      <c r="F45">
        <f t="shared" si="1"/>
        <v>0</v>
      </c>
      <c r="G45" t="s">
        <v>64</v>
      </c>
      <c r="H45">
        <f t="shared" si="2"/>
        <v>1</v>
      </c>
      <c r="J45" t="s">
        <v>133</v>
      </c>
      <c r="K45" t="str">
        <f t="shared" si="3"/>
        <v>ddhub:PressureLossConstantQuantity</v>
      </c>
    </row>
    <row r="46" spans="1:11">
      <c r="A46" s="4" t="s">
        <v>134</v>
      </c>
      <c r="B46" s="8" t="s">
        <v>79</v>
      </c>
      <c r="C46" s="16"/>
      <c r="D46" s="8"/>
      <c r="E46">
        <f t="shared" si="0"/>
        <v>1</v>
      </c>
      <c r="F46">
        <f t="shared" si="1"/>
        <v>0</v>
      </c>
      <c r="G46" t="s">
        <v>85</v>
      </c>
      <c r="H46">
        <f t="shared" si="2"/>
        <v>0</v>
      </c>
      <c r="J46" t="s">
        <v>43</v>
      </c>
      <c r="K46" t="str">
        <f t="shared" si="3"/>
        <v>ddhub:PressureQuantity</v>
      </c>
    </row>
    <row r="47" spans="1:11">
      <c r="A47" s="4" t="s">
        <v>135</v>
      </c>
      <c r="B47" s="8" t="s">
        <v>84</v>
      </c>
      <c r="C47" s="16"/>
      <c r="D47" s="8"/>
      <c r="E47">
        <f t="shared" si="0"/>
        <v>1</v>
      </c>
      <c r="F47">
        <f t="shared" si="1"/>
        <v>0</v>
      </c>
      <c r="G47" t="s">
        <v>85</v>
      </c>
      <c r="H47">
        <f t="shared" si="2"/>
        <v>0</v>
      </c>
      <c r="J47" t="s">
        <v>136</v>
      </c>
      <c r="K47" t="str">
        <f t="shared" si="3"/>
        <v>ddhub:ProportionQuantity</v>
      </c>
    </row>
    <row r="48" spans="1:11">
      <c r="A48" s="4" t="s">
        <v>137</v>
      </c>
      <c r="B48" s="8" t="s">
        <v>71</v>
      </c>
      <c r="C48" s="16"/>
      <c r="D48" s="8"/>
      <c r="E48">
        <f t="shared" si="0"/>
        <v>1</v>
      </c>
      <c r="F48">
        <f t="shared" si="1"/>
        <v>0</v>
      </c>
      <c r="G48" t="s">
        <v>72</v>
      </c>
      <c r="H48">
        <f t="shared" si="2"/>
        <v>1</v>
      </c>
      <c r="J48" t="s">
        <v>138</v>
      </c>
      <c r="K48" t="str">
        <f t="shared" si="3"/>
        <v>ddhub:RandomWalkQuantity</v>
      </c>
    </row>
    <row r="49" spans="1:11">
      <c r="A49" s="4" t="s">
        <v>139</v>
      </c>
      <c r="B49" s="8" t="s">
        <v>71</v>
      </c>
      <c r="C49" s="16"/>
      <c r="D49" s="8"/>
      <c r="E49">
        <f t="shared" si="0"/>
        <v>1</v>
      </c>
      <c r="F49">
        <f t="shared" si="1"/>
        <v>0</v>
      </c>
      <c r="G49" t="s">
        <v>72</v>
      </c>
      <c r="H49">
        <f t="shared" si="2"/>
        <v>1</v>
      </c>
      <c r="J49" t="s">
        <v>140</v>
      </c>
      <c r="K49" t="str">
        <f t="shared" si="3"/>
        <v>ddhub:RelativeTemperatureQuantity</v>
      </c>
    </row>
    <row r="50" spans="1:11">
      <c r="A50" s="4" t="s">
        <v>141</v>
      </c>
      <c r="B50" s="8" t="s">
        <v>142</v>
      </c>
      <c r="C50" s="16" t="s">
        <v>143</v>
      </c>
      <c r="D50" s="8"/>
      <c r="E50">
        <f t="shared" si="0"/>
        <v>1</v>
      </c>
      <c r="F50">
        <f t="shared" si="1"/>
        <v>0</v>
      </c>
      <c r="G50" t="s">
        <v>144</v>
      </c>
      <c r="H50">
        <f t="shared" si="2"/>
        <v>1</v>
      </c>
      <c r="J50" t="s">
        <v>145</v>
      </c>
      <c r="K50" t="str">
        <f t="shared" si="3"/>
        <v>ddhub:RotationalFrequencyRateOfChangeQuantity</v>
      </c>
    </row>
    <row r="51" spans="1:11">
      <c r="A51" s="4" t="s">
        <v>146</v>
      </c>
      <c r="B51" s="8" t="s">
        <v>147</v>
      </c>
      <c r="C51" s="16"/>
      <c r="D51" s="8"/>
      <c r="E51">
        <f t="shared" si="0"/>
        <v>1</v>
      </c>
      <c r="F51">
        <f t="shared" si="1"/>
        <v>0</v>
      </c>
      <c r="G51" t="s">
        <v>148</v>
      </c>
      <c r="H51">
        <f t="shared" si="2"/>
        <v>1</v>
      </c>
      <c r="J51" t="s">
        <v>149</v>
      </c>
      <c r="K51" t="str">
        <f t="shared" si="3"/>
        <v>ddhub:SolidAngleQuantity</v>
      </c>
    </row>
    <row r="52" spans="1:11">
      <c r="A52" s="4" t="s">
        <v>150</v>
      </c>
      <c r="B52" s="8" t="s">
        <v>147</v>
      </c>
      <c r="C52" s="16"/>
      <c r="D52" s="8"/>
      <c r="E52">
        <f t="shared" si="0"/>
        <v>1</v>
      </c>
      <c r="F52">
        <f t="shared" si="1"/>
        <v>0</v>
      </c>
      <c r="G52" t="s">
        <v>151</v>
      </c>
      <c r="H52">
        <f t="shared" si="2"/>
        <v>0</v>
      </c>
      <c r="J52" t="s">
        <v>152</v>
      </c>
      <c r="K52" t="str">
        <f t="shared" si="3"/>
        <v>ddhub:StressQuantity</v>
      </c>
    </row>
    <row r="53" spans="1:11">
      <c r="A53" s="4" t="s">
        <v>153</v>
      </c>
      <c r="B53" s="8" t="s">
        <v>147</v>
      </c>
      <c r="C53" s="16"/>
      <c r="D53" s="8"/>
      <c r="E53">
        <f t="shared" si="0"/>
        <v>1</v>
      </c>
      <c r="F53">
        <f t="shared" si="1"/>
        <v>0</v>
      </c>
      <c r="G53" t="s">
        <v>151</v>
      </c>
      <c r="H53">
        <f t="shared" si="2"/>
        <v>0</v>
      </c>
      <c r="J53" t="s">
        <v>154</v>
      </c>
      <c r="K53" t="str">
        <f t="shared" si="3"/>
        <v>ddhub:TemperatureGradientPerLengthQuantity</v>
      </c>
    </row>
    <row r="54" spans="1:11">
      <c r="A54" s="4" t="s">
        <v>155</v>
      </c>
      <c r="B54" s="8" t="s">
        <v>147</v>
      </c>
      <c r="C54" s="16"/>
      <c r="D54" s="8"/>
      <c r="E54">
        <f t="shared" si="0"/>
        <v>1</v>
      </c>
      <c r="F54">
        <f t="shared" si="1"/>
        <v>0</v>
      </c>
      <c r="G54" t="s">
        <v>151</v>
      </c>
      <c r="H54">
        <f t="shared" si="2"/>
        <v>0</v>
      </c>
      <c r="J54" t="s">
        <v>144</v>
      </c>
      <c r="K54" t="str">
        <f t="shared" si="3"/>
        <v>ddhub:TemperatureQuantity</v>
      </c>
    </row>
    <row r="55" spans="1:11">
      <c r="A55" s="4" t="s">
        <v>156</v>
      </c>
      <c r="B55" s="8" t="s">
        <v>147</v>
      </c>
      <c r="C55" s="16"/>
      <c r="D55" s="8"/>
      <c r="E55">
        <f t="shared" si="0"/>
        <v>1</v>
      </c>
      <c r="F55">
        <f t="shared" si="1"/>
        <v>0</v>
      </c>
      <c r="G55" t="s">
        <v>151</v>
      </c>
      <c r="H55">
        <f t="shared" si="2"/>
        <v>0</v>
      </c>
      <c r="J55" t="s">
        <v>157</v>
      </c>
      <c r="K55" t="str">
        <f t="shared" si="3"/>
        <v>ddhub:TensionQuantity</v>
      </c>
    </row>
    <row r="56" spans="1:11">
      <c r="A56" s="4" t="s">
        <v>158</v>
      </c>
      <c r="B56" s="8" t="s">
        <v>147</v>
      </c>
      <c r="C56" s="16"/>
      <c r="D56" s="8"/>
      <c r="E56">
        <f t="shared" si="0"/>
        <v>1</v>
      </c>
      <c r="F56">
        <f t="shared" si="1"/>
        <v>0</v>
      </c>
      <c r="G56" t="s">
        <v>151</v>
      </c>
      <c r="H56">
        <f t="shared" si="2"/>
        <v>0</v>
      </c>
      <c r="J56" t="s">
        <v>148</v>
      </c>
      <c r="K56" t="str">
        <f t="shared" si="3"/>
        <v>ddhub:ThermalConductivityGradientPerTemperatureQuantity</v>
      </c>
    </row>
    <row r="57" spans="1:11">
      <c r="A57" s="4" t="s">
        <v>159</v>
      </c>
      <c r="B57" s="8" t="s">
        <v>147</v>
      </c>
      <c r="C57" s="16"/>
      <c r="D57" s="8"/>
      <c r="E57">
        <f t="shared" si="0"/>
        <v>1</v>
      </c>
      <c r="F57">
        <f t="shared" si="1"/>
        <v>0</v>
      </c>
      <c r="G57" t="s">
        <v>151</v>
      </c>
      <c r="H57">
        <f t="shared" si="2"/>
        <v>0</v>
      </c>
      <c r="J57" t="s">
        <v>160</v>
      </c>
      <c r="K57" t="str">
        <f t="shared" si="3"/>
        <v>ddhub:ThermalConductivityQuantity</v>
      </c>
    </row>
    <row r="58" spans="1:11">
      <c r="A58" s="4" t="s">
        <v>161</v>
      </c>
      <c r="B58" s="8" t="s">
        <v>13</v>
      </c>
      <c r="C58" s="16"/>
      <c r="D58" s="8"/>
      <c r="E58">
        <f t="shared" si="0"/>
        <v>1</v>
      </c>
      <c r="F58">
        <f t="shared" si="1"/>
        <v>0</v>
      </c>
      <c r="G58" t="s">
        <v>14</v>
      </c>
      <c r="H58">
        <f t="shared" si="2"/>
        <v>1</v>
      </c>
      <c r="J58" t="s">
        <v>162</v>
      </c>
      <c r="K58" t="str">
        <f t="shared" si="3"/>
        <v>ddhub:TimeQuantity</v>
      </c>
    </row>
    <row r="59" spans="1:11">
      <c r="A59" s="4" t="s">
        <v>163</v>
      </c>
      <c r="B59" s="8" t="s">
        <v>34</v>
      </c>
      <c r="C59" s="16"/>
      <c r="D59" s="8"/>
      <c r="E59">
        <f t="shared" si="0"/>
        <v>1</v>
      </c>
      <c r="F59">
        <f t="shared" si="1"/>
        <v>0</v>
      </c>
      <c r="G59" t="s">
        <v>35</v>
      </c>
      <c r="H59">
        <f t="shared" si="2"/>
        <v>1</v>
      </c>
      <c r="J59" t="s">
        <v>164</v>
      </c>
      <c r="K59" t="str">
        <f t="shared" si="3"/>
        <v>ddhub:TorqueGradientPerLengthQuantity</v>
      </c>
    </row>
    <row r="60" spans="1:11">
      <c r="A60" s="4" t="s">
        <v>165</v>
      </c>
      <c r="B60" s="8" t="s">
        <v>50</v>
      </c>
      <c r="C60" s="16" t="s">
        <v>166</v>
      </c>
      <c r="D60" s="8"/>
      <c r="E60">
        <f t="shared" si="0"/>
        <v>1</v>
      </c>
      <c r="F60">
        <f t="shared" si="1"/>
        <v>0</v>
      </c>
      <c r="G60" t="s">
        <v>51</v>
      </c>
      <c r="H60">
        <f t="shared" si="2"/>
        <v>1</v>
      </c>
      <c r="J60" t="s">
        <v>94</v>
      </c>
      <c r="K60" t="str">
        <f t="shared" si="3"/>
        <v>ddhub:TorqueQuantity</v>
      </c>
    </row>
    <row r="61" spans="1:11">
      <c r="A61" s="4" t="s">
        <v>167</v>
      </c>
      <c r="B61" s="5" t="s">
        <v>9</v>
      </c>
      <c r="C61" s="17" t="s">
        <v>168</v>
      </c>
      <c r="D61" s="8"/>
      <c r="E61">
        <f t="shared" si="0"/>
        <v>1</v>
      </c>
      <c r="F61">
        <f t="shared" si="1"/>
        <v>3</v>
      </c>
      <c r="G61" t="s">
        <v>10</v>
      </c>
      <c r="H61">
        <f t="shared" si="2"/>
        <v>1</v>
      </c>
      <c r="J61" t="s">
        <v>68</v>
      </c>
      <c r="K61" t="str">
        <f t="shared" si="3"/>
        <v>ddhub:VelocityQuantity</v>
      </c>
    </row>
    <row r="62" spans="1:11">
      <c r="A62" s="4" t="s">
        <v>169</v>
      </c>
      <c r="B62" s="5" t="s">
        <v>170</v>
      </c>
      <c r="C62" s="15"/>
      <c r="D62" s="8"/>
      <c r="E62">
        <f t="shared" si="0"/>
        <v>1</v>
      </c>
      <c r="F62">
        <f t="shared" si="1"/>
        <v>1</v>
      </c>
      <c r="G62" t="s">
        <v>43</v>
      </c>
      <c r="H62">
        <f t="shared" si="2"/>
        <v>1</v>
      </c>
      <c r="J62" t="s">
        <v>51</v>
      </c>
      <c r="K62" t="str">
        <f t="shared" si="3"/>
        <v>ddhub:VolumeQuantity</v>
      </c>
    </row>
    <row r="63" spans="1:11">
      <c r="A63" s="4" t="s">
        <v>171</v>
      </c>
      <c r="B63" s="5" t="s">
        <v>172</v>
      </c>
      <c r="C63" s="15"/>
      <c r="D63" s="8"/>
      <c r="E63">
        <f t="shared" si="0"/>
        <v>1</v>
      </c>
      <c r="F63">
        <f t="shared" si="1"/>
        <v>2</v>
      </c>
      <c r="G63" t="s">
        <v>68</v>
      </c>
      <c r="H63">
        <f t="shared" si="2"/>
        <v>1</v>
      </c>
      <c r="J63" t="s">
        <v>173</v>
      </c>
      <c r="K63" t="str">
        <f t="shared" si="3"/>
        <v>ddhub:VolumetricFlowRateOfChangeQuantity</v>
      </c>
    </row>
    <row r="64" spans="1:11">
      <c r="A64" s="4" t="s">
        <v>174</v>
      </c>
      <c r="B64" s="5" t="s">
        <v>172</v>
      </c>
      <c r="C64" s="15"/>
      <c r="D64" s="8"/>
      <c r="E64">
        <f t="shared" si="0"/>
        <v>1</v>
      </c>
      <c r="F64">
        <f t="shared" si="1"/>
        <v>2</v>
      </c>
      <c r="G64" t="s">
        <v>68</v>
      </c>
      <c r="H64">
        <f t="shared" si="2"/>
        <v>1</v>
      </c>
      <c r="J64" t="s">
        <v>53</v>
      </c>
      <c r="K64" t="str">
        <f t="shared" si="3"/>
        <v>ddhub:VolumetricFlowRateQuantity</v>
      </c>
    </row>
    <row r="65" spans="1:11">
      <c r="A65" s="4" t="s">
        <v>175</v>
      </c>
      <c r="B65" s="8" t="s">
        <v>176</v>
      </c>
      <c r="C65" s="16"/>
      <c r="D65" s="8"/>
      <c r="E65">
        <f t="shared" si="0"/>
        <v>1</v>
      </c>
      <c r="F65">
        <f t="shared" si="1"/>
        <v>0</v>
      </c>
      <c r="G65" t="s">
        <v>11</v>
      </c>
      <c r="H65">
        <f t="shared" si="2"/>
        <v>1</v>
      </c>
      <c r="J65" t="s">
        <v>177</v>
      </c>
      <c r="K65" t="str">
        <f t="shared" si="3"/>
        <v>ddhub:WaveNumberQuantity</v>
      </c>
    </row>
    <row r="66" spans="1:8">
      <c r="A66" s="4" t="s">
        <v>178</v>
      </c>
      <c r="B66" s="5" t="s">
        <v>179</v>
      </c>
      <c r="C66" s="15"/>
      <c r="D66" s="8"/>
      <c r="E66">
        <f t="shared" ref="E66:E129" si="6">COUNTIF(K$2:K$65,B66)</f>
        <v>1</v>
      </c>
      <c r="F66">
        <f t="shared" ref="F66:F129" si="7">COUNTIF(O$5:O$29,B66)</f>
        <v>0</v>
      </c>
      <c r="G66" t="s">
        <v>68</v>
      </c>
      <c r="H66">
        <f t="shared" ref="H66:H129" si="8">COUNTIF(J$2:J$65,G66)</f>
        <v>1</v>
      </c>
    </row>
    <row r="67" spans="1:8">
      <c r="A67" s="4" t="s">
        <v>180</v>
      </c>
      <c r="B67" s="8" t="s">
        <v>179</v>
      </c>
      <c r="C67" s="16"/>
      <c r="D67" s="8"/>
      <c r="E67">
        <f t="shared" si="6"/>
        <v>1</v>
      </c>
      <c r="F67">
        <f t="shared" si="7"/>
        <v>0</v>
      </c>
      <c r="G67" t="s">
        <v>44</v>
      </c>
      <c r="H67">
        <f t="shared" si="8"/>
        <v>1</v>
      </c>
    </row>
    <row r="68" spans="1:8">
      <c r="A68" s="4" t="s">
        <v>181</v>
      </c>
      <c r="B68" s="5" t="s">
        <v>172</v>
      </c>
      <c r="C68" s="15" t="s">
        <v>182</v>
      </c>
      <c r="D68" s="8"/>
      <c r="E68">
        <f t="shared" si="6"/>
        <v>1</v>
      </c>
      <c r="F68">
        <f t="shared" si="7"/>
        <v>2</v>
      </c>
      <c r="G68" t="s">
        <v>68</v>
      </c>
      <c r="H68">
        <f t="shared" si="8"/>
        <v>1</v>
      </c>
    </row>
    <row r="69" spans="1:8">
      <c r="A69" s="4" t="s">
        <v>183</v>
      </c>
      <c r="B69" s="8" t="s">
        <v>176</v>
      </c>
      <c r="C69" s="16"/>
      <c r="D69" s="8"/>
      <c r="E69">
        <f t="shared" si="6"/>
        <v>1</v>
      </c>
      <c r="F69">
        <f t="shared" si="7"/>
        <v>0</v>
      </c>
      <c r="G69" t="s">
        <v>184</v>
      </c>
      <c r="H69">
        <f t="shared" si="8"/>
        <v>0</v>
      </c>
    </row>
    <row r="70" spans="1:8">
      <c r="A70" s="4" t="s">
        <v>185</v>
      </c>
      <c r="B70" s="5" t="s">
        <v>186</v>
      </c>
      <c r="C70" s="15" t="s">
        <v>187</v>
      </c>
      <c r="D70" s="8"/>
      <c r="E70">
        <f t="shared" si="6"/>
        <v>0</v>
      </c>
      <c r="F70">
        <f t="shared" si="7"/>
        <v>0</v>
      </c>
      <c r="G70" t="s">
        <v>68</v>
      </c>
      <c r="H70">
        <f t="shared" si="8"/>
        <v>1</v>
      </c>
    </row>
    <row r="71" spans="1:8">
      <c r="A71" s="4" t="s">
        <v>188</v>
      </c>
      <c r="B71" s="8" t="s">
        <v>176</v>
      </c>
      <c r="C71" s="16" t="s">
        <v>189</v>
      </c>
      <c r="D71" s="8"/>
      <c r="E71">
        <f t="shared" si="6"/>
        <v>1</v>
      </c>
      <c r="F71">
        <f t="shared" si="7"/>
        <v>0</v>
      </c>
      <c r="G71" t="s">
        <v>11</v>
      </c>
      <c r="H71">
        <f t="shared" si="8"/>
        <v>1</v>
      </c>
    </row>
    <row r="72" spans="1:8">
      <c r="A72" s="4" t="s">
        <v>190</v>
      </c>
      <c r="B72" s="5" t="s">
        <v>170</v>
      </c>
      <c r="C72" s="15"/>
      <c r="D72" s="8"/>
      <c r="E72">
        <f t="shared" si="6"/>
        <v>1</v>
      </c>
      <c r="F72">
        <f t="shared" si="7"/>
        <v>1</v>
      </c>
      <c r="G72" t="s">
        <v>43</v>
      </c>
      <c r="H72">
        <f t="shared" si="8"/>
        <v>1</v>
      </c>
    </row>
    <row r="73" spans="1:8">
      <c r="A73" s="4" t="s">
        <v>191</v>
      </c>
      <c r="B73" s="8" t="s">
        <v>192</v>
      </c>
      <c r="C73" s="16"/>
      <c r="D73" s="8"/>
      <c r="E73">
        <f t="shared" si="6"/>
        <v>1</v>
      </c>
      <c r="F73">
        <f t="shared" si="7"/>
        <v>0</v>
      </c>
      <c r="G73" t="s">
        <v>193</v>
      </c>
      <c r="H73">
        <f t="shared" si="8"/>
        <v>0</v>
      </c>
    </row>
    <row r="74" spans="1:8">
      <c r="A74" s="4" t="s">
        <v>194</v>
      </c>
      <c r="B74" s="8" t="s">
        <v>195</v>
      </c>
      <c r="C74" s="16"/>
      <c r="D74" s="8"/>
      <c r="E74">
        <f t="shared" si="6"/>
        <v>1</v>
      </c>
      <c r="F74">
        <f t="shared" si="7"/>
        <v>0</v>
      </c>
      <c r="G74" t="s">
        <v>48</v>
      </c>
      <c r="H74">
        <f t="shared" si="8"/>
        <v>1</v>
      </c>
    </row>
    <row r="75" spans="1:8">
      <c r="A75" s="4" t="s">
        <v>196</v>
      </c>
      <c r="B75" s="23" t="s">
        <v>197</v>
      </c>
      <c r="C75" s="16"/>
      <c r="D75" s="8"/>
      <c r="E75">
        <f t="shared" si="6"/>
        <v>0</v>
      </c>
      <c r="F75">
        <f t="shared" si="7"/>
        <v>0</v>
      </c>
      <c r="G75" t="s">
        <v>198</v>
      </c>
      <c r="H75">
        <f t="shared" si="8"/>
        <v>0</v>
      </c>
    </row>
    <row r="76" spans="1:8">
      <c r="A76" s="4" t="s">
        <v>199</v>
      </c>
      <c r="B76" s="8" t="s">
        <v>38</v>
      </c>
      <c r="C76" s="16"/>
      <c r="D76" s="8"/>
      <c r="E76">
        <f t="shared" si="6"/>
        <v>1</v>
      </c>
      <c r="F76">
        <f t="shared" si="7"/>
        <v>0</v>
      </c>
      <c r="G76" t="s">
        <v>39</v>
      </c>
      <c r="H76">
        <f t="shared" si="8"/>
        <v>1</v>
      </c>
    </row>
    <row r="77" spans="1:8">
      <c r="A77" s="4" t="s">
        <v>200</v>
      </c>
      <c r="B77" s="8" t="s">
        <v>201</v>
      </c>
      <c r="C77" s="16"/>
      <c r="D77" s="8"/>
      <c r="E77">
        <f t="shared" si="6"/>
        <v>1</v>
      </c>
      <c r="F77">
        <f t="shared" si="7"/>
        <v>0</v>
      </c>
      <c r="G77" t="s">
        <v>162</v>
      </c>
      <c r="H77">
        <f t="shared" si="8"/>
        <v>1</v>
      </c>
    </row>
    <row r="78" spans="1:8">
      <c r="A78" s="4" t="s">
        <v>202</v>
      </c>
      <c r="B78" s="8" t="s">
        <v>25</v>
      </c>
      <c r="C78" s="16"/>
      <c r="D78" s="8"/>
      <c r="E78">
        <f t="shared" si="6"/>
        <v>1</v>
      </c>
      <c r="F78">
        <f t="shared" si="7"/>
        <v>0</v>
      </c>
      <c r="G78" t="s">
        <v>203</v>
      </c>
      <c r="H78">
        <f t="shared" si="8"/>
        <v>0</v>
      </c>
    </row>
    <row r="79" spans="1:8">
      <c r="A79" s="4" t="s">
        <v>204</v>
      </c>
      <c r="B79" s="8" t="s">
        <v>13</v>
      </c>
      <c r="C79" s="16"/>
      <c r="D79" s="8"/>
      <c r="E79">
        <f t="shared" si="6"/>
        <v>1</v>
      </c>
      <c r="F79">
        <f t="shared" si="7"/>
        <v>0</v>
      </c>
      <c r="G79" t="s">
        <v>14</v>
      </c>
      <c r="H79">
        <f t="shared" si="8"/>
        <v>1</v>
      </c>
    </row>
    <row r="80" spans="1:8">
      <c r="A80" s="4" t="s">
        <v>205</v>
      </c>
      <c r="B80" s="8" t="s">
        <v>206</v>
      </c>
      <c r="C80" s="16"/>
      <c r="D80" s="8"/>
      <c r="E80">
        <f t="shared" si="6"/>
        <v>1</v>
      </c>
      <c r="F80">
        <f t="shared" si="7"/>
        <v>0</v>
      </c>
      <c r="G80" t="s">
        <v>207</v>
      </c>
      <c r="H80">
        <f t="shared" si="8"/>
        <v>0</v>
      </c>
    </row>
    <row r="81" spans="1:8">
      <c r="A81" s="4" t="s">
        <v>208</v>
      </c>
      <c r="B81" s="8" t="s">
        <v>50</v>
      </c>
      <c r="C81" s="16"/>
      <c r="D81" s="8"/>
      <c r="E81">
        <f t="shared" si="6"/>
        <v>1</v>
      </c>
      <c r="F81">
        <f t="shared" si="7"/>
        <v>0</v>
      </c>
      <c r="G81" t="s">
        <v>51</v>
      </c>
      <c r="H81">
        <f t="shared" si="8"/>
        <v>1</v>
      </c>
    </row>
    <row r="82" spans="1:8">
      <c r="A82" s="4" t="s">
        <v>209</v>
      </c>
      <c r="B82" s="5" t="s">
        <v>56</v>
      </c>
      <c r="C82" s="15"/>
      <c r="D82" s="8"/>
      <c r="E82">
        <f t="shared" si="6"/>
        <v>1</v>
      </c>
      <c r="F82">
        <f t="shared" si="7"/>
        <v>1</v>
      </c>
      <c r="G82" t="s">
        <v>210</v>
      </c>
      <c r="H82">
        <f t="shared" si="8"/>
        <v>0</v>
      </c>
    </row>
    <row r="83" spans="1:8">
      <c r="A83" s="4" t="s">
        <v>211</v>
      </c>
      <c r="B83" s="5" t="s">
        <v>56</v>
      </c>
      <c r="C83" s="15"/>
      <c r="D83" s="8"/>
      <c r="E83">
        <f t="shared" si="6"/>
        <v>1</v>
      </c>
      <c r="F83">
        <f t="shared" si="7"/>
        <v>1</v>
      </c>
      <c r="G83" t="s">
        <v>53</v>
      </c>
      <c r="H83">
        <f t="shared" si="8"/>
        <v>1</v>
      </c>
    </row>
    <row r="84" spans="1:8">
      <c r="A84" s="4" t="s">
        <v>212</v>
      </c>
      <c r="B84" s="5" t="s">
        <v>56</v>
      </c>
      <c r="C84" s="15"/>
      <c r="D84" s="8"/>
      <c r="E84">
        <f t="shared" si="6"/>
        <v>1</v>
      </c>
      <c r="F84">
        <f t="shared" si="7"/>
        <v>1</v>
      </c>
      <c r="G84" t="s">
        <v>53</v>
      </c>
      <c r="H84">
        <f t="shared" si="8"/>
        <v>1</v>
      </c>
    </row>
    <row r="85" spans="1:8">
      <c r="A85" s="4" t="s">
        <v>213</v>
      </c>
      <c r="B85" s="5" t="s">
        <v>56</v>
      </c>
      <c r="C85" s="15"/>
      <c r="D85" s="8"/>
      <c r="E85">
        <f t="shared" si="6"/>
        <v>1</v>
      </c>
      <c r="F85">
        <f t="shared" si="7"/>
        <v>1</v>
      </c>
      <c r="G85" t="s">
        <v>210</v>
      </c>
      <c r="H85">
        <f t="shared" si="8"/>
        <v>0</v>
      </c>
    </row>
    <row r="86" spans="1:8">
      <c r="A86" s="4" t="s">
        <v>214</v>
      </c>
      <c r="B86" s="5" t="s">
        <v>56</v>
      </c>
      <c r="C86" s="15"/>
      <c r="D86" s="8"/>
      <c r="E86">
        <f t="shared" si="6"/>
        <v>1</v>
      </c>
      <c r="F86">
        <f t="shared" si="7"/>
        <v>1</v>
      </c>
      <c r="G86" t="s">
        <v>210</v>
      </c>
      <c r="H86">
        <f t="shared" si="8"/>
        <v>0</v>
      </c>
    </row>
    <row r="87" spans="1:8">
      <c r="A87" s="4" t="s">
        <v>215</v>
      </c>
      <c r="B87" s="8" t="s">
        <v>50</v>
      </c>
      <c r="C87" s="16"/>
      <c r="D87" s="8"/>
      <c r="E87">
        <f t="shared" si="6"/>
        <v>1</v>
      </c>
      <c r="F87">
        <f t="shared" si="7"/>
        <v>0</v>
      </c>
      <c r="G87" t="s">
        <v>51</v>
      </c>
      <c r="H87">
        <f t="shared" si="8"/>
        <v>1</v>
      </c>
    </row>
    <row r="88" spans="1:8">
      <c r="A88" s="4" t="s">
        <v>216</v>
      </c>
      <c r="B88" s="8" t="s">
        <v>50</v>
      </c>
      <c r="C88" s="16" t="s">
        <v>217</v>
      </c>
      <c r="D88" s="8"/>
      <c r="E88">
        <f t="shared" si="6"/>
        <v>1</v>
      </c>
      <c r="F88">
        <f t="shared" si="7"/>
        <v>0</v>
      </c>
      <c r="G88" t="s">
        <v>51</v>
      </c>
      <c r="H88">
        <f t="shared" si="8"/>
        <v>1</v>
      </c>
    </row>
    <row r="89" spans="1:8">
      <c r="A89" s="4" t="s">
        <v>218</v>
      </c>
      <c r="B89" s="5" t="s">
        <v>56</v>
      </c>
      <c r="C89" s="15"/>
      <c r="D89" s="8"/>
      <c r="E89">
        <f t="shared" si="6"/>
        <v>1</v>
      </c>
      <c r="F89">
        <f t="shared" si="7"/>
        <v>1</v>
      </c>
      <c r="G89" t="s">
        <v>53</v>
      </c>
      <c r="H89">
        <f t="shared" si="8"/>
        <v>1</v>
      </c>
    </row>
    <row r="90" spans="1:8">
      <c r="A90" s="4" t="s">
        <v>219</v>
      </c>
      <c r="B90" s="5" t="s">
        <v>56</v>
      </c>
      <c r="C90" s="15"/>
      <c r="D90" s="8"/>
      <c r="E90">
        <f t="shared" si="6"/>
        <v>1</v>
      </c>
      <c r="F90">
        <f t="shared" si="7"/>
        <v>1</v>
      </c>
      <c r="G90" t="s">
        <v>210</v>
      </c>
      <c r="H90">
        <f t="shared" si="8"/>
        <v>0</v>
      </c>
    </row>
    <row r="91" spans="1:8">
      <c r="A91" s="4" t="s">
        <v>220</v>
      </c>
      <c r="B91" s="5" t="s">
        <v>56</v>
      </c>
      <c r="C91" s="15"/>
      <c r="D91" s="8"/>
      <c r="E91">
        <f t="shared" si="6"/>
        <v>1</v>
      </c>
      <c r="F91">
        <f t="shared" si="7"/>
        <v>1</v>
      </c>
      <c r="G91" t="s">
        <v>53</v>
      </c>
      <c r="H91">
        <f t="shared" si="8"/>
        <v>1</v>
      </c>
    </row>
    <row r="92" spans="1:8">
      <c r="A92" s="4" t="s">
        <v>221</v>
      </c>
      <c r="B92" s="5" t="s">
        <v>56</v>
      </c>
      <c r="C92" s="15"/>
      <c r="D92" s="8"/>
      <c r="E92">
        <f t="shared" si="6"/>
        <v>1</v>
      </c>
      <c r="F92">
        <f t="shared" si="7"/>
        <v>1</v>
      </c>
      <c r="G92" t="s">
        <v>210</v>
      </c>
      <c r="H92">
        <f t="shared" si="8"/>
        <v>0</v>
      </c>
    </row>
    <row r="93" spans="1:8">
      <c r="A93" s="4" t="s">
        <v>222</v>
      </c>
      <c r="B93" s="8" t="s">
        <v>223</v>
      </c>
      <c r="C93" s="16"/>
      <c r="D93" s="8"/>
      <c r="E93">
        <f t="shared" si="6"/>
        <v>1</v>
      </c>
      <c r="F93">
        <f t="shared" si="7"/>
        <v>0</v>
      </c>
      <c r="G93" t="s">
        <v>224</v>
      </c>
      <c r="H93">
        <f t="shared" si="8"/>
        <v>0</v>
      </c>
    </row>
    <row r="94" spans="1:8">
      <c r="A94" s="4" t="s">
        <v>225</v>
      </c>
      <c r="B94" s="5" t="s">
        <v>56</v>
      </c>
      <c r="C94" s="15"/>
      <c r="D94" s="8"/>
      <c r="E94">
        <f t="shared" si="6"/>
        <v>1</v>
      </c>
      <c r="F94">
        <f t="shared" si="7"/>
        <v>1</v>
      </c>
      <c r="G94" t="s">
        <v>53</v>
      </c>
      <c r="H94">
        <f t="shared" si="8"/>
        <v>1</v>
      </c>
    </row>
    <row r="95" spans="1:8">
      <c r="A95" s="4" t="s">
        <v>226</v>
      </c>
      <c r="B95" s="8" t="s">
        <v>227</v>
      </c>
      <c r="C95" s="16"/>
      <c r="D95" s="8"/>
      <c r="E95">
        <f t="shared" si="6"/>
        <v>1</v>
      </c>
      <c r="F95">
        <f t="shared" si="7"/>
        <v>0</v>
      </c>
      <c r="G95" t="s">
        <v>228</v>
      </c>
      <c r="H95">
        <f t="shared" si="8"/>
        <v>0</v>
      </c>
    </row>
    <row r="96" spans="1:8">
      <c r="A96" s="4" t="s">
        <v>229</v>
      </c>
      <c r="B96" s="8" t="s">
        <v>201</v>
      </c>
      <c r="C96" s="16"/>
      <c r="D96" s="8"/>
      <c r="E96">
        <f t="shared" si="6"/>
        <v>1</v>
      </c>
      <c r="F96">
        <f t="shared" si="7"/>
        <v>0</v>
      </c>
      <c r="G96" t="s">
        <v>162</v>
      </c>
      <c r="H96">
        <f t="shared" si="8"/>
        <v>1</v>
      </c>
    </row>
    <row r="97" spans="1:8">
      <c r="A97" s="4" t="s">
        <v>230</v>
      </c>
      <c r="B97" s="8" t="s">
        <v>201</v>
      </c>
      <c r="C97" s="16"/>
      <c r="D97" s="8"/>
      <c r="E97">
        <f t="shared" si="6"/>
        <v>1</v>
      </c>
      <c r="F97">
        <f t="shared" si="7"/>
        <v>0</v>
      </c>
      <c r="G97" t="s">
        <v>162</v>
      </c>
      <c r="H97">
        <f t="shared" si="8"/>
        <v>1</v>
      </c>
    </row>
    <row r="98" spans="1:8">
      <c r="A98" s="4" t="s">
        <v>231</v>
      </c>
      <c r="B98" s="8" t="s">
        <v>34</v>
      </c>
      <c r="C98" s="16"/>
      <c r="D98" s="8"/>
      <c r="E98">
        <f t="shared" si="6"/>
        <v>1</v>
      </c>
      <c r="F98">
        <f t="shared" si="7"/>
        <v>0</v>
      </c>
      <c r="G98" t="s">
        <v>35</v>
      </c>
      <c r="H98">
        <f t="shared" si="8"/>
        <v>1</v>
      </c>
    </row>
    <row r="99" spans="1:8">
      <c r="A99" s="4" t="s">
        <v>232</v>
      </c>
      <c r="B99" s="5" t="s">
        <v>9</v>
      </c>
      <c r="C99" s="15"/>
      <c r="D99" s="8"/>
      <c r="E99">
        <f t="shared" si="6"/>
        <v>1</v>
      </c>
      <c r="F99">
        <f t="shared" si="7"/>
        <v>3</v>
      </c>
      <c r="G99" t="s">
        <v>10</v>
      </c>
      <c r="H99">
        <f t="shared" si="8"/>
        <v>1</v>
      </c>
    </row>
    <row r="100" spans="1:8">
      <c r="A100" s="4" t="s">
        <v>233</v>
      </c>
      <c r="B100" s="5" t="s">
        <v>234</v>
      </c>
      <c r="C100" s="15"/>
      <c r="D100" s="8"/>
      <c r="E100">
        <f t="shared" si="6"/>
        <v>0</v>
      </c>
      <c r="F100">
        <f t="shared" si="7"/>
        <v>0</v>
      </c>
      <c r="G100" t="s">
        <v>61</v>
      </c>
      <c r="H100">
        <f t="shared" si="8"/>
        <v>1</v>
      </c>
    </row>
    <row r="101" spans="1:8">
      <c r="A101" s="4" t="s">
        <v>235</v>
      </c>
      <c r="B101" s="5" t="s">
        <v>236</v>
      </c>
      <c r="C101" s="15"/>
      <c r="D101" s="8"/>
      <c r="E101">
        <f t="shared" si="6"/>
        <v>1</v>
      </c>
      <c r="F101">
        <f t="shared" si="7"/>
        <v>1</v>
      </c>
      <c r="G101" t="s">
        <v>94</v>
      </c>
      <c r="H101">
        <f t="shared" si="8"/>
        <v>1</v>
      </c>
    </row>
    <row r="102" spans="1:8">
      <c r="A102" s="4" t="s">
        <v>237</v>
      </c>
      <c r="B102" s="8" t="s">
        <v>238</v>
      </c>
      <c r="C102" s="16"/>
      <c r="D102" s="8"/>
      <c r="E102">
        <f t="shared" si="6"/>
        <v>1</v>
      </c>
      <c r="F102">
        <f t="shared" si="7"/>
        <v>0</v>
      </c>
      <c r="G102" t="s">
        <v>94</v>
      </c>
      <c r="H102">
        <f t="shared" si="8"/>
        <v>1</v>
      </c>
    </row>
    <row r="103" spans="1:8">
      <c r="A103" s="4" t="s">
        <v>239</v>
      </c>
      <c r="B103" s="8" t="s">
        <v>238</v>
      </c>
      <c r="C103" s="16"/>
      <c r="D103" s="8"/>
      <c r="E103">
        <f t="shared" si="6"/>
        <v>1</v>
      </c>
      <c r="F103">
        <f t="shared" si="7"/>
        <v>0</v>
      </c>
      <c r="G103" t="s">
        <v>240</v>
      </c>
      <c r="H103">
        <f t="shared" si="8"/>
        <v>0</v>
      </c>
    </row>
    <row r="104" spans="1:8">
      <c r="A104" s="4" t="s">
        <v>241</v>
      </c>
      <c r="B104" s="8" t="s">
        <v>238</v>
      </c>
      <c r="C104" s="16"/>
      <c r="D104" s="8"/>
      <c r="E104">
        <f t="shared" si="6"/>
        <v>1</v>
      </c>
      <c r="F104">
        <f t="shared" si="7"/>
        <v>0</v>
      </c>
      <c r="G104" t="s">
        <v>94</v>
      </c>
      <c r="H104">
        <f t="shared" si="8"/>
        <v>1</v>
      </c>
    </row>
    <row r="105" spans="1:8">
      <c r="A105" s="4" t="s">
        <v>242</v>
      </c>
      <c r="B105" s="8" t="s">
        <v>238</v>
      </c>
      <c r="C105" s="16"/>
      <c r="D105" s="8"/>
      <c r="E105">
        <f t="shared" si="6"/>
        <v>1</v>
      </c>
      <c r="F105">
        <f t="shared" si="7"/>
        <v>0</v>
      </c>
      <c r="G105" t="s">
        <v>94</v>
      </c>
      <c r="H105">
        <f t="shared" si="8"/>
        <v>1</v>
      </c>
    </row>
    <row r="106" spans="1:8">
      <c r="A106" s="4" t="s">
        <v>243</v>
      </c>
      <c r="B106" s="8" t="s">
        <v>238</v>
      </c>
      <c r="C106" s="16"/>
      <c r="D106" s="8"/>
      <c r="E106">
        <f t="shared" si="6"/>
        <v>1</v>
      </c>
      <c r="F106">
        <f t="shared" si="7"/>
        <v>0</v>
      </c>
      <c r="G106" t="s">
        <v>43</v>
      </c>
      <c r="H106">
        <f t="shared" si="8"/>
        <v>1</v>
      </c>
    </row>
    <row r="107" spans="1:8">
      <c r="A107" s="4" t="s">
        <v>244</v>
      </c>
      <c r="B107" s="8" t="s">
        <v>238</v>
      </c>
      <c r="C107" s="16"/>
      <c r="D107" s="8"/>
      <c r="E107">
        <f t="shared" si="6"/>
        <v>1</v>
      </c>
      <c r="F107">
        <f t="shared" si="7"/>
        <v>0</v>
      </c>
      <c r="G107" t="s">
        <v>240</v>
      </c>
      <c r="H107">
        <f t="shared" si="8"/>
        <v>0</v>
      </c>
    </row>
    <row r="108" spans="1:8">
      <c r="A108" s="4" t="s">
        <v>245</v>
      </c>
      <c r="B108" s="8" t="s">
        <v>246</v>
      </c>
      <c r="C108" s="16"/>
      <c r="D108" s="8"/>
      <c r="E108">
        <f t="shared" si="6"/>
        <v>1</v>
      </c>
      <c r="F108">
        <f t="shared" si="7"/>
        <v>0</v>
      </c>
      <c r="G108" t="s">
        <v>43</v>
      </c>
      <c r="H108">
        <f t="shared" si="8"/>
        <v>1</v>
      </c>
    </row>
    <row r="109" spans="1:8">
      <c r="A109" s="4" t="s">
        <v>247</v>
      </c>
      <c r="B109" s="8" t="s">
        <v>246</v>
      </c>
      <c r="C109" s="16"/>
      <c r="D109" s="8"/>
      <c r="E109">
        <f t="shared" si="6"/>
        <v>1</v>
      </c>
      <c r="F109">
        <f t="shared" si="7"/>
        <v>0</v>
      </c>
      <c r="G109" t="s">
        <v>248</v>
      </c>
      <c r="H109">
        <f t="shared" si="8"/>
        <v>0</v>
      </c>
    </row>
    <row r="110" spans="1:8">
      <c r="A110" s="4" t="s">
        <v>249</v>
      </c>
      <c r="B110" s="8" t="s">
        <v>246</v>
      </c>
      <c r="C110" s="16"/>
      <c r="D110" s="8"/>
      <c r="E110">
        <f t="shared" si="6"/>
        <v>1</v>
      </c>
      <c r="F110">
        <f t="shared" si="7"/>
        <v>0</v>
      </c>
      <c r="G110" t="s">
        <v>248</v>
      </c>
      <c r="H110">
        <f t="shared" si="8"/>
        <v>0</v>
      </c>
    </row>
    <row r="111" spans="1:8">
      <c r="A111" s="4" t="s">
        <v>250</v>
      </c>
      <c r="B111" s="8" t="s">
        <v>246</v>
      </c>
      <c r="C111" s="16"/>
      <c r="D111" s="8"/>
      <c r="E111">
        <f t="shared" si="6"/>
        <v>1</v>
      </c>
      <c r="F111">
        <f t="shared" si="7"/>
        <v>0</v>
      </c>
      <c r="G111" t="s">
        <v>43</v>
      </c>
      <c r="H111">
        <f t="shared" si="8"/>
        <v>1</v>
      </c>
    </row>
    <row r="112" spans="1:8">
      <c r="A112" s="4" t="s">
        <v>251</v>
      </c>
      <c r="B112" s="8" t="s">
        <v>246</v>
      </c>
      <c r="C112" s="16"/>
      <c r="D112" s="8"/>
      <c r="E112">
        <f t="shared" si="6"/>
        <v>1</v>
      </c>
      <c r="F112">
        <f t="shared" si="7"/>
        <v>0</v>
      </c>
      <c r="G112" t="s">
        <v>43</v>
      </c>
      <c r="H112">
        <f t="shared" si="8"/>
        <v>1</v>
      </c>
    </row>
    <row r="113" spans="1:8">
      <c r="A113" s="4" t="s">
        <v>252</v>
      </c>
      <c r="B113" s="8" t="s">
        <v>246</v>
      </c>
      <c r="C113" s="16"/>
      <c r="D113" s="8"/>
      <c r="E113">
        <f t="shared" si="6"/>
        <v>1</v>
      </c>
      <c r="F113">
        <f t="shared" si="7"/>
        <v>0</v>
      </c>
      <c r="G113" t="s">
        <v>248</v>
      </c>
      <c r="H113">
        <f t="shared" si="8"/>
        <v>0</v>
      </c>
    </row>
    <row r="114" spans="1:8">
      <c r="A114" s="4" t="s">
        <v>253</v>
      </c>
      <c r="B114" s="8" t="s">
        <v>38</v>
      </c>
      <c r="C114" s="16"/>
      <c r="D114" s="8"/>
      <c r="E114">
        <f t="shared" si="6"/>
        <v>1</v>
      </c>
      <c r="F114">
        <f t="shared" si="7"/>
        <v>0</v>
      </c>
      <c r="G114" t="s">
        <v>39</v>
      </c>
      <c r="H114">
        <f t="shared" si="8"/>
        <v>1</v>
      </c>
    </row>
    <row r="115" spans="1:8">
      <c r="A115" s="4" t="s">
        <v>254</v>
      </c>
      <c r="B115" s="8" t="s">
        <v>13</v>
      </c>
      <c r="C115" s="16"/>
      <c r="D115" s="8"/>
      <c r="E115">
        <f t="shared" si="6"/>
        <v>1</v>
      </c>
      <c r="F115">
        <f t="shared" si="7"/>
        <v>0</v>
      </c>
      <c r="G115" t="s">
        <v>14</v>
      </c>
      <c r="H115">
        <f t="shared" si="8"/>
        <v>1</v>
      </c>
    </row>
    <row r="116" spans="1:8">
      <c r="A116" s="4" t="s">
        <v>255</v>
      </c>
      <c r="B116" s="8" t="s">
        <v>50</v>
      </c>
      <c r="C116" s="16"/>
      <c r="D116" s="8"/>
      <c r="E116">
        <f t="shared" si="6"/>
        <v>1</v>
      </c>
      <c r="F116">
        <f t="shared" si="7"/>
        <v>0</v>
      </c>
      <c r="G116" t="s">
        <v>51</v>
      </c>
      <c r="H116">
        <f t="shared" si="8"/>
        <v>1</v>
      </c>
    </row>
    <row r="117" spans="1:8">
      <c r="A117" s="4" t="s">
        <v>256</v>
      </c>
      <c r="B117" s="8" t="s">
        <v>71</v>
      </c>
      <c r="C117" s="16"/>
      <c r="D117" s="8"/>
      <c r="E117">
        <f t="shared" si="6"/>
        <v>1</v>
      </c>
      <c r="F117">
        <f t="shared" si="7"/>
        <v>0</v>
      </c>
      <c r="G117" t="s">
        <v>72</v>
      </c>
      <c r="H117">
        <f t="shared" si="8"/>
        <v>1</v>
      </c>
    </row>
    <row r="118" spans="1:8">
      <c r="A118" s="4" t="s">
        <v>257</v>
      </c>
      <c r="B118" s="5" t="s">
        <v>9</v>
      </c>
      <c r="C118" s="15"/>
      <c r="D118" s="8"/>
      <c r="E118">
        <f t="shared" si="6"/>
        <v>1</v>
      </c>
      <c r="F118">
        <f t="shared" si="7"/>
        <v>3</v>
      </c>
      <c r="G118" t="s">
        <v>10</v>
      </c>
      <c r="H118">
        <f t="shared" si="8"/>
        <v>1</v>
      </c>
    </row>
    <row r="119" spans="1:8">
      <c r="A119" s="4" t="s">
        <v>258</v>
      </c>
      <c r="B119" s="5" t="s">
        <v>172</v>
      </c>
      <c r="C119" s="15"/>
      <c r="D119" s="8"/>
      <c r="E119">
        <f t="shared" si="6"/>
        <v>1</v>
      </c>
      <c r="F119">
        <f t="shared" si="7"/>
        <v>2</v>
      </c>
      <c r="G119" t="s">
        <v>68</v>
      </c>
      <c r="H119">
        <f t="shared" si="8"/>
        <v>1</v>
      </c>
    </row>
    <row r="120" spans="1:8">
      <c r="A120" s="4" t="s">
        <v>259</v>
      </c>
      <c r="B120" s="5" t="s">
        <v>172</v>
      </c>
      <c r="C120" s="15"/>
      <c r="D120" s="8"/>
      <c r="E120">
        <f t="shared" si="6"/>
        <v>1</v>
      </c>
      <c r="F120">
        <f t="shared" si="7"/>
        <v>2</v>
      </c>
      <c r="G120" t="s">
        <v>68</v>
      </c>
      <c r="H120">
        <f t="shared" si="8"/>
        <v>1</v>
      </c>
    </row>
    <row r="121" spans="1:8">
      <c r="A121" s="4" t="s">
        <v>260</v>
      </c>
      <c r="B121" s="8" t="s">
        <v>179</v>
      </c>
      <c r="C121" s="16"/>
      <c r="D121" s="8"/>
      <c r="E121">
        <f t="shared" si="6"/>
        <v>1</v>
      </c>
      <c r="F121">
        <f t="shared" si="7"/>
        <v>0</v>
      </c>
      <c r="G121" t="s">
        <v>44</v>
      </c>
      <c r="H121">
        <f t="shared" si="8"/>
        <v>1</v>
      </c>
    </row>
    <row r="122" spans="1:8">
      <c r="A122" s="4" t="s">
        <v>261</v>
      </c>
      <c r="B122" s="8" t="s">
        <v>179</v>
      </c>
      <c r="C122" s="16"/>
      <c r="D122" s="8"/>
      <c r="E122">
        <f t="shared" si="6"/>
        <v>1</v>
      </c>
      <c r="F122">
        <f t="shared" si="7"/>
        <v>0</v>
      </c>
      <c r="G122" t="s">
        <v>44</v>
      </c>
      <c r="H122">
        <f t="shared" si="8"/>
        <v>1</v>
      </c>
    </row>
    <row r="123" spans="1:8">
      <c r="A123" s="4" t="s">
        <v>262</v>
      </c>
      <c r="B123" s="5" t="s">
        <v>172</v>
      </c>
      <c r="C123" s="15"/>
      <c r="D123" s="8"/>
      <c r="E123">
        <f t="shared" si="6"/>
        <v>1</v>
      </c>
      <c r="F123">
        <f t="shared" si="7"/>
        <v>2</v>
      </c>
      <c r="G123" t="s">
        <v>68</v>
      </c>
      <c r="H123">
        <f t="shared" si="8"/>
        <v>1</v>
      </c>
    </row>
    <row r="124" spans="1:8">
      <c r="A124" s="4" t="s">
        <v>263</v>
      </c>
      <c r="B124" s="5" t="s">
        <v>172</v>
      </c>
      <c r="C124" s="15"/>
      <c r="D124" s="8"/>
      <c r="E124">
        <f t="shared" si="6"/>
        <v>1</v>
      </c>
      <c r="F124">
        <f t="shared" si="7"/>
        <v>2</v>
      </c>
      <c r="G124" t="s">
        <v>68</v>
      </c>
      <c r="H124">
        <f t="shared" si="8"/>
        <v>1</v>
      </c>
    </row>
    <row r="125" spans="1:8">
      <c r="A125" s="4" t="s">
        <v>264</v>
      </c>
      <c r="B125" s="8" t="s">
        <v>192</v>
      </c>
      <c r="C125" s="16"/>
      <c r="D125" s="8"/>
      <c r="E125">
        <f t="shared" si="6"/>
        <v>1</v>
      </c>
      <c r="F125">
        <f t="shared" si="7"/>
        <v>0</v>
      </c>
      <c r="G125" t="s">
        <v>193</v>
      </c>
      <c r="H125">
        <f t="shared" si="8"/>
        <v>0</v>
      </c>
    </row>
    <row r="126" spans="1:8">
      <c r="A126" s="4" t="s">
        <v>265</v>
      </c>
      <c r="B126" s="8" t="s">
        <v>38</v>
      </c>
      <c r="C126" s="16"/>
      <c r="D126" s="8"/>
      <c r="E126">
        <f t="shared" si="6"/>
        <v>1</v>
      </c>
      <c r="F126">
        <f t="shared" si="7"/>
        <v>0</v>
      </c>
      <c r="G126" t="s">
        <v>39</v>
      </c>
      <c r="H126">
        <f t="shared" si="8"/>
        <v>1</v>
      </c>
    </row>
    <row r="127" spans="1:8">
      <c r="A127" s="4" t="s">
        <v>266</v>
      </c>
      <c r="B127" s="8" t="s">
        <v>25</v>
      </c>
      <c r="C127" s="16" t="s">
        <v>267</v>
      </c>
      <c r="D127" s="8"/>
      <c r="E127">
        <f t="shared" si="6"/>
        <v>1</v>
      </c>
      <c r="F127">
        <f t="shared" si="7"/>
        <v>0</v>
      </c>
      <c r="G127" t="s">
        <v>144</v>
      </c>
      <c r="H127">
        <f t="shared" si="8"/>
        <v>1</v>
      </c>
    </row>
    <row r="128" spans="1:8">
      <c r="A128" s="4" t="s">
        <v>268</v>
      </c>
      <c r="B128" s="8" t="s">
        <v>269</v>
      </c>
      <c r="C128" s="16"/>
      <c r="D128" s="8"/>
      <c r="E128">
        <f t="shared" si="6"/>
        <v>1</v>
      </c>
      <c r="F128">
        <f t="shared" si="7"/>
        <v>0</v>
      </c>
      <c r="G128" t="s">
        <v>26</v>
      </c>
      <c r="H128">
        <f t="shared" si="8"/>
        <v>1</v>
      </c>
    </row>
    <row r="129" spans="1:8">
      <c r="A129" s="4" t="s">
        <v>270</v>
      </c>
      <c r="B129" s="8" t="s">
        <v>269</v>
      </c>
      <c r="C129" s="16"/>
      <c r="D129" s="8"/>
      <c r="E129">
        <f t="shared" si="6"/>
        <v>1</v>
      </c>
      <c r="F129">
        <f t="shared" si="7"/>
        <v>0</v>
      </c>
      <c r="G129" t="s">
        <v>107</v>
      </c>
      <c r="H129">
        <f t="shared" si="8"/>
        <v>1</v>
      </c>
    </row>
    <row r="130" spans="1:8">
      <c r="A130" s="4" t="s">
        <v>271</v>
      </c>
      <c r="B130" s="8" t="s">
        <v>269</v>
      </c>
      <c r="C130" s="16"/>
      <c r="D130" s="8"/>
      <c r="E130">
        <f t="shared" ref="E130:E193" si="9">COUNTIF(K$2:K$65,B130)</f>
        <v>1</v>
      </c>
      <c r="F130">
        <f t="shared" ref="F130:F193" si="10">COUNTIF(O$5:O$29,B130)</f>
        <v>0</v>
      </c>
      <c r="G130" t="s">
        <v>107</v>
      </c>
      <c r="H130">
        <f t="shared" ref="H130:H193" si="11">COUNTIF(J$2:J$65,G130)</f>
        <v>1</v>
      </c>
    </row>
    <row r="131" spans="1:8">
      <c r="A131" s="4" t="s">
        <v>272</v>
      </c>
      <c r="B131" s="8" t="s">
        <v>269</v>
      </c>
      <c r="C131" s="16"/>
      <c r="D131" s="8"/>
      <c r="E131">
        <f t="shared" si="9"/>
        <v>1</v>
      </c>
      <c r="F131">
        <f t="shared" si="10"/>
        <v>0</v>
      </c>
      <c r="G131" t="s">
        <v>273</v>
      </c>
      <c r="H131">
        <f t="shared" si="11"/>
        <v>0</v>
      </c>
    </row>
    <row r="132" spans="1:8">
      <c r="A132" s="4" t="s">
        <v>274</v>
      </c>
      <c r="B132" s="8" t="s">
        <v>269</v>
      </c>
      <c r="C132" s="16"/>
      <c r="D132" s="8"/>
      <c r="E132">
        <f t="shared" si="9"/>
        <v>1</v>
      </c>
      <c r="F132">
        <f t="shared" si="10"/>
        <v>0</v>
      </c>
      <c r="G132" t="s">
        <v>107</v>
      </c>
      <c r="H132">
        <f t="shared" si="11"/>
        <v>1</v>
      </c>
    </row>
    <row r="133" spans="1:8">
      <c r="A133" s="4" t="s">
        <v>275</v>
      </c>
      <c r="B133" s="8" t="s">
        <v>269</v>
      </c>
      <c r="C133" s="16"/>
      <c r="D133" s="8"/>
      <c r="E133">
        <f t="shared" si="9"/>
        <v>1</v>
      </c>
      <c r="F133">
        <f t="shared" si="10"/>
        <v>0</v>
      </c>
      <c r="G133" t="s">
        <v>107</v>
      </c>
      <c r="H133">
        <f t="shared" si="11"/>
        <v>1</v>
      </c>
    </row>
    <row r="134" spans="1:8">
      <c r="A134" s="4" t="s">
        <v>276</v>
      </c>
      <c r="B134" s="8" t="s">
        <v>277</v>
      </c>
      <c r="C134" s="16"/>
      <c r="D134" s="8"/>
      <c r="E134">
        <f t="shared" si="9"/>
        <v>1</v>
      </c>
      <c r="F134">
        <f t="shared" si="10"/>
        <v>0</v>
      </c>
      <c r="G134" t="s">
        <v>151</v>
      </c>
      <c r="H134">
        <f t="shared" si="11"/>
        <v>0</v>
      </c>
    </row>
    <row r="135" spans="1:8">
      <c r="A135" s="4" t="s">
        <v>278</v>
      </c>
      <c r="B135" s="8" t="s">
        <v>277</v>
      </c>
      <c r="C135" s="16"/>
      <c r="D135" s="8"/>
      <c r="E135">
        <f t="shared" si="9"/>
        <v>1</v>
      </c>
      <c r="F135">
        <f t="shared" si="10"/>
        <v>0</v>
      </c>
      <c r="G135" t="s">
        <v>279</v>
      </c>
      <c r="H135">
        <f t="shared" si="11"/>
        <v>0</v>
      </c>
    </row>
    <row r="136" spans="1:8">
      <c r="A136" s="4" t="s">
        <v>280</v>
      </c>
      <c r="B136" s="8" t="s">
        <v>277</v>
      </c>
      <c r="C136" s="16"/>
      <c r="D136" s="8"/>
      <c r="E136">
        <f t="shared" si="9"/>
        <v>1</v>
      </c>
      <c r="F136">
        <f t="shared" si="10"/>
        <v>0</v>
      </c>
      <c r="G136" t="s">
        <v>151</v>
      </c>
      <c r="H136">
        <f t="shared" si="11"/>
        <v>0</v>
      </c>
    </row>
    <row r="137" spans="1:8">
      <c r="A137" s="4" t="s">
        <v>281</v>
      </c>
      <c r="B137" s="8" t="s">
        <v>277</v>
      </c>
      <c r="C137" s="16"/>
      <c r="D137" s="8"/>
      <c r="E137">
        <f t="shared" si="9"/>
        <v>1</v>
      </c>
      <c r="F137">
        <f t="shared" si="10"/>
        <v>0</v>
      </c>
      <c r="G137" t="s">
        <v>279</v>
      </c>
      <c r="H137">
        <f t="shared" si="11"/>
        <v>0</v>
      </c>
    </row>
    <row r="138" spans="1:8">
      <c r="A138" s="4" t="s">
        <v>282</v>
      </c>
      <c r="B138" s="8" t="s">
        <v>277</v>
      </c>
      <c r="C138" s="16"/>
      <c r="D138" s="8"/>
      <c r="E138">
        <f t="shared" si="9"/>
        <v>1</v>
      </c>
      <c r="F138">
        <f t="shared" si="10"/>
        <v>0</v>
      </c>
      <c r="G138" t="s">
        <v>151</v>
      </c>
      <c r="H138">
        <f t="shared" si="11"/>
        <v>0</v>
      </c>
    </row>
    <row r="139" spans="1:8">
      <c r="A139" s="4" t="s">
        <v>283</v>
      </c>
      <c r="B139" s="8" t="s">
        <v>284</v>
      </c>
      <c r="C139" s="16"/>
      <c r="D139" s="8"/>
      <c r="E139">
        <f t="shared" si="9"/>
        <v>1</v>
      </c>
      <c r="F139">
        <f t="shared" si="10"/>
        <v>0</v>
      </c>
      <c r="G139" t="s">
        <v>151</v>
      </c>
      <c r="H139">
        <f t="shared" si="11"/>
        <v>0</v>
      </c>
    </row>
    <row r="140" spans="1:8">
      <c r="A140" s="4" t="s">
        <v>285</v>
      </c>
      <c r="B140" s="8" t="s">
        <v>286</v>
      </c>
      <c r="C140" s="16"/>
      <c r="D140" s="8"/>
      <c r="E140">
        <f t="shared" si="9"/>
        <v>1</v>
      </c>
      <c r="F140">
        <f t="shared" si="10"/>
        <v>0</v>
      </c>
      <c r="G140" t="s">
        <v>27</v>
      </c>
      <c r="H140">
        <f t="shared" si="11"/>
        <v>1</v>
      </c>
    </row>
    <row r="141" spans="1:8">
      <c r="A141" s="4" t="s">
        <v>287</v>
      </c>
      <c r="B141" s="8" t="s">
        <v>288</v>
      </c>
      <c r="C141" s="16"/>
      <c r="D141" s="8"/>
      <c r="E141">
        <f t="shared" si="9"/>
        <v>1</v>
      </c>
      <c r="F141">
        <f t="shared" si="10"/>
        <v>0</v>
      </c>
      <c r="G141" t="s">
        <v>151</v>
      </c>
      <c r="H141">
        <f t="shared" si="11"/>
        <v>0</v>
      </c>
    </row>
    <row r="142" spans="1:8">
      <c r="A142" s="4" t="s">
        <v>289</v>
      </c>
      <c r="B142" s="8" t="s">
        <v>288</v>
      </c>
      <c r="C142" s="16"/>
      <c r="D142" s="8"/>
      <c r="E142">
        <f t="shared" si="9"/>
        <v>1</v>
      </c>
      <c r="F142">
        <f t="shared" si="10"/>
        <v>0</v>
      </c>
      <c r="G142" t="s">
        <v>27</v>
      </c>
      <c r="H142">
        <f t="shared" si="11"/>
        <v>1</v>
      </c>
    </row>
    <row r="143" spans="1:8">
      <c r="A143" s="4" t="s">
        <v>290</v>
      </c>
      <c r="B143" s="8" t="s">
        <v>288</v>
      </c>
      <c r="C143" s="16"/>
      <c r="D143" s="8"/>
      <c r="E143">
        <f t="shared" si="9"/>
        <v>1</v>
      </c>
      <c r="F143">
        <f t="shared" si="10"/>
        <v>0</v>
      </c>
      <c r="G143" t="s">
        <v>151</v>
      </c>
      <c r="H143">
        <f t="shared" si="11"/>
        <v>0</v>
      </c>
    </row>
    <row r="144" spans="1:8">
      <c r="A144" s="4" t="s">
        <v>291</v>
      </c>
      <c r="B144" s="8" t="s">
        <v>288</v>
      </c>
      <c r="C144" s="16"/>
      <c r="D144" s="8"/>
      <c r="E144">
        <f t="shared" si="9"/>
        <v>1</v>
      </c>
      <c r="F144">
        <f t="shared" si="10"/>
        <v>0</v>
      </c>
      <c r="G144" t="s">
        <v>27</v>
      </c>
      <c r="H144">
        <f t="shared" si="11"/>
        <v>1</v>
      </c>
    </row>
    <row r="145" spans="1:8">
      <c r="A145" s="4" t="s">
        <v>292</v>
      </c>
      <c r="B145" s="8" t="s">
        <v>277</v>
      </c>
      <c r="C145" s="16"/>
      <c r="D145" s="8"/>
      <c r="E145">
        <f t="shared" si="9"/>
        <v>1</v>
      </c>
      <c r="F145">
        <f t="shared" si="10"/>
        <v>0</v>
      </c>
      <c r="G145" t="s">
        <v>151</v>
      </c>
      <c r="H145">
        <f t="shared" si="11"/>
        <v>0</v>
      </c>
    </row>
    <row r="146" spans="1:8">
      <c r="A146" s="4" t="s">
        <v>293</v>
      </c>
      <c r="B146" s="8" t="s">
        <v>277</v>
      </c>
      <c r="C146" s="16"/>
      <c r="D146" s="8"/>
      <c r="E146">
        <f t="shared" si="9"/>
        <v>1</v>
      </c>
      <c r="F146">
        <f t="shared" si="10"/>
        <v>0</v>
      </c>
      <c r="G146" t="s">
        <v>279</v>
      </c>
      <c r="H146">
        <f t="shared" si="11"/>
        <v>0</v>
      </c>
    </row>
    <row r="147" spans="1:8">
      <c r="A147" s="4" t="s">
        <v>294</v>
      </c>
      <c r="B147" s="8" t="s">
        <v>284</v>
      </c>
      <c r="C147" s="16"/>
      <c r="D147" s="8"/>
      <c r="E147">
        <f t="shared" si="9"/>
        <v>1</v>
      </c>
      <c r="F147">
        <f t="shared" si="10"/>
        <v>0</v>
      </c>
      <c r="G147" t="s">
        <v>151</v>
      </c>
      <c r="H147">
        <f t="shared" si="11"/>
        <v>0</v>
      </c>
    </row>
    <row r="148" spans="1:8">
      <c r="A148" s="4" t="s">
        <v>295</v>
      </c>
      <c r="B148" s="8" t="s">
        <v>296</v>
      </c>
      <c r="C148" s="16"/>
      <c r="D148" s="8"/>
      <c r="E148">
        <f t="shared" si="9"/>
        <v>0</v>
      </c>
      <c r="F148">
        <f t="shared" si="10"/>
        <v>0</v>
      </c>
      <c r="G148" t="s">
        <v>151</v>
      </c>
      <c r="H148">
        <f t="shared" si="11"/>
        <v>0</v>
      </c>
    </row>
    <row r="149" spans="1:8">
      <c r="A149" s="4" t="s">
        <v>297</v>
      </c>
      <c r="B149" s="8" t="s">
        <v>277</v>
      </c>
      <c r="C149" s="16"/>
      <c r="D149" s="8"/>
      <c r="E149">
        <f t="shared" si="9"/>
        <v>1</v>
      </c>
      <c r="F149">
        <f t="shared" si="10"/>
        <v>0</v>
      </c>
      <c r="G149" t="s">
        <v>151</v>
      </c>
      <c r="H149">
        <f t="shared" si="11"/>
        <v>0</v>
      </c>
    </row>
    <row r="150" spans="1:8">
      <c r="A150" s="4" t="s">
        <v>298</v>
      </c>
      <c r="B150" s="8" t="s">
        <v>286</v>
      </c>
      <c r="C150" s="16"/>
      <c r="D150" s="8"/>
      <c r="E150">
        <f t="shared" si="9"/>
        <v>1</v>
      </c>
      <c r="F150">
        <f t="shared" si="10"/>
        <v>0</v>
      </c>
      <c r="G150" t="s">
        <v>29</v>
      </c>
      <c r="H150">
        <f t="shared" si="11"/>
        <v>1</v>
      </c>
    </row>
    <row r="151" spans="1:8">
      <c r="A151" s="4" t="s">
        <v>299</v>
      </c>
      <c r="B151" s="8" t="s">
        <v>288</v>
      </c>
      <c r="C151" s="16"/>
      <c r="D151" s="8"/>
      <c r="E151">
        <f t="shared" si="9"/>
        <v>1</v>
      </c>
      <c r="F151">
        <f t="shared" si="10"/>
        <v>0</v>
      </c>
      <c r="G151" t="s">
        <v>151</v>
      </c>
      <c r="H151">
        <f t="shared" si="11"/>
        <v>0</v>
      </c>
    </row>
    <row r="152" spans="1:8">
      <c r="A152" s="4" t="s">
        <v>300</v>
      </c>
      <c r="B152" s="8" t="s">
        <v>288</v>
      </c>
      <c r="C152" s="16"/>
      <c r="D152" s="8"/>
      <c r="E152">
        <f t="shared" si="9"/>
        <v>1</v>
      </c>
      <c r="F152">
        <f t="shared" si="10"/>
        <v>0</v>
      </c>
      <c r="G152" t="s">
        <v>151</v>
      </c>
      <c r="H152">
        <f t="shared" si="11"/>
        <v>0</v>
      </c>
    </row>
    <row r="153" spans="1:8">
      <c r="A153" s="4" t="s">
        <v>301</v>
      </c>
      <c r="B153" s="8" t="s">
        <v>288</v>
      </c>
      <c r="C153" s="16"/>
      <c r="D153" s="8"/>
      <c r="E153">
        <f t="shared" si="9"/>
        <v>1</v>
      </c>
      <c r="F153">
        <f t="shared" si="10"/>
        <v>0</v>
      </c>
      <c r="G153" t="s">
        <v>151</v>
      </c>
      <c r="H153">
        <f t="shared" si="11"/>
        <v>0</v>
      </c>
    </row>
    <row r="154" spans="1:8">
      <c r="A154" s="4" t="s">
        <v>302</v>
      </c>
      <c r="B154" s="8" t="s">
        <v>288</v>
      </c>
      <c r="C154" s="16"/>
      <c r="D154" s="8"/>
      <c r="E154">
        <f t="shared" si="9"/>
        <v>1</v>
      </c>
      <c r="F154">
        <f t="shared" si="10"/>
        <v>0</v>
      </c>
      <c r="G154" t="s">
        <v>151</v>
      </c>
      <c r="H154">
        <f t="shared" si="11"/>
        <v>0</v>
      </c>
    </row>
    <row r="155" spans="1:8">
      <c r="A155" s="4" t="s">
        <v>303</v>
      </c>
      <c r="B155" s="8" t="s">
        <v>284</v>
      </c>
      <c r="C155" s="16"/>
      <c r="D155" s="8"/>
      <c r="E155">
        <f t="shared" si="9"/>
        <v>1</v>
      </c>
      <c r="F155">
        <f t="shared" si="10"/>
        <v>0</v>
      </c>
      <c r="G155" t="s">
        <v>279</v>
      </c>
      <c r="H155">
        <f t="shared" si="11"/>
        <v>0</v>
      </c>
    </row>
    <row r="156" spans="1:8">
      <c r="A156" s="4" t="s">
        <v>304</v>
      </c>
      <c r="B156" s="8" t="s">
        <v>277</v>
      </c>
      <c r="C156" s="16"/>
      <c r="D156" s="8"/>
      <c r="E156">
        <f t="shared" si="9"/>
        <v>1</v>
      </c>
      <c r="F156">
        <f t="shared" si="10"/>
        <v>0</v>
      </c>
      <c r="G156" t="s">
        <v>151</v>
      </c>
      <c r="H156">
        <f t="shared" si="11"/>
        <v>0</v>
      </c>
    </row>
    <row r="157" spans="1:8">
      <c r="A157" s="4" t="s">
        <v>305</v>
      </c>
      <c r="B157" s="8" t="s">
        <v>296</v>
      </c>
      <c r="C157" s="16"/>
      <c r="D157" s="8"/>
      <c r="E157">
        <f t="shared" si="9"/>
        <v>0</v>
      </c>
      <c r="F157">
        <f t="shared" si="10"/>
        <v>0</v>
      </c>
      <c r="G157" t="s">
        <v>279</v>
      </c>
      <c r="H157">
        <f t="shared" si="11"/>
        <v>0</v>
      </c>
    </row>
    <row r="158" spans="1:8">
      <c r="A158" s="4" t="s">
        <v>306</v>
      </c>
      <c r="B158" s="8" t="s">
        <v>277</v>
      </c>
      <c r="C158" s="16"/>
      <c r="D158" s="8"/>
      <c r="E158">
        <f t="shared" si="9"/>
        <v>1</v>
      </c>
      <c r="F158">
        <f t="shared" si="10"/>
        <v>0</v>
      </c>
      <c r="G158" t="s">
        <v>151</v>
      </c>
      <c r="H158">
        <f t="shared" si="11"/>
        <v>0</v>
      </c>
    </row>
    <row r="159" spans="1:8">
      <c r="A159" s="4" t="s">
        <v>307</v>
      </c>
      <c r="B159" s="8" t="s">
        <v>277</v>
      </c>
      <c r="C159" s="16"/>
      <c r="D159" s="8"/>
      <c r="E159">
        <f t="shared" si="9"/>
        <v>1</v>
      </c>
      <c r="F159">
        <f t="shared" si="10"/>
        <v>0</v>
      </c>
      <c r="G159" t="s">
        <v>151</v>
      </c>
      <c r="H159">
        <f t="shared" si="11"/>
        <v>0</v>
      </c>
    </row>
    <row r="160" spans="1:8">
      <c r="A160" s="4" t="s">
        <v>308</v>
      </c>
      <c r="B160" s="8" t="s">
        <v>277</v>
      </c>
      <c r="C160" s="16"/>
      <c r="D160" s="8"/>
      <c r="E160">
        <f t="shared" si="9"/>
        <v>1</v>
      </c>
      <c r="F160">
        <f t="shared" si="10"/>
        <v>0</v>
      </c>
      <c r="G160" t="s">
        <v>279</v>
      </c>
      <c r="H160">
        <f t="shared" si="11"/>
        <v>0</v>
      </c>
    </row>
    <row r="161" spans="1:8">
      <c r="A161" s="4" t="s">
        <v>309</v>
      </c>
      <c r="B161" s="8" t="s">
        <v>284</v>
      </c>
      <c r="C161" s="16"/>
      <c r="D161" s="8"/>
      <c r="E161">
        <f t="shared" si="9"/>
        <v>1</v>
      </c>
      <c r="F161">
        <f t="shared" si="10"/>
        <v>0</v>
      </c>
      <c r="G161" t="s">
        <v>151</v>
      </c>
      <c r="H161">
        <f t="shared" si="11"/>
        <v>0</v>
      </c>
    </row>
    <row r="162" spans="1:8">
      <c r="A162" s="4" t="s">
        <v>310</v>
      </c>
      <c r="B162" s="8" t="s">
        <v>286</v>
      </c>
      <c r="C162" s="16"/>
      <c r="D162" s="8"/>
      <c r="E162">
        <f t="shared" si="9"/>
        <v>1</v>
      </c>
      <c r="F162">
        <f t="shared" si="10"/>
        <v>0</v>
      </c>
      <c r="G162" t="s">
        <v>151</v>
      </c>
      <c r="H162">
        <f t="shared" si="11"/>
        <v>0</v>
      </c>
    </row>
    <row r="163" spans="1:8">
      <c r="A163" s="4" t="s">
        <v>311</v>
      </c>
      <c r="B163" s="8" t="s">
        <v>288</v>
      </c>
      <c r="C163" s="16"/>
      <c r="D163" s="8"/>
      <c r="E163">
        <f t="shared" si="9"/>
        <v>1</v>
      </c>
      <c r="F163">
        <f t="shared" si="10"/>
        <v>0</v>
      </c>
      <c r="G163" t="s">
        <v>151</v>
      </c>
      <c r="H163">
        <f t="shared" si="11"/>
        <v>0</v>
      </c>
    </row>
    <row r="164" spans="1:8">
      <c r="A164" s="4" t="s">
        <v>312</v>
      </c>
      <c r="B164" s="8" t="s">
        <v>288</v>
      </c>
      <c r="C164" s="16"/>
      <c r="D164" s="8"/>
      <c r="E164">
        <f t="shared" si="9"/>
        <v>1</v>
      </c>
      <c r="F164">
        <f t="shared" si="10"/>
        <v>0</v>
      </c>
      <c r="G164" t="s">
        <v>151</v>
      </c>
      <c r="H164">
        <f t="shared" si="11"/>
        <v>0</v>
      </c>
    </row>
    <row r="165" spans="1:8">
      <c r="A165" s="4" t="s">
        <v>313</v>
      </c>
      <c r="B165" s="8" t="s">
        <v>288</v>
      </c>
      <c r="C165" s="16"/>
      <c r="D165" s="8"/>
      <c r="E165">
        <f t="shared" si="9"/>
        <v>1</v>
      </c>
      <c r="F165">
        <f t="shared" si="10"/>
        <v>0</v>
      </c>
      <c r="G165" t="s">
        <v>151</v>
      </c>
      <c r="H165">
        <f t="shared" si="11"/>
        <v>0</v>
      </c>
    </row>
    <row r="166" spans="1:8">
      <c r="A166" s="4" t="s">
        <v>314</v>
      </c>
      <c r="B166" s="8" t="s">
        <v>288</v>
      </c>
      <c r="C166" s="16"/>
      <c r="D166" s="8"/>
      <c r="E166">
        <f t="shared" si="9"/>
        <v>1</v>
      </c>
      <c r="F166">
        <f t="shared" si="10"/>
        <v>0</v>
      </c>
      <c r="G166" t="s">
        <v>151</v>
      </c>
      <c r="H166">
        <f t="shared" si="11"/>
        <v>0</v>
      </c>
    </row>
    <row r="167" spans="1:8">
      <c r="A167" s="4" t="s">
        <v>315</v>
      </c>
      <c r="B167" s="8" t="s">
        <v>277</v>
      </c>
      <c r="C167" s="16"/>
      <c r="D167" s="8"/>
      <c r="E167">
        <f t="shared" si="9"/>
        <v>1</v>
      </c>
      <c r="F167">
        <f t="shared" si="10"/>
        <v>0</v>
      </c>
      <c r="G167" t="s">
        <v>151</v>
      </c>
      <c r="H167">
        <f t="shared" si="11"/>
        <v>0</v>
      </c>
    </row>
    <row r="168" spans="1:8">
      <c r="A168" s="4" t="s">
        <v>316</v>
      </c>
      <c r="B168" s="8" t="s">
        <v>286</v>
      </c>
      <c r="C168" s="16"/>
      <c r="D168" s="8"/>
      <c r="E168">
        <f t="shared" si="9"/>
        <v>1</v>
      </c>
      <c r="F168">
        <f t="shared" si="10"/>
        <v>0</v>
      </c>
      <c r="G168" t="s">
        <v>151</v>
      </c>
      <c r="H168">
        <f t="shared" si="11"/>
        <v>0</v>
      </c>
    </row>
    <row r="169" spans="1:8">
      <c r="A169" s="4" t="s">
        <v>317</v>
      </c>
      <c r="B169" s="8" t="s">
        <v>288</v>
      </c>
      <c r="C169" s="16"/>
      <c r="D169" s="8"/>
      <c r="E169">
        <f t="shared" si="9"/>
        <v>1</v>
      </c>
      <c r="F169">
        <f t="shared" si="10"/>
        <v>0</v>
      </c>
      <c r="G169" t="s">
        <v>151</v>
      </c>
      <c r="H169">
        <f t="shared" si="11"/>
        <v>0</v>
      </c>
    </row>
    <row r="170" spans="1:8">
      <c r="A170" s="4" t="s">
        <v>318</v>
      </c>
      <c r="B170" s="8" t="s">
        <v>288</v>
      </c>
      <c r="C170" s="16"/>
      <c r="D170" s="8"/>
      <c r="E170">
        <f t="shared" si="9"/>
        <v>1</v>
      </c>
      <c r="F170">
        <f t="shared" si="10"/>
        <v>0</v>
      </c>
      <c r="G170" t="s">
        <v>27</v>
      </c>
      <c r="H170">
        <f t="shared" si="11"/>
        <v>1</v>
      </c>
    </row>
    <row r="171" spans="1:8">
      <c r="A171" s="4" t="s">
        <v>319</v>
      </c>
      <c r="B171" s="8" t="s">
        <v>288</v>
      </c>
      <c r="C171" s="16"/>
      <c r="D171" s="8"/>
      <c r="E171">
        <f t="shared" si="9"/>
        <v>1</v>
      </c>
      <c r="F171">
        <f t="shared" si="10"/>
        <v>0</v>
      </c>
      <c r="G171" t="s">
        <v>151</v>
      </c>
      <c r="H171">
        <f t="shared" si="11"/>
        <v>0</v>
      </c>
    </row>
    <row r="172" spans="1:8">
      <c r="A172" s="4" t="s">
        <v>320</v>
      </c>
      <c r="B172" s="8" t="s">
        <v>288</v>
      </c>
      <c r="C172" s="16"/>
      <c r="D172" s="8"/>
      <c r="E172">
        <f t="shared" si="9"/>
        <v>1</v>
      </c>
      <c r="F172">
        <f t="shared" si="10"/>
        <v>0</v>
      </c>
      <c r="G172" t="s">
        <v>27</v>
      </c>
      <c r="H172">
        <f t="shared" si="11"/>
        <v>1</v>
      </c>
    </row>
    <row r="173" spans="1:8">
      <c r="A173" s="4" t="s">
        <v>321</v>
      </c>
      <c r="B173" s="8" t="s">
        <v>322</v>
      </c>
      <c r="C173" s="16"/>
      <c r="D173" s="8"/>
      <c r="E173">
        <f t="shared" si="9"/>
        <v>1</v>
      </c>
      <c r="F173">
        <f t="shared" si="10"/>
        <v>0</v>
      </c>
      <c r="G173" t="s">
        <v>151</v>
      </c>
      <c r="H173">
        <f t="shared" si="11"/>
        <v>0</v>
      </c>
    </row>
    <row r="174" spans="1:8">
      <c r="A174" s="4" t="s">
        <v>323</v>
      </c>
      <c r="B174" s="8" t="s">
        <v>322</v>
      </c>
      <c r="C174" s="16"/>
      <c r="D174" s="8"/>
      <c r="E174">
        <f t="shared" si="9"/>
        <v>1</v>
      </c>
      <c r="F174">
        <f t="shared" si="10"/>
        <v>0</v>
      </c>
      <c r="G174" t="s">
        <v>151</v>
      </c>
      <c r="H174">
        <f t="shared" si="11"/>
        <v>0</v>
      </c>
    </row>
    <row r="175" spans="1:8">
      <c r="A175" s="4" t="s">
        <v>324</v>
      </c>
      <c r="B175" s="8" t="s">
        <v>322</v>
      </c>
      <c r="C175" s="16"/>
      <c r="D175" s="8"/>
      <c r="E175">
        <f t="shared" si="9"/>
        <v>1</v>
      </c>
      <c r="F175">
        <f t="shared" si="10"/>
        <v>0</v>
      </c>
      <c r="G175" t="s">
        <v>151</v>
      </c>
      <c r="H175">
        <f t="shared" si="11"/>
        <v>0</v>
      </c>
    </row>
    <row r="176" spans="1:8">
      <c r="A176" s="4" t="s">
        <v>325</v>
      </c>
      <c r="B176" s="8" t="s">
        <v>322</v>
      </c>
      <c r="C176" s="16"/>
      <c r="D176" s="8"/>
      <c r="E176">
        <f t="shared" si="9"/>
        <v>1</v>
      </c>
      <c r="F176">
        <f t="shared" si="10"/>
        <v>0</v>
      </c>
      <c r="G176" t="s">
        <v>27</v>
      </c>
      <c r="H176">
        <f t="shared" si="11"/>
        <v>1</v>
      </c>
    </row>
    <row r="177" spans="1:8">
      <c r="A177" s="4" t="s">
        <v>326</v>
      </c>
      <c r="B177" s="8" t="s">
        <v>277</v>
      </c>
      <c r="C177" s="16"/>
      <c r="D177" s="8"/>
      <c r="E177">
        <f t="shared" si="9"/>
        <v>1</v>
      </c>
      <c r="F177">
        <f t="shared" si="10"/>
        <v>0</v>
      </c>
      <c r="G177" t="s">
        <v>279</v>
      </c>
      <c r="H177">
        <f t="shared" si="11"/>
        <v>0</v>
      </c>
    </row>
    <row r="178" spans="1:8">
      <c r="A178" s="4" t="s">
        <v>327</v>
      </c>
      <c r="B178" s="8" t="s">
        <v>328</v>
      </c>
      <c r="C178" s="16"/>
      <c r="D178" s="8"/>
      <c r="E178">
        <f t="shared" si="9"/>
        <v>1</v>
      </c>
      <c r="F178">
        <f t="shared" si="10"/>
        <v>0</v>
      </c>
      <c r="G178" t="s">
        <v>203</v>
      </c>
      <c r="H178">
        <f t="shared" si="11"/>
        <v>0</v>
      </c>
    </row>
    <row r="179" spans="1:8">
      <c r="A179" s="4" t="s">
        <v>329</v>
      </c>
      <c r="B179" s="8" t="s">
        <v>269</v>
      </c>
      <c r="C179" s="16"/>
      <c r="D179" s="8"/>
      <c r="E179">
        <f t="shared" si="9"/>
        <v>1</v>
      </c>
      <c r="F179">
        <f t="shared" si="10"/>
        <v>0</v>
      </c>
      <c r="G179" t="s">
        <v>273</v>
      </c>
      <c r="H179">
        <f t="shared" si="11"/>
        <v>0</v>
      </c>
    </row>
    <row r="180" spans="1:8">
      <c r="A180" s="4" t="s">
        <v>330</v>
      </c>
      <c r="B180" s="8" t="s">
        <v>269</v>
      </c>
      <c r="C180" s="16"/>
      <c r="D180" s="8"/>
      <c r="E180">
        <f t="shared" si="9"/>
        <v>1</v>
      </c>
      <c r="F180">
        <f t="shared" si="10"/>
        <v>0</v>
      </c>
      <c r="G180" t="s">
        <v>107</v>
      </c>
      <c r="H180">
        <f t="shared" si="11"/>
        <v>1</v>
      </c>
    </row>
    <row r="181" spans="1:8">
      <c r="A181" s="4" t="s">
        <v>331</v>
      </c>
      <c r="B181" s="8" t="s">
        <v>332</v>
      </c>
      <c r="C181" s="16"/>
      <c r="D181" s="8"/>
      <c r="E181">
        <f t="shared" si="9"/>
        <v>1</v>
      </c>
      <c r="F181">
        <f t="shared" si="10"/>
        <v>0</v>
      </c>
      <c r="G181" t="s">
        <v>44</v>
      </c>
      <c r="H181">
        <f t="shared" si="11"/>
        <v>1</v>
      </c>
    </row>
    <row r="182" spans="1:8">
      <c r="A182" s="4" t="s">
        <v>333</v>
      </c>
      <c r="B182" s="8" t="s">
        <v>334</v>
      </c>
      <c r="C182" s="16"/>
      <c r="D182" s="8"/>
      <c r="E182">
        <f t="shared" si="9"/>
        <v>0</v>
      </c>
      <c r="F182">
        <f t="shared" si="10"/>
        <v>0</v>
      </c>
      <c r="G182" t="s">
        <v>335</v>
      </c>
      <c r="H182">
        <f t="shared" si="11"/>
        <v>0</v>
      </c>
    </row>
    <row r="183" spans="1:8">
      <c r="A183" s="4" t="s">
        <v>336</v>
      </c>
      <c r="B183" s="8" t="s">
        <v>334</v>
      </c>
      <c r="C183" s="16"/>
      <c r="D183" s="8"/>
      <c r="E183">
        <f t="shared" si="9"/>
        <v>0</v>
      </c>
      <c r="F183">
        <f t="shared" si="10"/>
        <v>0</v>
      </c>
      <c r="G183" t="s">
        <v>44</v>
      </c>
      <c r="H183">
        <f t="shared" si="11"/>
        <v>1</v>
      </c>
    </row>
    <row r="184" spans="1:8">
      <c r="A184" s="4" t="s">
        <v>337</v>
      </c>
      <c r="B184" s="8" t="s">
        <v>334</v>
      </c>
      <c r="C184" s="16"/>
      <c r="D184" s="8"/>
      <c r="E184">
        <f t="shared" si="9"/>
        <v>0</v>
      </c>
      <c r="F184">
        <f t="shared" si="10"/>
        <v>0</v>
      </c>
      <c r="G184" t="s">
        <v>338</v>
      </c>
      <c r="H184">
        <f t="shared" si="11"/>
        <v>0</v>
      </c>
    </row>
    <row r="185" spans="1:8">
      <c r="A185" s="4" t="s">
        <v>339</v>
      </c>
      <c r="B185" s="8" t="s">
        <v>334</v>
      </c>
      <c r="C185" s="16"/>
      <c r="D185" s="8"/>
      <c r="E185">
        <f t="shared" si="9"/>
        <v>0</v>
      </c>
      <c r="F185">
        <f t="shared" si="10"/>
        <v>0</v>
      </c>
      <c r="G185" t="s">
        <v>335</v>
      </c>
      <c r="H185">
        <f t="shared" si="11"/>
        <v>0</v>
      </c>
    </row>
    <row r="186" spans="1:8">
      <c r="A186" s="4" t="s">
        <v>340</v>
      </c>
      <c r="B186" s="8" t="s">
        <v>71</v>
      </c>
      <c r="C186" s="16"/>
      <c r="D186" s="8"/>
      <c r="E186">
        <f t="shared" si="9"/>
        <v>1</v>
      </c>
      <c r="F186">
        <f t="shared" si="10"/>
        <v>0</v>
      </c>
      <c r="G186" t="s">
        <v>72</v>
      </c>
      <c r="H186">
        <f t="shared" si="11"/>
        <v>1</v>
      </c>
    </row>
    <row r="187" spans="1:8">
      <c r="A187" s="4" t="s">
        <v>341</v>
      </c>
      <c r="B187" s="5" t="s">
        <v>342</v>
      </c>
      <c r="C187" s="15"/>
      <c r="D187" s="8"/>
      <c r="E187">
        <f t="shared" si="9"/>
        <v>1</v>
      </c>
      <c r="F187">
        <f t="shared" si="10"/>
        <v>0</v>
      </c>
      <c r="G187" t="s">
        <v>94</v>
      </c>
      <c r="H187">
        <f t="shared" si="11"/>
        <v>1</v>
      </c>
    </row>
    <row r="188" spans="1:8">
      <c r="A188" s="4" t="s">
        <v>343</v>
      </c>
      <c r="B188" s="5" t="s">
        <v>42</v>
      </c>
      <c r="C188" s="15"/>
      <c r="D188" s="8"/>
      <c r="E188">
        <f t="shared" si="9"/>
        <v>0</v>
      </c>
      <c r="F188">
        <f t="shared" si="10"/>
        <v>0</v>
      </c>
      <c r="G188" t="s">
        <v>43</v>
      </c>
      <c r="H188">
        <f t="shared" si="11"/>
        <v>1</v>
      </c>
    </row>
    <row r="189" spans="1:8">
      <c r="A189" s="4" t="s">
        <v>344</v>
      </c>
      <c r="B189" s="8" t="s">
        <v>195</v>
      </c>
      <c r="C189" s="16"/>
      <c r="D189" s="8"/>
      <c r="E189">
        <f t="shared" si="9"/>
        <v>1</v>
      </c>
      <c r="F189">
        <f t="shared" si="10"/>
        <v>0</v>
      </c>
      <c r="G189" t="s">
        <v>48</v>
      </c>
      <c r="H189">
        <f t="shared" si="11"/>
        <v>1</v>
      </c>
    </row>
    <row r="190" spans="1:8">
      <c r="A190" s="4" t="s">
        <v>345</v>
      </c>
      <c r="B190" s="8" t="s">
        <v>34</v>
      </c>
      <c r="C190" s="16"/>
      <c r="D190" s="8"/>
      <c r="E190">
        <f t="shared" si="9"/>
        <v>1</v>
      </c>
      <c r="F190">
        <f t="shared" si="10"/>
        <v>0</v>
      </c>
      <c r="G190" t="s">
        <v>35</v>
      </c>
      <c r="H190">
        <f t="shared" si="11"/>
        <v>1</v>
      </c>
    </row>
    <row r="191" spans="1:8">
      <c r="A191" s="4" t="s">
        <v>346</v>
      </c>
      <c r="B191" s="8" t="s">
        <v>38</v>
      </c>
      <c r="C191" s="16"/>
      <c r="D191" s="8"/>
      <c r="E191">
        <f t="shared" si="9"/>
        <v>1</v>
      </c>
      <c r="F191">
        <f t="shared" si="10"/>
        <v>0</v>
      </c>
      <c r="G191" t="s">
        <v>39</v>
      </c>
      <c r="H191">
        <f t="shared" si="11"/>
        <v>1</v>
      </c>
    </row>
    <row r="192" spans="1:8">
      <c r="A192" s="4" t="s">
        <v>347</v>
      </c>
      <c r="B192" s="8" t="s">
        <v>142</v>
      </c>
      <c r="C192" s="16"/>
      <c r="D192" s="8"/>
      <c r="E192">
        <f t="shared" si="9"/>
        <v>1</v>
      </c>
      <c r="F192">
        <f t="shared" si="10"/>
        <v>0</v>
      </c>
      <c r="G192" t="s">
        <v>144</v>
      </c>
      <c r="H192">
        <f t="shared" si="11"/>
        <v>1</v>
      </c>
    </row>
    <row r="193" spans="1:8">
      <c r="A193" s="4" t="s">
        <v>348</v>
      </c>
      <c r="B193" s="8" t="s">
        <v>147</v>
      </c>
      <c r="C193" s="16"/>
      <c r="D193" s="8"/>
      <c r="E193">
        <f t="shared" si="9"/>
        <v>1</v>
      </c>
      <c r="F193">
        <f t="shared" si="10"/>
        <v>0</v>
      </c>
      <c r="G193" t="s">
        <v>151</v>
      </c>
      <c r="H193">
        <f t="shared" si="11"/>
        <v>0</v>
      </c>
    </row>
    <row r="194" spans="1:8">
      <c r="A194" s="4" t="s">
        <v>349</v>
      </c>
      <c r="B194" s="8" t="s">
        <v>147</v>
      </c>
      <c r="C194" s="16"/>
      <c r="D194" s="8"/>
      <c r="E194">
        <f t="shared" ref="E194:E257" si="12">COUNTIF(K$2:K$65,B194)</f>
        <v>1</v>
      </c>
      <c r="F194">
        <f t="shared" ref="F194:F257" si="13">COUNTIF(O$5:O$29,B194)</f>
        <v>0</v>
      </c>
      <c r="G194" t="s">
        <v>151</v>
      </c>
      <c r="H194">
        <f t="shared" ref="H194:H257" si="14">COUNTIF(J$2:J$65,G194)</f>
        <v>0</v>
      </c>
    </row>
    <row r="195" spans="1:8">
      <c r="A195" s="4" t="s">
        <v>350</v>
      </c>
      <c r="B195" s="8" t="s">
        <v>147</v>
      </c>
      <c r="C195" s="16"/>
      <c r="D195" s="8"/>
      <c r="E195">
        <f t="shared" si="12"/>
        <v>1</v>
      </c>
      <c r="F195">
        <f t="shared" si="13"/>
        <v>0</v>
      </c>
      <c r="G195" t="s">
        <v>151</v>
      </c>
      <c r="H195">
        <f t="shared" si="14"/>
        <v>0</v>
      </c>
    </row>
    <row r="196" spans="1:8">
      <c r="A196" s="4" t="s">
        <v>351</v>
      </c>
      <c r="B196" s="8" t="s">
        <v>206</v>
      </c>
      <c r="C196" s="16"/>
      <c r="D196" s="8"/>
      <c r="E196">
        <f t="shared" si="12"/>
        <v>1</v>
      </c>
      <c r="F196">
        <f t="shared" si="13"/>
        <v>0</v>
      </c>
      <c r="G196" t="s">
        <v>207</v>
      </c>
      <c r="H196">
        <f t="shared" si="14"/>
        <v>0</v>
      </c>
    </row>
    <row r="197" spans="1:8">
      <c r="A197" s="4" t="s">
        <v>352</v>
      </c>
      <c r="B197" s="5" t="s">
        <v>9</v>
      </c>
      <c r="C197" s="15"/>
      <c r="D197" s="8"/>
      <c r="E197">
        <f t="shared" si="12"/>
        <v>1</v>
      </c>
      <c r="F197">
        <f t="shared" si="13"/>
        <v>3</v>
      </c>
      <c r="G197" t="s">
        <v>10</v>
      </c>
      <c r="H197">
        <f t="shared" si="14"/>
        <v>1</v>
      </c>
    </row>
    <row r="198" spans="1:8">
      <c r="A198" s="4" t="s">
        <v>353</v>
      </c>
      <c r="B198" s="8" t="s">
        <v>38</v>
      </c>
      <c r="C198" s="16"/>
      <c r="D198" s="8"/>
      <c r="E198">
        <f t="shared" si="12"/>
        <v>1</v>
      </c>
      <c r="F198">
        <f t="shared" si="13"/>
        <v>0</v>
      </c>
      <c r="G198" t="s">
        <v>39</v>
      </c>
      <c r="H198">
        <f t="shared" si="14"/>
        <v>1</v>
      </c>
    </row>
    <row r="199" spans="1:8">
      <c r="A199" s="4" t="s">
        <v>354</v>
      </c>
      <c r="B199" s="5" t="s">
        <v>9</v>
      </c>
      <c r="C199" s="15" t="s">
        <v>355</v>
      </c>
      <c r="D199" s="8"/>
      <c r="E199">
        <f t="shared" si="12"/>
        <v>1</v>
      </c>
      <c r="F199">
        <f t="shared" si="13"/>
        <v>3</v>
      </c>
      <c r="G199" t="s">
        <v>10</v>
      </c>
      <c r="H199">
        <f t="shared" si="14"/>
        <v>1</v>
      </c>
    </row>
    <row r="200" spans="1:8">
      <c r="A200" s="4" t="s">
        <v>356</v>
      </c>
      <c r="B200" s="5" t="s">
        <v>186</v>
      </c>
      <c r="C200" s="15"/>
      <c r="D200" s="8"/>
      <c r="E200">
        <f t="shared" si="12"/>
        <v>0</v>
      </c>
      <c r="F200">
        <f t="shared" si="13"/>
        <v>0</v>
      </c>
      <c r="G200" t="s">
        <v>68</v>
      </c>
      <c r="H200">
        <f t="shared" si="14"/>
        <v>1</v>
      </c>
    </row>
    <row r="201" spans="1:8">
      <c r="A201" s="4" t="s">
        <v>357</v>
      </c>
      <c r="B201" s="8" t="s">
        <v>179</v>
      </c>
      <c r="C201" s="16"/>
      <c r="D201" s="8"/>
      <c r="E201">
        <f t="shared" si="12"/>
        <v>1</v>
      </c>
      <c r="F201">
        <f t="shared" si="13"/>
        <v>0</v>
      </c>
      <c r="G201" t="s">
        <v>44</v>
      </c>
      <c r="H201">
        <f t="shared" si="14"/>
        <v>1</v>
      </c>
    </row>
    <row r="202" spans="1:8">
      <c r="A202" s="4" t="s">
        <v>358</v>
      </c>
      <c r="B202" s="5" t="s">
        <v>186</v>
      </c>
      <c r="C202" s="15"/>
      <c r="D202" s="8"/>
      <c r="E202">
        <f t="shared" si="12"/>
        <v>0</v>
      </c>
      <c r="F202">
        <f t="shared" si="13"/>
        <v>0</v>
      </c>
      <c r="G202" t="s">
        <v>68</v>
      </c>
      <c r="H202">
        <f t="shared" si="14"/>
        <v>1</v>
      </c>
    </row>
    <row r="203" spans="1:8">
      <c r="A203" s="4" t="s">
        <v>359</v>
      </c>
      <c r="B203" s="8" t="s">
        <v>176</v>
      </c>
      <c r="C203" s="16"/>
      <c r="D203" s="8"/>
      <c r="E203">
        <f t="shared" si="12"/>
        <v>1</v>
      </c>
      <c r="F203">
        <f t="shared" si="13"/>
        <v>0</v>
      </c>
      <c r="G203" t="s">
        <v>11</v>
      </c>
      <c r="H203">
        <f t="shared" si="14"/>
        <v>1</v>
      </c>
    </row>
    <row r="204" spans="1:8">
      <c r="A204" s="4" t="s">
        <v>360</v>
      </c>
      <c r="B204" s="8" t="s">
        <v>179</v>
      </c>
      <c r="C204" s="16"/>
      <c r="D204" s="8"/>
      <c r="E204">
        <f t="shared" si="12"/>
        <v>1</v>
      </c>
      <c r="F204">
        <f t="shared" si="13"/>
        <v>0</v>
      </c>
      <c r="G204" t="s">
        <v>10</v>
      </c>
      <c r="H204">
        <f t="shared" si="14"/>
        <v>1</v>
      </c>
    </row>
    <row r="205" spans="1:8">
      <c r="A205" s="4" t="s">
        <v>361</v>
      </c>
      <c r="B205" s="5" t="s">
        <v>186</v>
      </c>
      <c r="C205" s="15"/>
      <c r="D205" s="8"/>
      <c r="E205">
        <f t="shared" si="12"/>
        <v>0</v>
      </c>
      <c r="F205">
        <f t="shared" si="13"/>
        <v>0</v>
      </c>
      <c r="G205" t="s">
        <v>68</v>
      </c>
      <c r="H205">
        <f t="shared" si="14"/>
        <v>1</v>
      </c>
    </row>
    <row r="206" spans="1:8">
      <c r="A206" s="4" t="s">
        <v>362</v>
      </c>
      <c r="B206" s="8" t="s">
        <v>176</v>
      </c>
      <c r="C206" s="16"/>
      <c r="D206" s="8"/>
      <c r="E206">
        <f t="shared" si="12"/>
        <v>1</v>
      </c>
      <c r="F206">
        <f t="shared" si="13"/>
        <v>0</v>
      </c>
      <c r="G206" t="s">
        <v>11</v>
      </c>
      <c r="H206">
        <f t="shared" si="14"/>
        <v>1</v>
      </c>
    </row>
    <row r="207" spans="1:8">
      <c r="A207" s="4" t="s">
        <v>363</v>
      </c>
      <c r="B207" s="5" t="s">
        <v>186</v>
      </c>
      <c r="C207" s="15"/>
      <c r="D207" s="8"/>
      <c r="E207">
        <f t="shared" si="12"/>
        <v>0</v>
      </c>
      <c r="F207">
        <f t="shared" si="13"/>
        <v>0</v>
      </c>
      <c r="G207" t="s">
        <v>68</v>
      </c>
      <c r="H207">
        <f t="shared" si="14"/>
        <v>1</v>
      </c>
    </row>
    <row r="208" spans="1:8">
      <c r="A208" s="4" t="s">
        <v>364</v>
      </c>
      <c r="B208" s="8" t="s">
        <v>176</v>
      </c>
      <c r="C208" s="16"/>
      <c r="D208" s="8"/>
      <c r="E208">
        <f t="shared" si="12"/>
        <v>1</v>
      </c>
      <c r="F208">
        <f t="shared" si="13"/>
        <v>0</v>
      </c>
      <c r="G208" t="s">
        <v>11</v>
      </c>
      <c r="H208">
        <f t="shared" si="14"/>
        <v>1</v>
      </c>
    </row>
    <row r="209" spans="1:8">
      <c r="A209" s="4" t="s">
        <v>365</v>
      </c>
      <c r="B209" s="8" t="s">
        <v>179</v>
      </c>
      <c r="C209" s="16"/>
      <c r="D209" s="8"/>
      <c r="E209">
        <f t="shared" si="12"/>
        <v>1</v>
      </c>
      <c r="F209">
        <f t="shared" si="13"/>
        <v>0</v>
      </c>
      <c r="G209" t="s">
        <v>44</v>
      </c>
      <c r="H209">
        <f t="shared" si="14"/>
        <v>1</v>
      </c>
    </row>
    <row r="210" spans="1:8">
      <c r="A210" s="4" t="s">
        <v>366</v>
      </c>
      <c r="B210" s="5" t="s">
        <v>236</v>
      </c>
      <c r="C210" s="15"/>
      <c r="D210" s="8"/>
      <c r="E210">
        <f t="shared" si="12"/>
        <v>1</v>
      </c>
      <c r="F210">
        <f t="shared" si="13"/>
        <v>1</v>
      </c>
      <c r="G210" t="s">
        <v>94</v>
      </c>
      <c r="H210">
        <f t="shared" si="14"/>
        <v>1</v>
      </c>
    </row>
    <row r="211" spans="1:8">
      <c r="A211" s="4" t="s">
        <v>367</v>
      </c>
      <c r="B211" s="5" t="s">
        <v>238</v>
      </c>
      <c r="C211" s="15"/>
      <c r="D211" s="8"/>
      <c r="E211">
        <f t="shared" si="12"/>
        <v>1</v>
      </c>
      <c r="F211">
        <f t="shared" si="13"/>
        <v>0</v>
      </c>
      <c r="G211" t="s">
        <v>94</v>
      </c>
      <c r="H211">
        <f t="shared" si="14"/>
        <v>1</v>
      </c>
    </row>
    <row r="212" spans="1:8">
      <c r="A212" s="4" t="s">
        <v>368</v>
      </c>
      <c r="B212" s="5" t="s">
        <v>238</v>
      </c>
      <c r="C212" s="15"/>
      <c r="D212" s="8"/>
      <c r="E212">
        <f t="shared" si="12"/>
        <v>1</v>
      </c>
      <c r="F212">
        <f t="shared" si="13"/>
        <v>0</v>
      </c>
      <c r="G212" t="s">
        <v>94</v>
      </c>
      <c r="H212">
        <f t="shared" si="14"/>
        <v>1</v>
      </c>
    </row>
    <row r="213" spans="1:8">
      <c r="A213" s="4" t="s">
        <v>369</v>
      </c>
      <c r="B213" s="5" t="s">
        <v>238</v>
      </c>
      <c r="C213" s="15"/>
      <c r="D213" s="8"/>
      <c r="E213">
        <f t="shared" si="12"/>
        <v>1</v>
      </c>
      <c r="F213">
        <f t="shared" si="13"/>
        <v>0</v>
      </c>
      <c r="G213" t="s">
        <v>94</v>
      </c>
      <c r="H213">
        <f t="shared" si="14"/>
        <v>1</v>
      </c>
    </row>
    <row r="214" spans="1:8">
      <c r="A214" s="4" t="s">
        <v>370</v>
      </c>
      <c r="B214" s="8" t="s">
        <v>238</v>
      </c>
      <c r="C214" s="16"/>
      <c r="D214" s="8"/>
      <c r="E214">
        <f t="shared" si="12"/>
        <v>1</v>
      </c>
      <c r="F214">
        <f t="shared" si="13"/>
        <v>0</v>
      </c>
      <c r="G214" t="s">
        <v>240</v>
      </c>
      <c r="H214">
        <f t="shared" si="14"/>
        <v>0</v>
      </c>
    </row>
    <row r="215" spans="1:8">
      <c r="A215" s="4" t="s">
        <v>371</v>
      </c>
      <c r="B215" s="8" t="s">
        <v>238</v>
      </c>
      <c r="C215" s="16"/>
      <c r="D215" s="8"/>
      <c r="E215">
        <f t="shared" si="12"/>
        <v>1</v>
      </c>
      <c r="F215">
        <f t="shared" si="13"/>
        <v>0</v>
      </c>
      <c r="G215" t="s">
        <v>240</v>
      </c>
      <c r="H215">
        <f t="shared" si="14"/>
        <v>0</v>
      </c>
    </row>
    <row r="216" spans="1:8">
      <c r="A216" s="4" t="s">
        <v>372</v>
      </c>
      <c r="B216" s="8" t="s">
        <v>238</v>
      </c>
      <c r="C216" s="16"/>
      <c r="D216" s="8"/>
      <c r="E216">
        <f t="shared" si="12"/>
        <v>1</v>
      </c>
      <c r="F216">
        <f t="shared" si="13"/>
        <v>0</v>
      </c>
      <c r="G216" t="s">
        <v>240</v>
      </c>
      <c r="H216">
        <f t="shared" si="14"/>
        <v>0</v>
      </c>
    </row>
    <row r="217" spans="1:8">
      <c r="A217" s="4" t="s">
        <v>373</v>
      </c>
      <c r="B217" s="5" t="s">
        <v>170</v>
      </c>
      <c r="C217" s="15"/>
      <c r="D217" s="8"/>
      <c r="E217">
        <f t="shared" si="12"/>
        <v>1</v>
      </c>
      <c r="F217">
        <f t="shared" si="13"/>
        <v>1</v>
      </c>
      <c r="G217" t="s">
        <v>43</v>
      </c>
      <c r="H217">
        <f t="shared" si="14"/>
        <v>1</v>
      </c>
    </row>
    <row r="218" spans="1:8">
      <c r="A218" s="4" t="s">
        <v>374</v>
      </c>
      <c r="B218" s="8" t="s">
        <v>201</v>
      </c>
      <c r="C218" s="16"/>
      <c r="D218" s="8"/>
      <c r="E218">
        <f t="shared" si="12"/>
        <v>1</v>
      </c>
      <c r="F218">
        <f t="shared" si="13"/>
        <v>0</v>
      </c>
      <c r="G218" t="s">
        <v>162</v>
      </c>
      <c r="H218">
        <f t="shared" si="14"/>
        <v>1</v>
      </c>
    </row>
    <row r="219" spans="1:8">
      <c r="A219" s="4" t="s">
        <v>375</v>
      </c>
      <c r="B219" s="5" t="s">
        <v>9</v>
      </c>
      <c r="C219" s="15"/>
      <c r="D219" s="8"/>
      <c r="E219">
        <f t="shared" si="12"/>
        <v>1</v>
      </c>
      <c r="F219">
        <f t="shared" si="13"/>
        <v>3</v>
      </c>
      <c r="G219" t="s">
        <v>10</v>
      </c>
      <c r="H219">
        <f t="shared" si="14"/>
        <v>1</v>
      </c>
    </row>
    <row r="220" spans="1:8">
      <c r="A220" s="4" t="s">
        <v>376</v>
      </c>
      <c r="B220" s="5" t="s">
        <v>172</v>
      </c>
      <c r="C220" s="15"/>
      <c r="D220" s="8"/>
      <c r="E220">
        <f t="shared" si="12"/>
        <v>1</v>
      </c>
      <c r="F220">
        <f t="shared" si="13"/>
        <v>2</v>
      </c>
      <c r="G220" t="s">
        <v>68</v>
      </c>
      <c r="H220">
        <f t="shared" si="14"/>
        <v>1</v>
      </c>
    </row>
    <row r="221" spans="1:8">
      <c r="A221" s="4" t="s">
        <v>377</v>
      </c>
      <c r="B221" s="8" t="s">
        <v>176</v>
      </c>
      <c r="C221" s="16"/>
      <c r="D221" s="8"/>
      <c r="E221">
        <f t="shared" si="12"/>
        <v>1</v>
      </c>
      <c r="F221">
        <f t="shared" si="13"/>
        <v>0</v>
      </c>
      <c r="G221" t="s">
        <v>11</v>
      </c>
      <c r="H221">
        <f t="shared" si="14"/>
        <v>1</v>
      </c>
    </row>
    <row r="222" spans="1:8">
      <c r="A222" s="4" t="s">
        <v>378</v>
      </c>
      <c r="B222" s="8" t="s">
        <v>379</v>
      </c>
      <c r="C222" s="16"/>
      <c r="D222" s="8"/>
      <c r="E222">
        <f t="shared" si="12"/>
        <v>1</v>
      </c>
      <c r="F222">
        <f t="shared" si="13"/>
        <v>0</v>
      </c>
      <c r="G222" t="s">
        <v>107</v>
      </c>
      <c r="H222">
        <f t="shared" si="14"/>
        <v>1</v>
      </c>
    </row>
    <row r="223" spans="1:8">
      <c r="A223" s="4" t="s">
        <v>380</v>
      </c>
      <c r="B223" s="8" t="s">
        <v>381</v>
      </c>
      <c r="C223" s="16"/>
      <c r="D223" s="8"/>
      <c r="E223">
        <f t="shared" si="12"/>
        <v>1</v>
      </c>
      <c r="F223">
        <f t="shared" si="13"/>
        <v>0</v>
      </c>
      <c r="G223" t="s">
        <v>107</v>
      </c>
      <c r="H223">
        <f t="shared" si="14"/>
        <v>1</v>
      </c>
    </row>
    <row r="224" spans="1:8">
      <c r="A224" s="4" t="s">
        <v>382</v>
      </c>
      <c r="B224" s="8" t="s">
        <v>13</v>
      </c>
      <c r="C224" s="16"/>
      <c r="D224" s="8"/>
      <c r="E224">
        <f t="shared" si="12"/>
        <v>1</v>
      </c>
      <c r="F224">
        <f t="shared" si="13"/>
        <v>0</v>
      </c>
      <c r="G224" t="s">
        <v>14</v>
      </c>
      <c r="H224">
        <f t="shared" si="14"/>
        <v>1</v>
      </c>
    </row>
    <row r="225" spans="1:8">
      <c r="A225" s="4" t="s">
        <v>383</v>
      </c>
      <c r="B225" s="5" t="s">
        <v>384</v>
      </c>
      <c r="C225" s="15"/>
      <c r="D225" s="8"/>
      <c r="E225">
        <f t="shared" si="12"/>
        <v>1</v>
      </c>
      <c r="F225">
        <f t="shared" si="13"/>
        <v>1</v>
      </c>
      <c r="G225" t="s">
        <v>77</v>
      </c>
      <c r="H225">
        <f t="shared" si="14"/>
        <v>1</v>
      </c>
    </row>
    <row r="226" spans="1:8">
      <c r="A226" s="4" t="s">
        <v>385</v>
      </c>
      <c r="B226" s="5" t="s">
        <v>386</v>
      </c>
      <c r="C226" s="15"/>
      <c r="D226" s="8"/>
      <c r="E226">
        <f t="shared" si="12"/>
        <v>1</v>
      </c>
      <c r="F226">
        <f t="shared" si="13"/>
        <v>0</v>
      </c>
      <c r="G226" t="s">
        <v>77</v>
      </c>
      <c r="H226">
        <f t="shared" si="14"/>
        <v>1</v>
      </c>
    </row>
    <row r="227" spans="1:8">
      <c r="A227" s="4" t="s">
        <v>387</v>
      </c>
      <c r="B227" s="5" t="s">
        <v>386</v>
      </c>
      <c r="C227" s="15"/>
      <c r="D227" s="8"/>
      <c r="E227">
        <f t="shared" si="12"/>
        <v>1</v>
      </c>
      <c r="F227">
        <f t="shared" si="13"/>
        <v>0</v>
      </c>
      <c r="G227" t="s">
        <v>77</v>
      </c>
      <c r="H227">
        <f t="shared" si="14"/>
        <v>1</v>
      </c>
    </row>
    <row r="228" spans="1:8">
      <c r="A228" s="4" t="s">
        <v>388</v>
      </c>
      <c r="B228" s="5" t="s">
        <v>386</v>
      </c>
      <c r="C228" s="15"/>
      <c r="D228" s="8"/>
      <c r="E228">
        <f t="shared" si="12"/>
        <v>1</v>
      </c>
      <c r="F228">
        <f t="shared" si="13"/>
        <v>0</v>
      </c>
      <c r="G228" t="s">
        <v>77</v>
      </c>
      <c r="H228">
        <f t="shared" si="14"/>
        <v>1</v>
      </c>
    </row>
    <row r="229" spans="1:8">
      <c r="A229" s="4" t="s">
        <v>389</v>
      </c>
      <c r="B229" s="5" t="s">
        <v>386</v>
      </c>
      <c r="C229" s="15"/>
      <c r="D229" s="8"/>
      <c r="E229">
        <f t="shared" si="12"/>
        <v>1</v>
      </c>
      <c r="F229">
        <f t="shared" si="13"/>
        <v>0</v>
      </c>
      <c r="G229" t="s">
        <v>77</v>
      </c>
      <c r="H229">
        <f t="shared" si="14"/>
        <v>1</v>
      </c>
    </row>
    <row r="230" spans="1:8">
      <c r="A230" s="4" t="s">
        <v>390</v>
      </c>
      <c r="B230" s="5" t="s">
        <v>386</v>
      </c>
      <c r="C230" s="15"/>
      <c r="D230" s="8"/>
      <c r="E230">
        <f t="shared" si="12"/>
        <v>1</v>
      </c>
      <c r="F230">
        <f t="shared" si="13"/>
        <v>0</v>
      </c>
      <c r="G230" t="s">
        <v>77</v>
      </c>
      <c r="H230">
        <f t="shared" si="14"/>
        <v>1</v>
      </c>
    </row>
    <row r="231" spans="1:8">
      <c r="A231" s="4" t="s">
        <v>391</v>
      </c>
      <c r="B231" s="8" t="s">
        <v>76</v>
      </c>
      <c r="C231" s="16" t="s">
        <v>392</v>
      </c>
      <c r="D231" s="8"/>
      <c r="E231">
        <f t="shared" si="12"/>
        <v>1</v>
      </c>
      <c r="F231">
        <f t="shared" si="13"/>
        <v>0</v>
      </c>
      <c r="G231" t="s">
        <v>67</v>
      </c>
      <c r="H231">
        <f t="shared" si="14"/>
        <v>1</v>
      </c>
    </row>
    <row r="232" spans="1:8">
      <c r="A232" s="4" t="s">
        <v>393</v>
      </c>
      <c r="B232" s="8" t="s">
        <v>89</v>
      </c>
      <c r="C232" s="16"/>
      <c r="D232" s="8"/>
      <c r="E232">
        <f t="shared" si="12"/>
        <v>1</v>
      </c>
      <c r="F232">
        <f t="shared" si="13"/>
        <v>0</v>
      </c>
      <c r="G232" t="s">
        <v>64</v>
      </c>
      <c r="H232">
        <f t="shared" si="14"/>
        <v>1</v>
      </c>
    </row>
    <row r="233" spans="1:8">
      <c r="A233" s="4" t="s">
        <v>394</v>
      </c>
      <c r="B233" s="8" t="s">
        <v>89</v>
      </c>
      <c r="C233" s="16"/>
      <c r="D233" s="8"/>
      <c r="E233">
        <f t="shared" si="12"/>
        <v>1</v>
      </c>
      <c r="F233">
        <f t="shared" si="13"/>
        <v>0</v>
      </c>
      <c r="G233" t="s">
        <v>64</v>
      </c>
      <c r="H233">
        <f t="shared" si="14"/>
        <v>1</v>
      </c>
    </row>
    <row r="234" spans="1:8">
      <c r="A234" s="4" t="s">
        <v>395</v>
      </c>
      <c r="B234" s="8" t="s">
        <v>89</v>
      </c>
      <c r="C234" s="16"/>
      <c r="D234" s="8"/>
      <c r="E234">
        <f t="shared" si="12"/>
        <v>1</v>
      </c>
      <c r="F234">
        <f t="shared" si="13"/>
        <v>0</v>
      </c>
      <c r="G234" t="s">
        <v>64</v>
      </c>
      <c r="H234">
        <f t="shared" si="14"/>
        <v>1</v>
      </c>
    </row>
    <row r="235" spans="1:8">
      <c r="A235" s="4" t="s">
        <v>396</v>
      </c>
      <c r="B235" s="8" t="s">
        <v>89</v>
      </c>
      <c r="C235" s="16"/>
      <c r="D235" s="8"/>
      <c r="E235">
        <f t="shared" si="12"/>
        <v>1</v>
      </c>
      <c r="F235">
        <f t="shared" si="13"/>
        <v>0</v>
      </c>
      <c r="G235" t="s">
        <v>64</v>
      </c>
      <c r="H235">
        <f t="shared" si="14"/>
        <v>1</v>
      </c>
    </row>
    <row r="236" spans="1:8">
      <c r="A236" s="4" t="s">
        <v>397</v>
      </c>
      <c r="B236" s="8" t="s">
        <v>89</v>
      </c>
      <c r="C236" s="16"/>
      <c r="D236" s="8"/>
      <c r="E236">
        <f t="shared" si="12"/>
        <v>1</v>
      </c>
      <c r="F236">
        <f t="shared" si="13"/>
        <v>0</v>
      </c>
      <c r="G236" t="s">
        <v>64</v>
      </c>
      <c r="H236">
        <f t="shared" si="14"/>
        <v>1</v>
      </c>
    </row>
    <row r="237" spans="1:8">
      <c r="A237" s="4" t="s">
        <v>398</v>
      </c>
      <c r="B237" s="8" t="s">
        <v>89</v>
      </c>
      <c r="C237" s="16"/>
      <c r="D237" s="8"/>
      <c r="E237">
        <f t="shared" si="12"/>
        <v>1</v>
      </c>
      <c r="F237">
        <f t="shared" si="13"/>
        <v>0</v>
      </c>
      <c r="G237" t="s">
        <v>64</v>
      </c>
      <c r="H237">
        <f t="shared" si="14"/>
        <v>1</v>
      </c>
    </row>
    <row r="238" spans="1:8">
      <c r="A238" s="4" t="s">
        <v>399</v>
      </c>
      <c r="B238" s="8" t="s">
        <v>400</v>
      </c>
      <c r="C238" s="16"/>
      <c r="D238" s="8"/>
      <c r="E238">
        <f t="shared" si="12"/>
        <v>1</v>
      </c>
      <c r="F238">
        <f t="shared" si="13"/>
        <v>0</v>
      </c>
      <c r="G238" t="s">
        <v>401</v>
      </c>
      <c r="H238">
        <f t="shared" si="14"/>
        <v>0</v>
      </c>
    </row>
    <row r="239" spans="1:8">
      <c r="A239" s="4" t="s">
        <v>402</v>
      </c>
      <c r="B239" s="5" t="s">
        <v>403</v>
      </c>
      <c r="C239" s="17" t="s">
        <v>404</v>
      </c>
      <c r="D239" s="8"/>
      <c r="E239">
        <f t="shared" si="12"/>
        <v>0</v>
      </c>
      <c r="F239">
        <f t="shared" si="13"/>
        <v>0</v>
      </c>
      <c r="G239" t="s">
        <v>43</v>
      </c>
      <c r="H239">
        <f t="shared" si="14"/>
        <v>1</v>
      </c>
    </row>
    <row r="240" spans="1:8">
      <c r="A240" s="4" t="s">
        <v>405</v>
      </c>
      <c r="B240" s="8" t="s">
        <v>34</v>
      </c>
      <c r="C240" s="16"/>
      <c r="D240" s="8"/>
      <c r="E240">
        <f t="shared" si="12"/>
        <v>1</v>
      </c>
      <c r="F240">
        <f t="shared" si="13"/>
        <v>0</v>
      </c>
      <c r="G240" t="s">
        <v>35</v>
      </c>
      <c r="H240">
        <f t="shared" si="14"/>
        <v>1</v>
      </c>
    </row>
    <row r="241" spans="1:8">
      <c r="A241" s="4" t="s">
        <v>406</v>
      </c>
      <c r="B241" s="23" t="s">
        <v>197</v>
      </c>
      <c r="C241" s="16" t="s">
        <v>407</v>
      </c>
      <c r="D241" s="8"/>
      <c r="E241">
        <f t="shared" si="12"/>
        <v>0</v>
      </c>
      <c r="F241">
        <f t="shared" si="13"/>
        <v>0</v>
      </c>
      <c r="G241" t="s">
        <v>198</v>
      </c>
      <c r="H241">
        <f t="shared" si="14"/>
        <v>0</v>
      </c>
    </row>
    <row r="242" spans="1:8">
      <c r="A242" s="4" t="s">
        <v>408</v>
      </c>
      <c r="B242" s="8" t="s">
        <v>38</v>
      </c>
      <c r="C242" s="16" t="s">
        <v>409</v>
      </c>
      <c r="D242" s="8"/>
      <c r="E242">
        <f t="shared" si="12"/>
        <v>1</v>
      </c>
      <c r="F242">
        <f t="shared" si="13"/>
        <v>0</v>
      </c>
      <c r="G242" t="s">
        <v>39</v>
      </c>
      <c r="H242">
        <f t="shared" si="14"/>
        <v>1</v>
      </c>
    </row>
    <row r="243" spans="1:8">
      <c r="A243" s="4" t="s">
        <v>410</v>
      </c>
      <c r="B243" s="8" t="s">
        <v>25</v>
      </c>
      <c r="C243" s="16"/>
      <c r="D243" s="8"/>
      <c r="E243">
        <f t="shared" si="12"/>
        <v>1</v>
      </c>
      <c r="F243">
        <f t="shared" si="13"/>
        <v>0</v>
      </c>
      <c r="G243" t="s">
        <v>203</v>
      </c>
      <c r="H243">
        <f t="shared" si="14"/>
        <v>0</v>
      </c>
    </row>
    <row r="244" spans="1:8">
      <c r="A244" s="4" t="s">
        <v>411</v>
      </c>
      <c r="B244" s="8" t="s">
        <v>25</v>
      </c>
      <c r="C244" s="16"/>
      <c r="D244" s="8"/>
      <c r="E244">
        <f t="shared" si="12"/>
        <v>1</v>
      </c>
      <c r="F244">
        <f t="shared" si="13"/>
        <v>0</v>
      </c>
      <c r="G244" t="s">
        <v>26</v>
      </c>
      <c r="H244">
        <f t="shared" si="14"/>
        <v>1</v>
      </c>
    </row>
    <row r="245" spans="1:8">
      <c r="A245" s="4" t="s">
        <v>412</v>
      </c>
      <c r="B245" s="8" t="s">
        <v>34</v>
      </c>
      <c r="C245" s="16"/>
      <c r="D245" s="8"/>
      <c r="E245">
        <f t="shared" si="12"/>
        <v>1</v>
      </c>
      <c r="F245">
        <f t="shared" si="13"/>
        <v>0</v>
      </c>
      <c r="G245" t="s">
        <v>35</v>
      </c>
      <c r="H245">
        <f t="shared" si="14"/>
        <v>1</v>
      </c>
    </row>
    <row r="246" spans="1:8">
      <c r="A246" s="4" t="s">
        <v>413</v>
      </c>
      <c r="B246" s="8" t="s">
        <v>34</v>
      </c>
      <c r="C246" s="16" t="s">
        <v>414</v>
      </c>
      <c r="D246" s="8"/>
      <c r="E246">
        <f t="shared" si="12"/>
        <v>1</v>
      </c>
      <c r="F246">
        <f t="shared" si="13"/>
        <v>0</v>
      </c>
      <c r="G246" t="s">
        <v>35</v>
      </c>
      <c r="H246">
        <f t="shared" si="14"/>
        <v>1</v>
      </c>
    </row>
    <row r="247" spans="1:8">
      <c r="A247" s="4" t="s">
        <v>415</v>
      </c>
      <c r="B247" s="5" t="s">
        <v>416</v>
      </c>
      <c r="C247" s="15"/>
      <c r="D247" s="8"/>
      <c r="E247">
        <f t="shared" si="12"/>
        <v>1</v>
      </c>
      <c r="F247">
        <f t="shared" si="13"/>
        <v>1</v>
      </c>
      <c r="G247" t="s">
        <v>31</v>
      </c>
      <c r="H247">
        <f t="shared" si="14"/>
        <v>1</v>
      </c>
    </row>
    <row r="248" spans="1:8">
      <c r="A248" s="4" t="s">
        <v>417</v>
      </c>
      <c r="B248" s="8" t="s">
        <v>418</v>
      </c>
      <c r="C248" s="16"/>
      <c r="D248" s="8"/>
      <c r="E248">
        <f t="shared" si="12"/>
        <v>1</v>
      </c>
      <c r="F248">
        <f t="shared" si="13"/>
        <v>0</v>
      </c>
      <c r="G248" t="s">
        <v>419</v>
      </c>
      <c r="H248">
        <f t="shared" si="14"/>
        <v>0</v>
      </c>
    </row>
    <row r="249" spans="1:8">
      <c r="A249" s="4" t="s">
        <v>420</v>
      </c>
      <c r="B249" s="8" t="s">
        <v>418</v>
      </c>
      <c r="C249" s="16"/>
      <c r="D249" s="8"/>
      <c r="E249">
        <f t="shared" si="12"/>
        <v>1</v>
      </c>
      <c r="F249">
        <f t="shared" si="13"/>
        <v>0</v>
      </c>
      <c r="G249" t="s">
        <v>419</v>
      </c>
      <c r="H249">
        <f t="shared" si="14"/>
        <v>0</v>
      </c>
    </row>
    <row r="250" spans="1:8">
      <c r="A250" s="4" t="s">
        <v>421</v>
      </c>
      <c r="B250" s="8" t="s">
        <v>418</v>
      </c>
      <c r="C250" s="16"/>
      <c r="D250" s="8"/>
      <c r="E250">
        <f t="shared" si="12"/>
        <v>1</v>
      </c>
      <c r="F250">
        <f t="shared" si="13"/>
        <v>0</v>
      </c>
      <c r="G250" t="s">
        <v>419</v>
      </c>
      <c r="H250">
        <f t="shared" si="14"/>
        <v>0</v>
      </c>
    </row>
    <row r="251" spans="1:8">
      <c r="A251" s="4" t="s">
        <v>422</v>
      </c>
      <c r="B251" s="8" t="s">
        <v>423</v>
      </c>
      <c r="C251" s="16"/>
      <c r="D251" s="8"/>
      <c r="E251">
        <f t="shared" si="12"/>
        <v>1</v>
      </c>
      <c r="F251">
        <f t="shared" si="13"/>
        <v>0</v>
      </c>
      <c r="G251" t="s">
        <v>424</v>
      </c>
      <c r="H251">
        <f t="shared" si="14"/>
        <v>0</v>
      </c>
    </row>
    <row r="252" spans="1:8">
      <c r="A252" s="4" t="s">
        <v>425</v>
      </c>
      <c r="B252" s="8" t="s">
        <v>426</v>
      </c>
      <c r="C252" s="16"/>
      <c r="D252" s="8"/>
      <c r="E252">
        <f t="shared" si="12"/>
        <v>1</v>
      </c>
      <c r="F252">
        <f t="shared" si="13"/>
        <v>0</v>
      </c>
      <c r="G252" t="s">
        <v>118</v>
      </c>
      <c r="H252">
        <f t="shared" si="14"/>
        <v>1</v>
      </c>
    </row>
    <row r="253" spans="1:8">
      <c r="A253" s="4" t="s">
        <v>427</v>
      </c>
      <c r="B253" s="8" t="s">
        <v>418</v>
      </c>
      <c r="C253" s="16"/>
      <c r="D253" s="8"/>
      <c r="E253">
        <f t="shared" si="12"/>
        <v>1</v>
      </c>
      <c r="F253">
        <f t="shared" si="13"/>
        <v>0</v>
      </c>
      <c r="G253" t="s">
        <v>419</v>
      </c>
      <c r="H253">
        <f t="shared" si="14"/>
        <v>0</v>
      </c>
    </row>
    <row r="254" spans="1:8">
      <c r="A254" s="4" t="s">
        <v>428</v>
      </c>
      <c r="B254" s="8" t="s">
        <v>426</v>
      </c>
      <c r="C254" s="16"/>
      <c r="D254" s="8"/>
      <c r="E254">
        <f t="shared" si="12"/>
        <v>1</v>
      </c>
      <c r="F254">
        <f t="shared" si="13"/>
        <v>0</v>
      </c>
      <c r="G254" t="s">
        <v>118</v>
      </c>
      <c r="H254">
        <f t="shared" si="14"/>
        <v>1</v>
      </c>
    </row>
    <row r="255" spans="1:8">
      <c r="A255" s="4" t="s">
        <v>429</v>
      </c>
      <c r="B255" s="8" t="s">
        <v>426</v>
      </c>
      <c r="C255" s="16"/>
      <c r="D255" s="8"/>
      <c r="E255">
        <f t="shared" si="12"/>
        <v>1</v>
      </c>
      <c r="F255">
        <f t="shared" si="13"/>
        <v>0</v>
      </c>
      <c r="G255" t="s">
        <v>118</v>
      </c>
      <c r="H255">
        <f t="shared" si="14"/>
        <v>1</v>
      </c>
    </row>
    <row r="256" spans="1:8">
      <c r="A256" s="4" t="s">
        <v>430</v>
      </c>
      <c r="B256" s="5" t="s">
        <v>416</v>
      </c>
      <c r="C256" s="15"/>
      <c r="D256" s="8"/>
      <c r="E256">
        <f t="shared" si="12"/>
        <v>1</v>
      </c>
      <c r="F256">
        <f t="shared" si="13"/>
        <v>1</v>
      </c>
      <c r="G256" t="s">
        <v>31</v>
      </c>
      <c r="H256">
        <f t="shared" si="14"/>
        <v>1</v>
      </c>
    </row>
    <row r="257" spans="1:8">
      <c r="A257" s="4" t="s">
        <v>431</v>
      </c>
      <c r="B257" s="5" t="s">
        <v>432</v>
      </c>
      <c r="C257" s="15"/>
      <c r="D257" s="8"/>
      <c r="E257">
        <f t="shared" si="12"/>
        <v>1</v>
      </c>
      <c r="F257">
        <f t="shared" si="13"/>
        <v>0</v>
      </c>
      <c r="G257" t="s">
        <v>31</v>
      </c>
      <c r="H257">
        <f t="shared" si="14"/>
        <v>1</v>
      </c>
    </row>
    <row r="258" spans="1:8">
      <c r="A258" s="4" t="s">
        <v>433</v>
      </c>
      <c r="B258" s="8" t="s">
        <v>176</v>
      </c>
      <c r="C258" s="16"/>
      <c r="D258" s="8"/>
      <c r="E258">
        <f t="shared" ref="E258:E321" si="15">COUNTIF(K$2:K$65,B258)</f>
        <v>1</v>
      </c>
      <c r="F258">
        <f t="shared" ref="F258:F321" si="16">COUNTIF(O$5:O$29,B258)</f>
        <v>0</v>
      </c>
      <c r="G258" t="s">
        <v>11</v>
      </c>
      <c r="H258">
        <f t="shared" ref="H258:H321" si="17">COUNTIF(J$2:J$65,G258)</f>
        <v>1</v>
      </c>
    </row>
    <row r="259" spans="1:8">
      <c r="A259" s="4" t="s">
        <v>434</v>
      </c>
      <c r="B259" s="5" t="s">
        <v>9</v>
      </c>
      <c r="C259" s="15"/>
      <c r="D259" s="8"/>
      <c r="E259">
        <f t="shared" si="15"/>
        <v>1</v>
      </c>
      <c r="F259">
        <f t="shared" si="16"/>
        <v>3</v>
      </c>
      <c r="G259" t="s">
        <v>10</v>
      </c>
      <c r="H259">
        <f t="shared" si="17"/>
        <v>1</v>
      </c>
    </row>
    <row r="260" spans="1:8">
      <c r="A260" s="4" t="s">
        <v>435</v>
      </c>
      <c r="B260" s="8" t="s">
        <v>17</v>
      </c>
      <c r="C260" s="16"/>
      <c r="D260" s="8"/>
      <c r="E260">
        <f t="shared" si="15"/>
        <v>1</v>
      </c>
      <c r="F260">
        <f t="shared" si="16"/>
        <v>0</v>
      </c>
      <c r="G260" t="s">
        <v>18</v>
      </c>
      <c r="H260">
        <f t="shared" si="17"/>
        <v>1</v>
      </c>
    </row>
    <row r="261" spans="1:8">
      <c r="A261" s="4" t="s">
        <v>436</v>
      </c>
      <c r="B261" s="8" t="s">
        <v>34</v>
      </c>
      <c r="C261" s="16"/>
      <c r="D261" s="8"/>
      <c r="E261">
        <f t="shared" si="15"/>
        <v>1</v>
      </c>
      <c r="F261">
        <f t="shared" si="16"/>
        <v>0</v>
      </c>
      <c r="G261" t="s">
        <v>35</v>
      </c>
      <c r="H261">
        <f t="shared" si="17"/>
        <v>1</v>
      </c>
    </row>
    <row r="262" spans="1:8">
      <c r="A262" s="4" t="s">
        <v>437</v>
      </c>
      <c r="B262" s="5" t="s">
        <v>9</v>
      </c>
      <c r="C262" s="15"/>
      <c r="D262" s="8"/>
      <c r="E262">
        <f t="shared" si="15"/>
        <v>1</v>
      </c>
      <c r="F262">
        <f t="shared" si="16"/>
        <v>3</v>
      </c>
      <c r="G262" t="s">
        <v>10</v>
      </c>
      <c r="H262">
        <f t="shared" si="17"/>
        <v>1</v>
      </c>
    </row>
    <row r="263" spans="1:8">
      <c r="A263" s="4" t="s">
        <v>438</v>
      </c>
      <c r="B263" s="8" t="s">
        <v>38</v>
      </c>
      <c r="C263" s="16"/>
      <c r="D263" s="8"/>
      <c r="E263">
        <f t="shared" si="15"/>
        <v>1</v>
      </c>
      <c r="F263">
        <f t="shared" si="16"/>
        <v>0</v>
      </c>
      <c r="G263" t="s">
        <v>39</v>
      </c>
      <c r="H263">
        <f t="shared" si="17"/>
        <v>1</v>
      </c>
    </row>
    <row r="264" spans="1:8">
      <c r="A264" s="4" t="s">
        <v>439</v>
      </c>
      <c r="B264" s="8" t="s">
        <v>71</v>
      </c>
      <c r="C264" s="16"/>
      <c r="D264" s="8"/>
      <c r="E264">
        <f t="shared" si="15"/>
        <v>1</v>
      </c>
      <c r="F264">
        <f t="shared" si="16"/>
        <v>0</v>
      </c>
      <c r="G264" t="s">
        <v>72</v>
      </c>
      <c r="H264">
        <f t="shared" si="17"/>
        <v>1</v>
      </c>
    </row>
    <row r="265" spans="1:8">
      <c r="A265" s="4" t="s">
        <v>440</v>
      </c>
      <c r="B265" s="5" t="s">
        <v>384</v>
      </c>
      <c r="C265" s="15" t="s">
        <v>441</v>
      </c>
      <c r="D265" s="8"/>
      <c r="E265">
        <f t="shared" si="15"/>
        <v>1</v>
      </c>
      <c r="F265">
        <f t="shared" si="16"/>
        <v>1</v>
      </c>
      <c r="G265" t="s">
        <v>77</v>
      </c>
      <c r="H265">
        <f t="shared" si="17"/>
        <v>1</v>
      </c>
    </row>
    <row r="266" spans="1:8">
      <c r="A266" s="4" t="s">
        <v>442</v>
      </c>
      <c r="B266" s="5" t="s">
        <v>386</v>
      </c>
      <c r="C266" s="15"/>
      <c r="D266" s="8"/>
      <c r="E266">
        <f t="shared" si="15"/>
        <v>1</v>
      </c>
      <c r="F266">
        <f t="shared" si="16"/>
        <v>0</v>
      </c>
      <c r="G266" t="s">
        <v>77</v>
      </c>
      <c r="H266">
        <f t="shared" si="17"/>
        <v>1</v>
      </c>
    </row>
    <row r="267" spans="1:8">
      <c r="A267" s="4" t="s">
        <v>443</v>
      </c>
      <c r="B267" s="5" t="s">
        <v>386</v>
      </c>
      <c r="C267" s="15"/>
      <c r="D267" s="8"/>
      <c r="E267">
        <f t="shared" si="15"/>
        <v>1</v>
      </c>
      <c r="F267">
        <f t="shared" si="16"/>
        <v>0</v>
      </c>
      <c r="G267" t="s">
        <v>77</v>
      </c>
      <c r="H267">
        <f t="shared" si="17"/>
        <v>1</v>
      </c>
    </row>
    <row r="268" spans="1:8">
      <c r="A268" s="4" t="s">
        <v>444</v>
      </c>
      <c r="B268" s="5" t="s">
        <v>386</v>
      </c>
      <c r="C268" s="15"/>
      <c r="D268" s="8"/>
      <c r="E268">
        <f t="shared" si="15"/>
        <v>1</v>
      </c>
      <c r="F268">
        <f t="shared" si="16"/>
        <v>0</v>
      </c>
      <c r="G268" t="s">
        <v>77</v>
      </c>
      <c r="H268">
        <f t="shared" si="17"/>
        <v>1</v>
      </c>
    </row>
    <row r="269" spans="1:8">
      <c r="A269" s="4" t="s">
        <v>445</v>
      </c>
      <c r="B269" s="5" t="s">
        <v>446</v>
      </c>
      <c r="C269" s="15"/>
      <c r="D269" s="8"/>
      <c r="E269">
        <f t="shared" si="15"/>
        <v>0</v>
      </c>
      <c r="F269">
        <f t="shared" si="16"/>
        <v>0</v>
      </c>
      <c r="G269" t="s">
        <v>77</v>
      </c>
      <c r="H269">
        <f t="shared" si="17"/>
        <v>1</v>
      </c>
    </row>
    <row r="270" spans="1:8">
      <c r="A270" s="4" t="s">
        <v>447</v>
      </c>
      <c r="B270" s="5" t="s">
        <v>386</v>
      </c>
      <c r="C270" s="15"/>
      <c r="D270" s="8"/>
      <c r="E270">
        <f t="shared" si="15"/>
        <v>1</v>
      </c>
      <c r="F270">
        <f t="shared" si="16"/>
        <v>0</v>
      </c>
      <c r="G270" t="s">
        <v>77</v>
      </c>
      <c r="H270">
        <f t="shared" si="17"/>
        <v>1</v>
      </c>
    </row>
    <row r="271" spans="1:8">
      <c r="A271" s="4" t="s">
        <v>448</v>
      </c>
      <c r="B271" s="8" t="s">
        <v>201</v>
      </c>
      <c r="C271" s="16" t="s">
        <v>449</v>
      </c>
      <c r="D271" s="8"/>
      <c r="E271">
        <f t="shared" si="15"/>
        <v>1</v>
      </c>
      <c r="F271">
        <f t="shared" si="16"/>
        <v>0</v>
      </c>
      <c r="G271" t="s">
        <v>162</v>
      </c>
      <c r="H271">
        <f t="shared" si="17"/>
        <v>1</v>
      </c>
    </row>
    <row r="272" spans="1:8">
      <c r="A272" s="4" t="s">
        <v>450</v>
      </c>
      <c r="B272" s="8" t="s">
        <v>34</v>
      </c>
      <c r="C272" s="16"/>
      <c r="D272" s="8"/>
      <c r="E272">
        <f t="shared" si="15"/>
        <v>1</v>
      </c>
      <c r="F272">
        <f t="shared" si="16"/>
        <v>0</v>
      </c>
      <c r="G272" t="s">
        <v>35</v>
      </c>
      <c r="H272">
        <f t="shared" si="17"/>
        <v>1</v>
      </c>
    </row>
    <row r="273" spans="1:8">
      <c r="A273" s="4" t="s">
        <v>451</v>
      </c>
      <c r="B273" s="5" t="s">
        <v>9</v>
      </c>
      <c r="C273" s="15"/>
      <c r="D273" s="8"/>
      <c r="E273">
        <f t="shared" si="15"/>
        <v>1</v>
      </c>
      <c r="F273">
        <f t="shared" si="16"/>
        <v>3</v>
      </c>
      <c r="G273" t="s">
        <v>10</v>
      </c>
      <c r="H273">
        <f t="shared" si="17"/>
        <v>1</v>
      </c>
    </row>
    <row r="274" spans="1:8">
      <c r="A274" s="4" t="s">
        <v>452</v>
      </c>
      <c r="B274" s="5" t="s">
        <v>170</v>
      </c>
      <c r="C274" s="15"/>
      <c r="D274" s="8"/>
      <c r="E274">
        <f t="shared" si="15"/>
        <v>1</v>
      </c>
      <c r="F274">
        <f t="shared" si="16"/>
        <v>1</v>
      </c>
      <c r="G274" t="s">
        <v>43</v>
      </c>
      <c r="H274">
        <f t="shared" si="17"/>
        <v>1</v>
      </c>
    </row>
    <row r="275" spans="1:8">
      <c r="A275" s="4" t="s">
        <v>453</v>
      </c>
      <c r="B275" s="5" t="s">
        <v>170</v>
      </c>
      <c r="C275" s="15"/>
      <c r="D275" s="8"/>
      <c r="E275">
        <f t="shared" si="15"/>
        <v>1</v>
      </c>
      <c r="F275">
        <f t="shared" si="16"/>
        <v>1</v>
      </c>
      <c r="G275" t="s">
        <v>43</v>
      </c>
      <c r="H275">
        <f t="shared" si="17"/>
        <v>1</v>
      </c>
    </row>
    <row r="276" spans="1:8">
      <c r="A276" s="4" t="s">
        <v>454</v>
      </c>
      <c r="B276" s="5" t="s">
        <v>9</v>
      </c>
      <c r="C276" s="15"/>
      <c r="D276" s="8"/>
      <c r="E276">
        <f t="shared" si="15"/>
        <v>1</v>
      </c>
      <c r="F276">
        <f t="shared" si="16"/>
        <v>3</v>
      </c>
      <c r="G276" t="s">
        <v>10</v>
      </c>
      <c r="H276">
        <f t="shared" si="17"/>
        <v>1</v>
      </c>
    </row>
    <row r="277" spans="1:8">
      <c r="A277" s="4" t="s">
        <v>455</v>
      </c>
      <c r="B277" s="5" t="s">
        <v>172</v>
      </c>
      <c r="C277" s="15"/>
      <c r="D277" s="8"/>
      <c r="E277">
        <f t="shared" si="15"/>
        <v>1</v>
      </c>
      <c r="F277">
        <f t="shared" si="16"/>
        <v>2</v>
      </c>
      <c r="G277" t="s">
        <v>68</v>
      </c>
      <c r="H277">
        <f t="shared" si="17"/>
        <v>1</v>
      </c>
    </row>
    <row r="278" spans="1:8">
      <c r="A278" s="4" t="s">
        <v>456</v>
      </c>
      <c r="B278" s="5" t="s">
        <v>179</v>
      </c>
      <c r="C278" s="16"/>
      <c r="D278" s="8"/>
      <c r="E278">
        <f t="shared" si="15"/>
        <v>1</v>
      </c>
      <c r="F278">
        <f t="shared" si="16"/>
        <v>0</v>
      </c>
      <c r="G278" t="s">
        <v>44</v>
      </c>
      <c r="H278">
        <f t="shared" si="17"/>
        <v>1</v>
      </c>
    </row>
    <row r="279" spans="1:8">
      <c r="A279" s="4" t="s">
        <v>457</v>
      </c>
      <c r="B279" s="5" t="s">
        <v>172</v>
      </c>
      <c r="C279" s="15"/>
      <c r="D279" s="8"/>
      <c r="E279">
        <f t="shared" si="15"/>
        <v>1</v>
      </c>
      <c r="F279">
        <f t="shared" si="16"/>
        <v>2</v>
      </c>
      <c r="G279" t="s">
        <v>68</v>
      </c>
      <c r="H279">
        <f t="shared" si="17"/>
        <v>1</v>
      </c>
    </row>
    <row r="280" spans="1:8">
      <c r="A280" s="4" t="s">
        <v>458</v>
      </c>
      <c r="B280" s="8" t="s">
        <v>176</v>
      </c>
      <c r="C280" s="16"/>
      <c r="D280" s="8"/>
      <c r="E280">
        <f t="shared" si="15"/>
        <v>1</v>
      </c>
      <c r="F280">
        <f t="shared" si="16"/>
        <v>0</v>
      </c>
      <c r="G280" t="s">
        <v>11</v>
      </c>
      <c r="H280">
        <f t="shared" si="17"/>
        <v>1</v>
      </c>
    </row>
    <row r="281" spans="1:8">
      <c r="A281" s="4" t="s">
        <v>459</v>
      </c>
      <c r="B281" s="8" t="s">
        <v>179</v>
      </c>
      <c r="C281" s="16"/>
      <c r="D281" s="8"/>
      <c r="E281">
        <f t="shared" si="15"/>
        <v>1</v>
      </c>
      <c r="F281">
        <f t="shared" si="16"/>
        <v>0</v>
      </c>
      <c r="G281" t="s">
        <v>44</v>
      </c>
      <c r="H281">
        <f t="shared" si="17"/>
        <v>1</v>
      </c>
    </row>
    <row r="282" spans="1:8">
      <c r="A282" s="4" t="s">
        <v>460</v>
      </c>
      <c r="B282" s="5" t="s">
        <v>172</v>
      </c>
      <c r="C282" s="15"/>
      <c r="D282" s="8"/>
      <c r="E282">
        <f t="shared" si="15"/>
        <v>1</v>
      </c>
      <c r="F282">
        <f t="shared" si="16"/>
        <v>2</v>
      </c>
      <c r="G282" t="s">
        <v>68</v>
      </c>
      <c r="H282">
        <f t="shared" si="17"/>
        <v>1</v>
      </c>
    </row>
    <row r="283" spans="1:8">
      <c r="A283" s="4" t="s">
        <v>461</v>
      </c>
      <c r="B283" s="8" t="s">
        <v>176</v>
      </c>
      <c r="C283" s="16"/>
      <c r="D283" s="8"/>
      <c r="E283">
        <f t="shared" si="15"/>
        <v>1</v>
      </c>
      <c r="F283">
        <f t="shared" si="16"/>
        <v>0</v>
      </c>
      <c r="G283" t="s">
        <v>11</v>
      </c>
      <c r="H283">
        <f t="shared" si="17"/>
        <v>1</v>
      </c>
    </row>
    <row r="284" spans="1:8">
      <c r="A284" s="4" t="s">
        <v>462</v>
      </c>
      <c r="B284" s="5" t="s">
        <v>186</v>
      </c>
      <c r="C284" s="15"/>
      <c r="D284" s="8"/>
      <c r="E284">
        <f t="shared" si="15"/>
        <v>0</v>
      </c>
      <c r="F284">
        <f t="shared" si="16"/>
        <v>0</v>
      </c>
      <c r="G284" t="s">
        <v>68</v>
      </c>
      <c r="H284">
        <f t="shared" si="17"/>
        <v>1</v>
      </c>
    </row>
    <row r="285" spans="1:8">
      <c r="A285" s="4" t="s">
        <v>463</v>
      </c>
      <c r="B285" s="8" t="s">
        <v>176</v>
      </c>
      <c r="C285" s="16"/>
      <c r="D285" s="8"/>
      <c r="E285">
        <f t="shared" si="15"/>
        <v>1</v>
      </c>
      <c r="F285">
        <f t="shared" si="16"/>
        <v>0</v>
      </c>
      <c r="G285" t="s">
        <v>11</v>
      </c>
      <c r="H285">
        <f t="shared" si="17"/>
        <v>1</v>
      </c>
    </row>
    <row r="286" spans="1:8">
      <c r="A286" s="4" t="s">
        <v>464</v>
      </c>
      <c r="B286" s="8" t="s">
        <v>179</v>
      </c>
      <c r="C286" s="16"/>
      <c r="D286" s="8"/>
      <c r="E286">
        <f t="shared" si="15"/>
        <v>1</v>
      </c>
      <c r="F286">
        <f t="shared" si="16"/>
        <v>0</v>
      </c>
      <c r="G286" t="s">
        <v>44</v>
      </c>
      <c r="H286">
        <f t="shared" si="17"/>
        <v>1</v>
      </c>
    </row>
    <row r="287" spans="1:8">
      <c r="A287" s="4" t="s">
        <v>465</v>
      </c>
      <c r="B287" s="8" t="s">
        <v>236</v>
      </c>
      <c r="C287" s="15"/>
      <c r="D287" s="8"/>
      <c r="E287">
        <f t="shared" si="15"/>
        <v>1</v>
      </c>
      <c r="F287">
        <f t="shared" si="16"/>
        <v>1</v>
      </c>
      <c r="G287" t="s">
        <v>94</v>
      </c>
      <c r="H287">
        <f t="shared" si="17"/>
        <v>1</v>
      </c>
    </row>
    <row r="288" spans="1:8">
      <c r="A288" s="4" t="s">
        <v>466</v>
      </c>
      <c r="B288" s="8" t="s">
        <v>238</v>
      </c>
      <c r="C288" s="15"/>
      <c r="D288" s="8"/>
      <c r="E288">
        <f t="shared" si="15"/>
        <v>1</v>
      </c>
      <c r="F288">
        <f t="shared" si="16"/>
        <v>0</v>
      </c>
      <c r="G288" t="s">
        <v>94</v>
      </c>
      <c r="H288">
        <f t="shared" si="17"/>
        <v>1</v>
      </c>
    </row>
    <row r="289" spans="1:8">
      <c r="A289" s="4" t="s">
        <v>467</v>
      </c>
      <c r="B289" s="8" t="s">
        <v>238</v>
      </c>
      <c r="C289" s="15"/>
      <c r="D289" s="8"/>
      <c r="E289">
        <f t="shared" si="15"/>
        <v>1</v>
      </c>
      <c r="F289">
        <f t="shared" si="16"/>
        <v>0</v>
      </c>
      <c r="G289" t="s">
        <v>94</v>
      </c>
      <c r="H289">
        <f t="shared" si="17"/>
        <v>1</v>
      </c>
    </row>
    <row r="290" spans="1:8">
      <c r="A290" s="4" t="s">
        <v>468</v>
      </c>
      <c r="B290" s="8" t="s">
        <v>238</v>
      </c>
      <c r="C290" s="16"/>
      <c r="D290" s="8"/>
      <c r="E290">
        <f t="shared" si="15"/>
        <v>1</v>
      </c>
      <c r="F290">
        <f t="shared" si="16"/>
        <v>0</v>
      </c>
      <c r="G290" t="s">
        <v>240</v>
      </c>
      <c r="H290">
        <f t="shared" si="17"/>
        <v>0</v>
      </c>
    </row>
    <row r="291" spans="1:8">
      <c r="A291" s="4" t="s">
        <v>469</v>
      </c>
      <c r="B291" s="8" t="s">
        <v>238</v>
      </c>
      <c r="C291" s="15"/>
      <c r="D291" s="8"/>
      <c r="E291">
        <f t="shared" si="15"/>
        <v>1</v>
      </c>
      <c r="F291">
        <f t="shared" si="16"/>
        <v>0</v>
      </c>
      <c r="G291" t="s">
        <v>94</v>
      </c>
      <c r="H291">
        <f t="shared" si="17"/>
        <v>1</v>
      </c>
    </row>
    <row r="292" spans="1:8">
      <c r="A292" s="4" t="s">
        <v>470</v>
      </c>
      <c r="B292" s="8" t="s">
        <v>238</v>
      </c>
      <c r="C292" s="15"/>
      <c r="D292" s="8"/>
      <c r="E292">
        <f t="shared" si="15"/>
        <v>1</v>
      </c>
      <c r="F292">
        <f t="shared" si="16"/>
        <v>0</v>
      </c>
      <c r="G292" t="s">
        <v>94</v>
      </c>
      <c r="H292">
        <f t="shared" si="17"/>
        <v>1</v>
      </c>
    </row>
    <row r="293" spans="1:8">
      <c r="A293" s="4" t="s">
        <v>471</v>
      </c>
      <c r="B293" s="8" t="s">
        <v>238</v>
      </c>
      <c r="C293" s="15"/>
      <c r="D293" s="8"/>
      <c r="E293">
        <f t="shared" si="15"/>
        <v>1</v>
      </c>
      <c r="F293">
        <f t="shared" si="16"/>
        <v>0</v>
      </c>
      <c r="G293" t="s">
        <v>94</v>
      </c>
      <c r="H293">
        <f t="shared" si="17"/>
        <v>1</v>
      </c>
    </row>
    <row r="294" spans="1:8">
      <c r="A294" s="4" t="s">
        <v>472</v>
      </c>
      <c r="B294" s="5" t="s">
        <v>170</v>
      </c>
      <c r="C294" s="15"/>
      <c r="D294" s="8"/>
      <c r="E294">
        <f t="shared" si="15"/>
        <v>1</v>
      </c>
      <c r="F294">
        <f t="shared" si="16"/>
        <v>1</v>
      </c>
      <c r="G294" t="s">
        <v>43</v>
      </c>
      <c r="H294">
        <f t="shared" si="17"/>
        <v>1</v>
      </c>
    </row>
    <row r="295" spans="1:8">
      <c r="A295" s="4" t="s">
        <v>473</v>
      </c>
      <c r="B295" s="8" t="s">
        <v>71</v>
      </c>
      <c r="C295" s="16"/>
      <c r="D295" s="8"/>
      <c r="E295">
        <f t="shared" si="15"/>
        <v>1</v>
      </c>
      <c r="F295">
        <f t="shared" si="16"/>
        <v>0</v>
      </c>
      <c r="G295" t="s">
        <v>72</v>
      </c>
      <c r="H295">
        <f t="shared" si="17"/>
        <v>1</v>
      </c>
    </row>
    <row r="296" spans="1:8">
      <c r="A296" s="4" t="s">
        <v>474</v>
      </c>
      <c r="B296" s="8" t="s">
        <v>9</v>
      </c>
      <c r="C296" s="16"/>
      <c r="D296" s="8"/>
      <c r="E296">
        <f t="shared" si="15"/>
        <v>1</v>
      </c>
      <c r="F296">
        <f t="shared" si="16"/>
        <v>3</v>
      </c>
      <c r="G296" t="s">
        <v>10</v>
      </c>
      <c r="H296">
        <f t="shared" si="17"/>
        <v>1</v>
      </c>
    </row>
    <row r="297" spans="1:8">
      <c r="A297" s="4" t="s">
        <v>475</v>
      </c>
      <c r="B297" s="8" t="s">
        <v>476</v>
      </c>
      <c r="C297" s="16"/>
      <c r="D297" s="8"/>
      <c r="E297">
        <f t="shared" si="15"/>
        <v>1</v>
      </c>
      <c r="F297">
        <f t="shared" si="16"/>
        <v>0</v>
      </c>
      <c r="G297" t="s">
        <v>43</v>
      </c>
      <c r="H297">
        <f t="shared" si="17"/>
        <v>1</v>
      </c>
    </row>
    <row r="298" spans="1:8">
      <c r="A298" s="4" t="s">
        <v>477</v>
      </c>
      <c r="B298" s="8" t="s">
        <v>476</v>
      </c>
      <c r="C298" s="16"/>
      <c r="D298" s="8"/>
      <c r="E298">
        <f t="shared" si="15"/>
        <v>1</v>
      </c>
      <c r="F298">
        <f t="shared" si="16"/>
        <v>0</v>
      </c>
      <c r="G298" t="s">
        <v>43</v>
      </c>
      <c r="H298">
        <f t="shared" si="17"/>
        <v>1</v>
      </c>
    </row>
    <row r="299" spans="1:8">
      <c r="A299" s="4" t="s">
        <v>478</v>
      </c>
      <c r="B299" s="8" t="s">
        <v>476</v>
      </c>
      <c r="C299" s="16"/>
      <c r="D299" s="8"/>
      <c r="E299">
        <f t="shared" si="15"/>
        <v>1</v>
      </c>
      <c r="F299">
        <f t="shared" si="16"/>
        <v>0</v>
      </c>
      <c r="G299" t="s">
        <v>43</v>
      </c>
      <c r="H299">
        <f t="shared" si="17"/>
        <v>1</v>
      </c>
    </row>
    <row r="300" spans="1:8">
      <c r="A300" s="4" t="s">
        <v>479</v>
      </c>
      <c r="B300" s="8" t="s">
        <v>476</v>
      </c>
      <c r="C300" s="16"/>
      <c r="D300" s="8"/>
      <c r="E300">
        <f t="shared" si="15"/>
        <v>1</v>
      </c>
      <c r="F300">
        <f t="shared" si="16"/>
        <v>0</v>
      </c>
      <c r="G300" t="s">
        <v>43</v>
      </c>
      <c r="H300">
        <f t="shared" si="17"/>
        <v>1</v>
      </c>
    </row>
    <row r="301" spans="1:8">
      <c r="A301" s="4" t="s">
        <v>480</v>
      </c>
      <c r="B301" s="8" t="s">
        <v>76</v>
      </c>
      <c r="C301" s="16" t="s">
        <v>481</v>
      </c>
      <c r="D301" s="8"/>
      <c r="E301">
        <f t="shared" si="15"/>
        <v>1</v>
      </c>
      <c r="F301">
        <f t="shared" si="16"/>
        <v>0</v>
      </c>
      <c r="G301" t="s">
        <v>67</v>
      </c>
      <c r="H301">
        <f t="shared" si="17"/>
        <v>1</v>
      </c>
    </row>
    <row r="302" spans="1:8">
      <c r="A302" s="4" t="s">
        <v>482</v>
      </c>
      <c r="B302" s="8" t="s">
        <v>89</v>
      </c>
      <c r="C302" s="16"/>
      <c r="D302" s="8"/>
      <c r="E302">
        <f t="shared" si="15"/>
        <v>1</v>
      </c>
      <c r="F302">
        <f t="shared" si="16"/>
        <v>0</v>
      </c>
      <c r="G302" t="s">
        <v>64</v>
      </c>
      <c r="H302">
        <f t="shared" si="17"/>
        <v>1</v>
      </c>
    </row>
    <row r="303" spans="1:8">
      <c r="A303" s="4" t="s">
        <v>483</v>
      </c>
      <c r="B303" s="8" t="s">
        <v>89</v>
      </c>
      <c r="C303" s="16"/>
      <c r="D303" s="8"/>
      <c r="E303">
        <f t="shared" si="15"/>
        <v>1</v>
      </c>
      <c r="F303">
        <f t="shared" si="16"/>
        <v>0</v>
      </c>
      <c r="G303" t="s">
        <v>64</v>
      </c>
      <c r="H303">
        <f t="shared" si="17"/>
        <v>1</v>
      </c>
    </row>
    <row r="304" spans="1:8">
      <c r="A304" s="4" t="s">
        <v>484</v>
      </c>
      <c r="B304" s="8" t="s">
        <v>89</v>
      </c>
      <c r="C304" s="16"/>
      <c r="D304" s="8"/>
      <c r="E304">
        <f t="shared" si="15"/>
        <v>1</v>
      </c>
      <c r="F304">
        <f t="shared" si="16"/>
        <v>0</v>
      </c>
      <c r="G304" t="s">
        <v>64</v>
      </c>
      <c r="H304">
        <f t="shared" si="17"/>
        <v>1</v>
      </c>
    </row>
    <row r="305" spans="1:8">
      <c r="A305" s="4" t="s">
        <v>485</v>
      </c>
      <c r="B305" s="8" t="s">
        <v>89</v>
      </c>
      <c r="C305" s="16"/>
      <c r="D305" s="8"/>
      <c r="E305">
        <f t="shared" si="15"/>
        <v>1</v>
      </c>
      <c r="F305">
        <f t="shared" si="16"/>
        <v>0</v>
      </c>
      <c r="G305" t="s">
        <v>64</v>
      </c>
      <c r="H305">
        <f t="shared" si="17"/>
        <v>1</v>
      </c>
    </row>
    <row r="306" spans="1:8">
      <c r="A306" s="4" t="s">
        <v>486</v>
      </c>
      <c r="B306" s="8" t="s">
        <v>89</v>
      </c>
      <c r="C306" s="16"/>
      <c r="D306" s="8"/>
      <c r="E306">
        <f t="shared" si="15"/>
        <v>1</v>
      </c>
      <c r="F306">
        <f t="shared" si="16"/>
        <v>0</v>
      </c>
      <c r="G306" t="s">
        <v>64</v>
      </c>
      <c r="H306">
        <f t="shared" si="17"/>
        <v>1</v>
      </c>
    </row>
    <row r="307" spans="1:8">
      <c r="A307" s="4" t="s">
        <v>487</v>
      </c>
      <c r="B307" s="8" t="s">
        <v>111</v>
      </c>
      <c r="C307" s="16"/>
      <c r="D307" s="8"/>
      <c r="E307">
        <f t="shared" si="15"/>
        <v>1</v>
      </c>
      <c r="F307">
        <f t="shared" si="16"/>
        <v>0</v>
      </c>
      <c r="G307" t="s">
        <v>488</v>
      </c>
      <c r="H307">
        <f t="shared" si="17"/>
        <v>0</v>
      </c>
    </row>
    <row r="308" spans="1:8">
      <c r="A308" s="4" t="s">
        <v>489</v>
      </c>
      <c r="B308" s="8" t="s">
        <v>114</v>
      </c>
      <c r="C308" s="16"/>
      <c r="D308" s="8"/>
      <c r="E308">
        <f t="shared" si="15"/>
        <v>1</v>
      </c>
      <c r="F308">
        <f t="shared" si="16"/>
        <v>0</v>
      </c>
      <c r="G308" t="s">
        <v>130</v>
      </c>
      <c r="H308">
        <f t="shared" si="17"/>
        <v>0</v>
      </c>
    </row>
    <row r="309" spans="1:8">
      <c r="A309" s="4" t="s">
        <v>490</v>
      </c>
      <c r="B309" s="8" t="s">
        <v>111</v>
      </c>
      <c r="C309" s="16"/>
      <c r="D309" s="8"/>
      <c r="E309">
        <f t="shared" si="15"/>
        <v>1</v>
      </c>
      <c r="F309">
        <f t="shared" si="16"/>
        <v>0</v>
      </c>
      <c r="G309" t="s">
        <v>130</v>
      </c>
      <c r="H309">
        <f t="shared" si="17"/>
        <v>0</v>
      </c>
    </row>
    <row r="310" spans="1:8">
      <c r="A310" s="4" t="s">
        <v>491</v>
      </c>
      <c r="B310" s="8" t="s">
        <v>114</v>
      </c>
      <c r="C310" s="16"/>
      <c r="D310" s="8"/>
      <c r="E310">
        <f t="shared" si="15"/>
        <v>1</v>
      </c>
      <c r="F310">
        <f t="shared" si="16"/>
        <v>0</v>
      </c>
      <c r="G310" t="s">
        <v>130</v>
      </c>
      <c r="H310">
        <f t="shared" si="17"/>
        <v>0</v>
      </c>
    </row>
    <row r="311" spans="1:8">
      <c r="A311" s="4" t="s">
        <v>492</v>
      </c>
      <c r="B311" s="8" t="s">
        <v>111</v>
      </c>
      <c r="C311" s="16"/>
      <c r="D311" s="8"/>
      <c r="E311">
        <f t="shared" si="15"/>
        <v>1</v>
      </c>
      <c r="F311">
        <f t="shared" si="16"/>
        <v>0</v>
      </c>
      <c r="G311" t="s">
        <v>488</v>
      </c>
      <c r="H311">
        <f t="shared" si="17"/>
        <v>0</v>
      </c>
    </row>
    <row r="312" spans="1:8">
      <c r="A312" s="4" t="s">
        <v>493</v>
      </c>
      <c r="B312" s="8" t="s">
        <v>114</v>
      </c>
      <c r="C312" s="16"/>
      <c r="D312" s="8"/>
      <c r="E312">
        <f t="shared" si="15"/>
        <v>1</v>
      </c>
      <c r="F312">
        <f t="shared" si="16"/>
        <v>0</v>
      </c>
      <c r="G312" t="s">
        <v>130</v>
      </c>
      <c r="H312">
        <f t="shared" si="17"/>
        <v>0</v>
      </c>
    </row>
    <row r="313" spans="1:8">
      <c r="A313" s="4" t="s">
        <v>494</v>
      </c>
      <c r="B313" s="8" t="s">
        <v>89</v>
      </c>
      <c r="C313" s="16"/>
      <c r="D313" s="8"/>
      <c r="E313">
        <f t="shared" si="15"/>
        <v>1</v>
      </c>
      <c r="F313">
        <f t="shared" si="16"/>
        <v>0</v>
      </c>
      <c r="G313" t="s">
        <v>64</v>
      </c>
      <c r="H313">
        <f t="shared" si="17"/>
        <v>1</v>
      </c>
    </row>
    <row r="314" spans="1:8">
      <c r="A314" s="4" t="s">
        <v>495</v>
      </c>
      <c r="B314" s="8" t="s">
        <v>496</v>
      </c>
      <c r="C314" s="16"/>
      <c r="D314" s="8"/>
      <c r="E314">
        <f t="shared" si="15"/>
        <v>0</v>
      </c>
      <c r="F314">
        <f t="shared" si="16"/>
        <v>0</v>
      </c>
      <c r="G314" t="s">
        <v>144</v>
      </c>
      <c r="H314">
        <f t="shared" si="17"/>
        <v>1</v>
      </c>
    </row>
    <row r="315" spans="1:8">
      <c r="A315" s="4" t="s">
        <v>497</v>
      </c>
      <c r="B315" s="8" t="s">
        <v>147</v>
      </c>
      <c r="C315" s="16"/>
      <c r="D315" s="8"/>
      <c r="E315">
        <f t="shared" si="15"/>
        <v>1</v>
      </c>
      <c r="F315">
        <f t="shared" si="16"/>
        <v>0</v>
      </c>
      <c r="G315" t="s">
        <v>151</v>
      </c>
      <c r="H315">
        <f t="shared" si="17"/>
        <v>0</v>
      </c>
    </row>
    <row r="316" spans="1:8">
      <c r="A316" s="4" t="s">
        <v>498</v>
      </c>
      <c r="B316" s="8" t="s">
        <v>13</v>
      </c>
      <c r="C316" s="16"/>
      <c r="D316" s="8"/>
      <c r="E316">
        <f t="shared" si="15"/>
        <v>1</v>
      </c>
      <c r="F316">
        <f t="shared" si="16"/>
        <v>0</v>
      </c>
      <c r="G316" t="s">
        <v>14</v>
      </c>
      <c r="H316">
        <f t="shared" si="17"/>
        <v>1</v>
      </c>
    </row>
    <row r="317" spans="1:8">
      <c r="A317" s="4" t="s">
        <v>499</v>
      </c>
      <c r="B317" s="8" t="s">
        <v>76</v>
      </c>
      <c r="C317" s="16"/>
      <c r="D317" s="8"/>
      <c r="E317">
        <f t="shared" si="15"/>
        <v>1</v>
      </c>
      <c r="F317">
        <f t="shared" si="16"/>
        <v>0</v>
      </c>
      <c r="G317" t="s">
        <v>67</v>
      </c>
      <c r="H317">
        <f t="shared" si="17"/>
        <v>1</v>
      </c>
    </row>
    <row r="318" spans="1:8">
      <c r="A318" s="4" t="s">
        <v>500</v>
      </c>
      <c r="B318" s="8" t="s">
        <v>89</v>
      </c>
      <c r="C318" s="16"/>
      <c r="D318" s="8"/>
      <c r="E318">
        <f t="shared" si="15"/>
        <v>1</v>
      </c>
      <c r="F318">
        <f t="shared" si="16"/>
        <v>0</v>
      </c>
      <c r="G318" t="s">
        <v>64</v>
      </c>
      <c r="H318">
        <f t="shared" si="17"/>
        <v>1</v>
      </c>
    </row>
    <row r="319" spans="1:8">
      <c r="A319" s="4" t="s">
        <v>501</v>
      </c>
      <c r="B319" s="8" t="s">
        <v>89</v>
      </c>
      <c r="C319" s="16"/>
      <c r="D319" s="8"/>
      <c r="E319">
        <f t="shared" si="15"/>
        <v>1</v>
      </c>
      <c r="F319">
        <f t="shared" si="16"/>
        <v>0</v>
      </c>
      <c r="G319" t="s">
        <v>64</v>
      </c>
      <c r="H319">
        <f t="shared" si="17"/>
        <v>1</v>
      </c>
    </row>
    <row r="320" spans="1:8">
      <c r="A320" s="4" t="s">
        <v>502</v>
      </c>
      <c r="B320" s="8" t="s">
        <v>89</v>
      </c>
      <c r="C320" s="16"/>
      <c r="D320" s="8"/>
      <c r="E320">
        <f t="shared" si="15"/>
        <v>1</v>
      </c>
      <c r="F320">
        <f t="shared" si="16"/>
        <v>0</v>
      </c>
      <c r="G320" t="s">
        <v>64</v>
      </c>
      <c r="H320">
        <f t="shared" si="17"/>
        <v>1</v>
      </c>
    </row>
    <row r="321" spans="1:8">
      <c r="A321" s="4" t="s">
        <v>503</v>
      </c>
      <c r="B321" s="8" t="s">
        <v>89</v>
      </c>
      <c r="C321" s="16"/>
      <c r="D321" s="8"/>
      <c r="E321">
        <f t="shared" si="15"/>
        <v>1</v>
      </c>
      <c r="F321">
        <f t="shared" si="16"/>
        <v>0</v>
      </c>
      <c r="G321" t="s">
        <v>64</v>
      </c>
      <c r="H321">
        <f t="shared" si="17"/>
        <v>1</v>
      </c>
    </row>
    <row r="322" spans="1:8">
      <c r="A322" s="4" t="s">
        <v>504</v>
      </c>
      <c r="B322" s="8" t="s">
        <v>89</v>
      </c>
      <c r="C322" s="16"/>
      <c r="D322" s="8"/>
      <c r="E322">
        <f t="shared" ref="E322:E385" si="18">COUNTIF(K$2:K$65,B322)</f>
        <v>1</v>
      </c>
      <c r="F322">
        <f t="shared" ref="F322:F385" si="19">COUNTIF(O$5:O$29,B322)</f>
        <v>0</v>
      </c>
      <c r="G322" t="s">
        <v>64</v>
      </c>
      <c r="H322">
        <f t="shared" ref="H322:H385" si="20">COUNTIF(J$2:J$65,G322)</f>
        <v>1</v>
      </c>
    </row>
    <row r="323" spans="1:8">
      <c r="A323" s="4" t="s">
        <v>505</v>
      </c>
      <c r="B323" s="8" t="s">
        <v>89</v>
      </c>
      <c r="C323" s="16"/>
      <c r="D323" s="8"/>
      <c r="E323">
        <f t="shared" si="18"/>
        <v>1</v>
      </c>
      <c r="F323">
        <f t="shared" si="19"/>
        <v>0</v>
      </c>
      <c r="G323" t="s">
        <v>64</v>
      </c>
      <c r="H323">
        <f t="shared" si="20"/>
        <v>1</v>
      </c>
    </row>
    <row r="324" spans="1:8">
      <c r="A324" s="4" t="s">
        <v>506</v>
      </c>
      <c r="B324" s="8" t="s">
        <v>76</v>
      </c>
      <c r="C324" s="16"/>
      <c r="D324" s="8"/>
      <c r="E324">
        <f t="shared" si="18"/>
        <v>1</v>
      </c>
      <c r="F324">
        <f t="shared" si="19"/>
        <v>0</v>
      </c>
      <c r="G324" t="s">
        <v>67</v>
      </c>
      <c r="H324">
        <f t="shared" si="20"/>
        <v>1</v>
      </c>
    </row>
    <row r="325" spans="1:8">
      <c r="A325" s="4" t="s">
        <v>507</v>
      </c>
      <c r="B325" s="8" t="s">
        <v>89</v>
      </c>
      <c r="C325" s="16"/>
      <c r="D325" s="8"/>
      <c r="E325">
        <f t="shared" si="18"/>
        <v>1</v>
      </c>
      <c r="F325">
        <f t="shared" si="19"/>
        <v>0</v>
      </c>
      <c r="G325" t="s">
        <v>64</v>
      </c>
      <c r="H325">
        <f t="shared" si="20"/>
        <v>1</v>
      </c>
    </row>
    <row r="326" spans="1:8">
      <c r="A326" s="4" t="s">
        <v>508</v>
      </c>
      <c r="B326" s="8" t="s">
        <v>89</v>
      </c>
      <c r="C326" s="16"/>
      <c r="D326" s="8"/>
      <c r="E326">
        <f t="shared" si="18"/>
        <v>1</v>
      </c>
      <c r="F326">
        <f t="shared" si="19"/>
        <v>0</v>
      </c>
      <c r="G326" t="s">
        <v>64</v>
      </c>
      <c r="H326">
        <f t="shared" si="20"/>
        <v>1</v>
      </c>
    </row>
    <row r="327" spans="1:8">
      <c r="A327" s="4" t="s">
        <v>509</v>
      </c>
      <c r="B327" s="8" t="s">
        <v>89</v>
      </c>
      <c r="C327" s="16"/>
      <c r="D327" s="8"/>
      <c r="E327">
        <f t="shared" si="18"/>
        <v>1</v>
      </c>
      <c r="F327">
        <f t="shared" si="19"/>
        <v>0</v>
      </c>
      <c r="G327" t="s">
        <v>64</v>
      </c>
      <c r="H327">
        <f t="shared" si="20"/>
        <v>1</v>
      </c>
    </row>
    <row r="328" spans="1:8">
      <c r="A328" s="4" t="s">
        <v>510</v>
      </c>
      <c r="B328" s="8" t="s">
        <v>89</v>
      </c>
      <c r="C328" s="16"/>
      <c r="D328" s="8"/>
      <c r="E328">
        <f t="shared" si="18"/>
        <v>1</v>
      </c>
      <c r="F328">
        <f t="shared" si="19"/>
        <v>0</v>
      </c>
      <c r="G328" t="s">
        <v>64</v>
      </c>
      <c r="H328">
        <f t="shared" si="20"/>
        <v>1</v>
      </c>
    </row>
    <row r="329" spans="1:8">
      <c r="A329" s="4" t="s">
        <v>511</v>
      </c>
      <c r="B329" s="8" t="s">
        <v>89</v>
      </c>
      <c r="C329" s="16"/>
      <c r="D329" s="8"/>
      <c r="E329">
        <f t="shared" si="18"/>
        <v>1</v>
      </c>
      <c r="F329">
        <f t="shared" si="19"/>
        <v>0</v>
      </c>
      <c r="G329" t="s">
        <v>64</v>
      </c>
      <c r="H329">
        <f t="shared" si="20"/>
        <v>1</v>
      </c>
    </row>
    <row r="330" spans="1:8">
      <c r="A330" s="4" t="s">
        <v>512</v>
      </c>
      <c r="B330" s="8" t="s">
        <v>111</v>
      </c>
      <c r="C330" s="16"/>
      <c r="D330" s="8"/>
      <c r="E330">
        <f t="shared" si="18"/>
        <v>1</v>
      </c>
      <c r="F330">
        <f t="shared" si="19"/>
        <v>0</v>
      </c>
      <c r="G330" t="s">
        <v>513</v>
      </c>
      <c r="H330">
        <f t="shared" si="20"/>
        <v>0</v>
      </c>
    </row>
    <row r="331" spans="1:8">
      <c r="A331" s="4" t="s">
        <v>514</v>
      </c>
      <c r="B331" s="8" t="s">
        <v>89</v>
      </c>
      <c r="C331" s="16"/>
      <c r="D331" s="8"/>
      <c r="E331">
        <f t="shared" si="18"/>
        <v>1</v>
      </c>
      <c r="F331">
        <f t="shared" si="19"/>
        <v>0</v>
      </c>
      <c r="G331" t="s">
        <v>64</v>
      </c>
      <c r="H331">
        <f t="shared" si="20"/>
        <v>1</v>
      </c>
    </row>
    <row r="332" spans="1:8">
      <c r="A332" s="4" t="s">
        <v>515</v>
      </c>
      <c r="B332" s="8" t="s">
        <v>71</v>
      </c>
      <c r="C332" s="16"/>
      <c r="D332" s="8"/>
      <c r="E332">
        <f t="shared" si="18"/>
        <v>1</v>
      </c>
      <c r="F332">
        <f t="shared" si="19"/>
        <v>0</v>
      </c>
      <c r="G332" t="s">
        <v>72</v>
      </c>
      <c r="H332">
        <f t="shared" si="20"/>
        <v>1</v>
      </c>
    </row>
    <row r="333" spans="1:8">
      <c r="A333" s="4" t="s">
        <v>516</v>
      </c>
      <c r="B333" s="8" t="s">
        <v>234</v>
      </c>
      <c r="C333" s="16"/>
      <c r="D333" s="8"/>
      <c r="E333">
        <f t="shared" si="18"/>
        <v>0</v>
      </c>
      <c r="F333">
        <f t="shared" si="19"/>
        <v>0</v>
      </c>
      <c r="G333" t="s">
        <v>61</v>
      </c>
      <c r="H333">
        <f t="shared" si="20"/>
        <v>1</v>
      </c>
    </row>
    <row r="334" spans="1:8">
      <c r="A334" s="4" t="s">
        <v>517</v>
      </c>
      <c r="B334" s="8" t="s">
        <v>236</v>
      </c>
      <c r="C334" s="16"/>
      <c r="D334" s="8"/>
      <c r="E334">
        <f t="shared" si="18"/>
        <v>1</v>
      </c>
      <c r="F334">
        <f t="shared" si="19"/>
        <v>1</v>
      </c>
      <c r="G334" t="s">
        <v>94</v>
      </c>
      <c r="H334">
        <f t="shared" si="20"/>
        <v>1</v>
      </c>
    </row>
    <row r="335" spans="1:8">
      <c r="A335" s="4" t="s">
        <v>518</v>
      </c>
      <c r="B335" s="8" t="s">
        <v>238</v>
      </c>
      <c r="C335" s="16"/>
      <c r="D335" s="8"/>
      <c r="E335">
        <f t="shared" si="18"/>
        <v>1</v>
      </c>
      <c r="F335">
        <f t="shared" si="19"/>
        <v>0</v>
      </c>
      <c r="G335" t="s">
        <v>94</v>
      </c>
      <c r="H335">
        <f t="shared" si="20"/>
        <v>1</v>
      </c>
    </row>
    <row r="336" spans="1:8">
      <c r="A336" s="4" t="s">
        <v>519</v>
      </c>
      <c r="B336" s="8" t="s">
        <v>238</v>
      </c>
      <c r="C336" s="16"/>
      <c r="D336" s="8"/>
      <c r="E336">
        <f t="shared" si="18"/>
        <v>1</v>
      </c>
      <c r="F336">
        <f t="shared" si="19"/>
        <v>0</v>
      </c>
      <c r="G336" t="s">
        <v>240</v>
      </c>
      <c r="H336">
        <f t="shared" si="20"/>
        <v>0</v>
      </c>
    </row>
    <row r="337" spans="1:8">
      <c r="A337" s="4" t="s">
        <v>520</v>
      </c>
      <c r="B337" s="8" t="s">
        <v>238</v>
      </c>
      <c r="C337" s="16"/>
      <c r="D337" s="8"/>
      <c r="E337">
        <f t="shared" si="18"/>
        <v>1</v>
      </c>
      <c r="F337">
        <f t="shared" si="19"/>
        <v>0</v>
      </c>
      <c r="G337" t="s">
        <v>240</v>
      </c>
      <c r="H337">
        <f t="shared" si="20"/>
        <v>0</v>
      </c>
    </row>
    <row r="338" spans="1:8">
      <c r="A338" s="4" t="s">
        <v>521</v>
      </c>
      <c r="B338" s="8" t="s">
        <v>238</v>
      </c>
      <c r="C338" s="16"/>
      <c r="D338" s="8"/>
      <c r="E338">
        <f t="shared" si="18"/>
        <v>1</v>
      </c>
      <c r="F338">
        <f t="shared" si="19"/>
        <v>0</v>
      </c>
      <c r="G338" t="s">
        <v>94</v>
      </c>
      <c r="H338">
        <f t="shared" si="20"/>
        <v>1</v>
      </c>
    </row>
    <row r="339" spans="1:8">
      <c r="A339" s="4" t="s">
        <v>522</v>
      </c>
      <c r="B339" s="8" t="s">
        <v>238</v>
      </c>
      <c r="C339" s="16"/>
      <c r="D339" s="8"/>
      <c r="E339">
        <f t="shared" si="18"/>
        <v>1</v>
      </c>
      <c r="F339">
        <f t="shared" si="19"/>
        <v>0</v>
      </c>
      <c r="G339" t="s">
        <v>94</v>
      </c>
      <c r="H339">
        <f t="shared" si="20"/>
        <v>1</v>
      </c>
    </row>
    <row r="340" spans="1:8">
      <c r="A340" s="4" t="s">
        <v>523</v>
      </c>
      <c r="B340" s="8" t="s">
        <v>238</v>
      </c>
      <c r="C340" s="16"/>
      <c r="D340" s="8"/>
      <c r="E340">
        <f t="shared" si="18"/>
        <v>1</v>
      </c>
      <c r="F340">
        <f t="shared" si="19"/>
        <v>0</v>
      </c>
      <c r="G340" t="s">
        <v>94</v>
      </c>
      <c r="H340">
        <f t="shared" si="20"/>
        <v>1</v>
      </c>
    </row>
    <row r="341" spans="1:8">
      <c r="A341" s="4" t="s">
        <v>524</v>
      </c>
      <c r="B341" s="8" t="s">
        <v>34</v>
      </c>
      <c r="C341" s="16" t="s">
        <v>525</v>
      </c>
      <c r="D341" s="8"/>
      <c r="E341">
        <f t="shared" si="18"/>
        <v>1</v>
      </c>
      <c r="F341">
        <f t="shared" si="19"/>
        <v>0</v>
      </c>
      <c r="G341" t="s">
        <v>35</v>
      </c>
      <c r="H341">
        <f t="shared" si="20"/>
        <v>1</v>
      </c>
    </row>
    <row r="342" spans="1:8">
      <c r="A342" s="4" t="s">
        <v>526</v>
      </c>
      <c r="B342" s="8" t="s">
        <v>527</v>
      </c>
      <c r="C342" s="16" t="s">
        <v>528</v>
      </c>
      <c r="D342" s="8"/>
      <c r="E342">
        <f t="shared" si="18"/>
        <v>0</v>
      </c>
      <c r="F342">
        <f t="shared" si="19"/>
        <v>0</v>
      </c>
      <c r="G342" t="s">
        <v>61</v>
      </c>
      <c r="H342">
        <f t="shared" si="20"/>
        <v>1</v>
      </c>
    </row>
    <row r="343" spans="1:8">
      <c r="A343" s="4" t="s">
        <v>529</v>
      </c>
      <c r="B343" s="8" t="s">
        <v>236</v>
      </c>
      <c r="C343" s="16"/>
      <c r="D343" s="8"/>
      <c r="E343">
        <f t="shared" si="18"/>
        <v>1</v>
      </c>
      <c r="F343">
        <f t="shared" si="19"/>
        <v>1</v>
      </c>
      <c r="G343" t="s">
        <v>94</v>
      </c>
      <c r="H343">
        <f t="shared" si="20"/>
        <v>1</v>
      </c>
    </row>
    <row r="344" spans="1:8">
      <c r="A344" s="4" t="s">
        <v>530</v>
      </c>
      <c r="B344" s="8" t="s">
        <v>238</v>
      </c>
      <c r="C344" s="16"/>
      <c r="D344" s="8"/>
      <c r="E344">
        <f t="shared" si="18"/>
        <v>1</v>
      </c>
      <c r="F344">
        <f t="shared" si="19"/>
        <v>0</v>
      </c>
      <c r="G344" t="s">
        <v>94</v>
      </c>
      <c r="H344">
        <f t="shared" si="20"/>
        <v>1</v>
      </c>
    </row>
    <row r="345" spans="1:8">
      <c r="A345" s="4" t="s">
        <v>531</v>
      </c>
      <c r="B345" s="8" t="s">
        <v>238</v>
      </c>
      <c r="C345" s="16"/>
      <c r="D345" s="8"/>
      <c r="E345">
        <f t="shared" si="18"/>
        <v>1</v>
      </c>
      <c r="F345">
        <f t="shared" si="19"/>
        <v>0</v>
      </c>
      <c r="G345" t="s">
        <v>240</v>
      </c>
      <c r="H345">
        <f t="shared" si="20"/>
        <v>0</v>
      </c>
    </row>
    <row r="346" spans="1:8">
      <c r="A346" s="4" t="s">
        <v>532</v>
      </c>
      <c r="B346" s="8" t="s">
        <v>238</v>
      </c>
      <c r="C346" s="16"/>
      <c r="D346" s="8"/>
      <c r="E346">
        <f t="shared" si="18"/>
        <v>1</v>
      </c>
      <c r="F346">
        <f t="shared" si="19"/>
        <v>0</v>
      </c>
      <c r="G346" t="s">
        <v>94</v>
      </c>
      <c r="H346">
        <f t="shared" si="20"/>
        <v>1</v>
      </c>
    </row>
    <row r="347" spans="1:8">
      <c r="A347" s="4" t="s">
        <v>533</v>
      </c>
      <c r="B347" s="8" t="s">
        <v>238</v>
      </c>
      <c r="C347" s="16"/>
      <c r="D347" s="8"/>
      <c r="E347">
        <f t="shared" si="18"/>
        <v>1</v>
      </c>
      <c r="F347">
        <f t="shared" si="19"/>
        <v>0</v>
      </c>
      <c r="G347" t="s">
        <v>94</v>
      </c>
      <c r="H347">
        <f t="shared" si="20"/>
        <v>1</v>
      </c>
    </row>
    <row r="348" spans="1:8">
      <c r="A348" s="4" t="s">
        <v>534</v>
      </c>
      <c r="B348" s="8" t="s">
        <v>238</v>
      </c>
      <c r="C348" s="16"/>
      <c r="D348" s="8"/>
      <c r="E348">
        <f t="shared" si="18"/>
        <v>1</v>
      </c>
      <c r="F348">
        <f t="shared" si="19"/>
        <v>0</v>
      </c>
      <c r="G348" t="s">
        <v>61</v>
      </c>
      <c r="H348">
        <f t="shared" si="20"/>
        <v>1</v>
      </c>
    </row>
    <row r="349" spans="1:8">
      <c r="A349" s="4" t="s">
        <v>535</v>
      </c>
      <c r="B349" s="8" t="s">
        <v>238</v>
      </c>
      <c r="C349" s="16"/>
      <c r="D349" s="8"/>
      <c r="E349">
        <f t="shared" si="18"/>
        <v>1</v>
      </c>
      <c r="F349">
        <f t="shared" si="19"/>
        <v>0</v>
      </c>
      <c r="G349" t="s">
        <v>94</v>
      </c>
      <c r="H349">
        <f t="shared" si="20"/>
        <v>1</v>
      </c>
    </row>
    <row r="350" spans="1:8">
      <c r="A350" s="4" t="s">
        <v>536</v>
      </c>
      <c r="B350" s="8" t="s">
        <v>416</v>
      </c>
      <c r="C350" s="16"/>
      <c r="D350" s="8"/>
      <c r="E350">
        <f t="shared" si="18"/>
        <v>1</v>
      </c>
      <c r="F350">
        <f t="shared" si="19"/>
        <v>1</v>
      </c>
      <c r="G350" t="s">
        <v>31</v>
      </c>
      <c r="H350">
        <f t="shared" si="20"/>
        <v>1</v>
      </c>
    </row>
    <row r="351" spans="1:8">
      <c r="A351" s="4" t="s">
        <v>537</v>
      </c>
      <c r="B351" s="8" t="s">
        <v>418</v>
      </c>
      <c r="C351" s="16"/>
      <c r="D351" s="8"/>
      <c r="E351">
        <f t="shared" si="18"/>
        <v>1</v>
      </c>
      <c r="F351">
        <f t="shared" si="19"/>
        <v>0</v>
      </c>
      <c r="G351" t="s">
        <v>31</v>
      </c>
      <c r="H351">
        <f t="shared" si="20"/>
        <v>1</v>
      </c>
    </row>
    <row r="352" spans="1:8">
      <c r="A352" s="4" t="s">
        <v>538</v>
      </c>
      <c r="B352" s="8" t="s">
        <v>418</v>
      </c>
      <c r="C352" s="16"/>
      <c r="D352" s="8"/>
      <c r="E352">
        <f t="shared" si="18"/>
        <v>1</v>
      </c>
      <c r="F352">
        <f t="shared" si="19"/>
        <v>0</v>
      </c>
      <c r="G352" t="s">
        <v>419</v>
      </c>
      <c r="H352">
        <f t="shared" si="20"/>
        <v>0</v>
      </c>
    </row>
    <row r="353" spans="1:8">
      <c r="A353" s="4" t="s">
        <v>539</v>
      </c>
      <c r="B353" s="8" t="s">
        <v>418</v>
      </c>
      <c r="C353" s="16"/>
      <c r="D353" s="8"/>
      <c r="E353">
        <f t="shared" si="18"/>
        <v>1</v>
      </c>
      <c r="F353">
        <f t="shared" si="19"/>
        <v>0</v>
      </c>
      <c r="G353" t="s">
        <v>31</v>
      </c>
      <c r="H353">
        <f t="shared" si="20"/>
        <v>1</v>
      </c>
    </row>
    <row r="354" spans="1:8">
      <c r="A354" s="4" t="s">
        <v>540</v>
      </c>
      <c r="B354" s="8" t="s">
        <v>423</v>
      </c>
      <c r="C354" s="16"/>
      <c r="D354" s="8"/>
      <c r="E354">
        <f t="shared" si="18"/>
        <v>1</v>
      </c>
      <c r="F354">
        <f t="shared" si="19"/>
        <v>0</v>
      </c>
      <c r="G354" t="s">
        <v>148</v>
      </c>
      <c r="H354">
        <f t="shared" si="20"/>
        <v>1</v>
      </c>
    </row>
    <row r="355" spans="1:8">
      <c r="A355" s="4" t="s">
        <v>541</v>
      </c>
      <c r="B355" s="8" t="s">
        <v>418</v>
      </c>
      <c r="C355" s="16"/>
      <c r="D355" s="8"/>
      <c r="E355">
        <f t="shared" si="18"/>
        <v>1</v>
      </c>
      <c r="F355">
        <f t="shared" si="19"/>
        <v>0</v>
      </c>
      <c r="G355" t="s">
        <v>419</v>
      </c>
      <c r="H355">
        <f t="shared" si="20"/>
        <v>0</v>
      </c>
    </row>
    <row r="356" spans="1:8">
      <c r="A356" s="4" t="s">
        <v>542</v>
      </c>
      <c r="B356" s="8" t="s">
        <v>426</v>
      </c>
      <c r="C356" s="16"/>
      <c r="D356" s="8"/>
      <c r="E356">
        <f t="shared" si="18"/>
        <v>1</v>
      </c>
      <c r="F356">
        <f t="shared" si="19"/>
        <v>0</v>
      </c>
      <c r="G356" t="s">
        <v>543</v>
      </c>
      <c r="H356">
        <f t="shared" si="20"/>
        <v>0</v>
      </c>
    </row>
    <row r="357" spans="1:8">
      <c r="A357" s="4" t="s">
        <v>544</v>
      </c>
      <c r="B357" s="8" t="s">
        <v>545</v>
      </c>
      <c r="C357" s="16"/>
      <c r="D357" s="8"/>
      <c r="E357">
        <f t="shared" si="18"/>
        <v>1</v>
      </c>
      <c r="F357">
        <f t="shared" si="19"/>
        <v>0</v>
      </c>
      <c r="G357" t="s">
        <v>543</v>
      </c>
      <c r="H357">
        <f t="shared" si="20"/>
        <v>0</v>
      </c>
    </row>
    <row r="358" spans="1:8">
      <c r="A358" s="4" t="s">
        <v>546</v>
      </c>
      <c r="B358" s="8" t="s">
        <v>432</v>
      </c>
      <c r="C358" s="16"/>
      <c r="D358" s="8"/>
      <c r="E358">
        <f t="shared" si="18"/>
        <v>1</v>
      </c>
      <c r="F358">
        <f t="shared" si="19"/>
        <v>0</v>
      </c>
      <c r="G358" t="s">
        <v>547</v>
      </c>
      <c r="H358">
        <f t="shared" si="20"/>
        <v>0</v>
      </c>
    </row>
    <row r="359" spans="1:8">
      <c r="A359" s="4" t="s">
        <v>548</v>
      </c>
      <c r="B359" s="8" t="s">
        <v>545</v>
      </c>
      <c r="C359" s="16"/>
      <c r="D359" s="8"/>
      <c r="E359">
        <f t="shared" si="18"/>
        <v>1</v>
      </c>
      <c r="F359">
        <f t="shared" si="19"/>
        <v>0</v>
      </c>
      <c r="G359" t="s">
        <v>543</v>
      </c>
      <c r="H359">
        <f t="shared" si="20"/>
        <v>0</v>
      </c>
    </row>
    <row r="360" spans="1:8">
      <c r="A360" s="4" t="s">
        <v>549</v>
      </c>
      <c r="B360" s="8" t="s">
        <v>545</v>
      </c>
      <c r="C360" s="16"/>
      <c r="D360" s="8"/>
      <c r="E360">
        <f t="shared" si="18"/>
        <v>1</v>
      </c>
      <c r="F360">
        <f t="shared" si="19"/>
        <v>0</v>
      </c>
      <c r="G360" t="s">
        <v>543</v>
      </c>
      <c r="H360">
        <f t="shared" si="20"/>
        <v>0</v>
      </c>
    </row>
    <row r="361" spans="1:8">
      <c r="A361" s="4" t="s">
        <v>550</v>
      </c>
      <c r="B361" s="8" t="s">
        <v>545</v>
      </c>
      <c r="C361" s="16"/>
      <c r="D361" s="8"/>
      <c r="E361">
        <f t="shared" si="18"/>
        <v>1</v>
      </c>
      <c r="F361">
        <f t="shared" si="19"/>
        <v>0</v>
      </c>
      <c r="G361" t="s">
        <v>543</v>
      </c>
      <c r="H361">
        <f t="shared" si="20"/>
        <v>0</v>
      </c>
    </row>
    <row r="362" spans="1:8">
      <c r="A362" s="4" t="s">
        <v>551</v>
      </c>
      <c r="B362" s="8" t="s">
        <v>384</v>
      </c>
      <c r="C362" s="16" t="s">
        <v>552</v>
      </c>
      <c r="D362" s="8"/>
      <c r="E362">
        <f t="shared" si="18"/>
        <v>1</v>
      </c>
      <c r="F362">
        <f t="shared" si="19"/>
        <v>1</v>
      </c>
      <c r="G362" t="s">
        <v>77</v>
      </c>
      <c r="H362">
        <f t="shared" si="20"/>
        <v>1</v>
      </c>
    </row>
    <row r="363" spans="1:8">
      <c r="A363" s="4" t="s">
        <v>553</v>
      </c>
      <c r="B363" s="8" t="s">
        <v>386</v>
      </c>
      <c r="C363" s="16"/>
      <c r="D363" s="8"/>
      <c r="E363">
        <f t="shared" si="18"/>
        <v>1</v>
      </c>
      <c r="F363">
        <f t="shared" si="19"/>
        <v>0</v>
      </c>
      <c r="G363" t="s">
        <v>77</v>
      </c>
      <c r="H363">
        <f t="shared" si="20"/>
        <v>1</v>
      </c>
    </row>
    <row r="364" spans="1:8">
      <c r="A364" s="4" t="s">
        <v>554</v>
      </c>
      <c r="B364" s="8" t="s">
        <v>386</v>
      </c>
      <c r="C364" s="16"/>
      <c r="D364" s="8"/>
      <c r="E364">
        <f t="shared" si="18"/>
        <v>1</v>
      </c>
      <c r="F364">
        <f t="shared" si="19"/>
        <v>0</v>
      </c>
      <c r="G364" t="s">
        <v>77</v>
      </c>
      <c r="H364">
        <f t="shared" si="20"/>
        <v>1</v>
      </c>
    </row>
    <row r="365" spans="1:8">
      <c r="A365" s="4" t="s">
        <v>555</v>
      </c>
      <c r="B365" s="8" t="s">
        <v>386</v>
      </c>
      <c r="C365" s="16"/>
      <c r="D365" s="8"/>
      <c r="E365">
        <f t="shared" si="18"/>
        <v>1</v>
      </c>
      <c r="F365">
        <f t="shared" si="19"/>
        <v>0</v>
      </c>
      <c r="G365" t="s">
        <v>77</v>
      </c>
      <c r="H365">
        <f t="shared" si="20"/>
        <v>1</v>
      </c>
    </row>
    <row r="366" spans="1:8">
      <c r="A366" s="4" t="s">
        <v>556</v>
      </c>
      <c r="B366" s="8" t="s">
        <v>386</v>
      </c>
      <c r="C366" s="16"/>
      <c r="D366" s="8"/>
      <c r="E366">
        <f t="shared" si="18"/>
        <v>1</v>
      </c>
      <c r="F366">
        <f t="shared" si="19"/>
        <v>0</v>
      </c>
      <c r="G366" t="s">
        <v>77</v>
      </c>
      <c r="H366">
        <f t="shared" si="20"/>
        <v>1</v>
      </c>
    </row>
    <row r="367" spans="1:8">
      <c r="A367" s="4" t="s">
        <v>557</v>
      </c>
      <c r="B367" s="8" t="s">
        <v>386</v>
      </c>
      <c r="C367" s="16"/>
      <c r="D367" s="8"/>
      <c r="E367">
        <f t="shared" si="18"/>
        <v>1</v>
      </c>
      <c r="F367">
        <f t="shared" si="19"/>
        <v>0</v>
      </c>
      <c r="G367" t="s">
        <v>77</v>
      </c>
      <c r="H367">
        <f t="shared" si="20"/>
        <v>1</v>
      </c>
    </row>
    <row r="368" spans="1:8">
      <c r="A368" s="4" t="s">
        <v>558</v>
      </c>
      <c r="B368" s="8" t="s">
        <v>76</v>
      </c>
      <c r="C368" s="16" t="s">
        <v>559</v>
      </c>
      <c r="D368" s="8"/>
      <c r="E368">
        <f t="shared" si="18"/>
        <v>1</v>
      </c>
      <c r="F368">
        <f t="shared" si="19"/>
        <v>0</v>
      </c>
      <c r="G368" t="s">
        <v>67</v>
      </c>
      <c r="H368">
        <f t="shared" si="20"/>
        <v>1</v>
      </c>
    </row>
    <row r="369" spans="1:8">
      <c r="A369" s="4" t="s">
        <v>560</v>
      </c>
      <c r="B369" s="8" t="s">
        <v>89</v>
      </c>
      <c r="C369" s="16"/>
      <c r="D369" s="8"/>
      <c r="E369">
        <f t="shared" si="18"/>
        <v>1</v>
      </c>
      <c r="F369">
        <f t="shared" si="19"/>
        <v>0</v>
      </c>
      <c r="G369" t="s">
        <v>64</v>
      </c>
      <c r="H369">
        <f t="shared" si="20"/>
        <v>1</v>
      </c>
    </row>
    <row r="370" spans="1:8">
      <c r="A370" s="4" t="s">
        <v>561</v>
      </c>
      <c r="B370" s="8" t="s">
        <v>89</v>
      </c>
      <c r="C370" s="16"/>
      <c r="D370" s="8"/>
      <c r="E370">
        <f t="shared" si="18"/>
        <v>1</v>
      </c>
      <c r="F370">
        <f t="shared" si="19"/>
        <v>0</v>
      </c>
      <c r="G370" t="s">
        <v>64</v>
      </c>
      <c r="H370">
        <f t="shared" si="20"/>
        <v>1</v>
      </c>
    </row>
    <row r="371" spans="1:8">
      <c r="A371" s="4" t="s">
        <v>562</v>
      </c>
      <c r="B371" s="8" t="s">
        <v>89</v>
      </c>
      <c r="C371" s="16"/>
      <c r="D371" s="8"/>
      <c r="E371">
        <f t="shared" si="18"/>
        <v>1</v>
      </c>
      <c r="F371">
        <f t="shared" si="19"/>
        <v>0</v>
      </c>
      <c r="G371" t="s">
        <v>64</v>
      </c>
      <c r="H371">
        <f t="shared" si="20"/>
        <v>1</v>
      </c>
    </row>
    <row r="372" spans="1:8">
      <c r="A372" s="4" t="s">
        <v>563</v>
      </c>
      <c r="B372" s="8" t="s">
        <v>89</v>
      </c>
      <c r="C372" s="16"/>
      <c r="D372" s="8"/>
      <c r="E372">
        <f t="shared" si="18"/>
        <v>1</v>
      </c>
      <c r="F372">
        <f t="shared" si="19"/>
        <v>0</v>
      </c>
      <c r="G372" t="s">
        <v>64</v>
      </c>
      <c r="H372">
        <f t="shared" si="20"/>
        <v>1</v>
      </c>
    </row>
    <row r="373" spans="1:8">
      <c r="A373" s="4" t="s">
        <v>564</v>
      </c>
      <c r="B373" s="8" t="s">
        <v>89</v>
      </c>
      <c r="C373" s="16"/>
      <c r="D373" s="8"/>
      <c r="E373">
        <f t="shared" si="18"/>
        <v>1</v>
      </c>
      <c r="F373">
        <f t="shared" si="19"/>
        <v>0</v>
      </c>
      <c r="G373" t="s">
        <v>64</v>
      </c>
      <c r="H373">
        <f t="shared" si="20"/>
        <v>1</v>
      </c>
    </row>
    <row r="374" spans="1:8">
      <c r="A374" s="4" t="s">
        <v>565</v>
      </c>
      <c r="B374" s="8" t="s">
        <v>89</v>
      </c>
      <c r="C374" s="16"/>
      <c r="D374" s="8"/>
      <c r="E374">
        <f t="shared" si="18"/>
        <v>1</v>
      </c>
      <c r="F374">
        <f t="shared" si="19"/>
        <v>0</v>
      </c>
      <c r="G374" t="s">
        <v>64</v>
      </c>
      <c r="H374">
        <f t="shared" si="20"/>
        <v>1</v>
      </c>
    </row>
    <row r="375" spans="1:8">
      <c r="A375" s="4" t="s">
        <v>566</v>
      </c>
      <c r="B375" s="8" t="s">
        <v>381</v>
      </c>
      <c r="C375" s="16"/>
      <c r="D375" s="8"/>
      <c r="E375">
        <f t="shared" si="18"/>
        <v>1</v>
      </c>
      <c r="F375">
        <f t="shared" si="19"/>
        <v>0</v>
      </c>
      <c r="G375" t="s">
        <v>10</v>
      </c>
      <c r="H375">
        <f t="shared" si="20"/>
        <v>1</v>
      </c>
    </row>
    <row r="376" spans="1:8">
      <c r="A376" s="4" t="s">
        <v>567</v>
      </c>
      <c r="B376" s="5" t="s">
        <v>9</v>
      </c>
      <c r="C376" s="15" t="s">
        <v>568</v>
      </c>
      <c r="D376" s="8"/>
      <c r="E376">
        <f t="shared" si="18"/>
        <v>1</v>
      </c>
      <c r="F376">
        <f t="shared" si="19"/>
        <v>3</v>
      </c>
      <c r="G376" t="s">
        <v>10</v>
      </c>
      <c r="H376">
        <f t="shared" si="20"/>
        <v>1</v>
      </c>
    </row>
    <row r="377" spans="1:8">
      <c r="A377" s="4" t="s">
        <v>569</v>
      </c>
      <c r="B377" s="8" t="s">
        <v>172</v>
      </c>
      <c r="C377" s="16"/>
      <c r="D377" s="8"/>
      <c r="E377">
        <f t="shared" si="18"/>
        <v>1</v>
      </c>
      <c r="F377">
        <f t="shared" si="19"/>
        <v>2</v>
      </c>
      <c r="G377" t="s">
        <v>68</v>
      </c>
      <c r="H377">
        <f t="shared" si="20"/>
        <v>1</v>
      </c>
    </row>
    <row r="378" spans="1:8">
      <c r="A378" s="4" t="s">
        <v>570</v>
      </c>
      <c r="B378" s="8" t="s">
        <v>172</v>
      </c>
      <c r="C378" s="16"/>
      <c r="D378" s="8"/>
      <c r="E378">
        <f t="shared" si="18"/>
        <v>1</v>
      </c>
      <c r="F378">
        <f t="shared" si="19"/>
        <v>2</v>
      </c>
      <c r="G378" t="s">
        <v>68</v>
      </c>
      <c r="H378">
        <f t="shared" si="20"/>
        <v>1</v>
      </c>
    </row>
    <row r="379" spans="1:8">
      <c r="A379" s="4" t="s">
        <v>571</v>
      </c>
      <c r="B379" s="8" t="s">
        <v>176</v>
      </c>
      <c r="C379" s="16"/>
      <c r="D379" s="8"/>
      <c r="E379">
        <f t="shared" si="18"/>
        <v>1</v>
      </c>
      <c r="F379">
        <f t="shared" si="19"/>
        <v>0</v>
      </c>
      <c r="G379" t="s">
        <v>11</v>
      </c>
      <c r="H379">
        <f t="shared" si="20"/>
        <v>1</v>
      </c>
    </row>
    <row r="380" spans="1:8">
      <c r="A380" s="4" t="s">
        <v>572</v>
      </c>
      <c r="B380" s="8" t="s">
        <v>172</v>
      </c>
      <c r="C380" s="16"/>
      <c r="D380" s="8"/>
      <c r="E380">
        <f t="shared" si="18"/>
        <v>1</v>
      </c>
      <c r="F380">
        <f t="shared" si="19"/>
        <v>2</v>
      </c>
      <c r="G380" t="s">
        <v>68</v>
      </c>
      <c r="H380">
        <f t="shared" si="20"/>
        <v>1</v>
      </c>
    </row>
    <row r="381" spans="1:8">
      <c r="A381" s="4" t="s">
        <v>573</v>
      </c>
      <c r="B381" s="8" t="s">
        <v>176</v>
      </c>
      <c r="C381" s="16"/>
      <c r="D381" s="8"/>
      <c r="E381">
        <f t="shared" si="18"/>
        <v>1</v>
      </c>
      <c r="F381">
        <f t="shared" si="19"/>
        <v>0</v>
      </c>
      <c r="G381" t="s">
        <v>11</v>
      </c>
      <c r="H381">
        <f t="shared" si="20"/>
        <v>1</v>
      </c>
    </row>
    <row r="382" spans="1:8">
      <c r="A382" s="4" t="s">
        <v>574</v>
      </c>
      <c r="B382" s="8" t="s">
        <v>172</v>
      </c>
      <c r="C382" s="16"/>
      <c r="D382" s="8"/>
      <c r="E382">
        <f t="shared" si="18"/>
        <v>1</v>
      </c>
      <c r="F382">
        <f t="shared" si="19"/>
        <v>2</v>
      </c>
      <c r="G382" t="s">
        <v>68</v>
      </c>
      <c r="H382">
        <f t="shared" si="20"/>
        <v>1</v>
      </c>
    </row>
    <row r="383" spans="1:8">
      <c r="A383" s="4" t="s">
        <v>575</v>
      </c>
      <c r="B383" s="8" t="s">
        <v>176</v>
      </c>
      <c r="C383" s="16"/>
      <c r="D383" s="8"/>
      <c r="E383">
        <f t="shared" si="18"/>
        <v>1</v>
      </c>
      <c r="F383">
        <f t="shared" si="19"/>
        <v>0</v>
      </c>
      <c r="G383" t="s">
        <v>11</v>
      </c>
      <c r="H383">
        <f t="shared" si="20"/>
        <v>1</v>
      </c>
    </row>
    <row r="384" spans="1:8">
      <c r="A384" s="4" t="s">
        <v>576</v>
      </c>
      <c r="B384" s="8" t="s">
        <v>192</v>
      </c>
      <c r="C384" s="16"/>
      <c r="D384" s="8"/>
      <c r="E384">
        <f t="shared" si="18"/>
        <v>1</v>
      </c>
      <c r="F384">
        <f t="shared" si="19"/>
        <v>0</v>
      </c>
      <c r="G384" t="s">
        <v>193</v>
      </c>
      <c r="H384">
        <f t="shared" si="20"/>
        <v>0</v>
      </c>
    </row>
    <row r="385" spans="1:8">
      <c r="A385" s="4" t="s">
        <v>577</v>
      </c>
      <c r="B385" s="8" t="s">
        <v>234</v>
      </c>
      <c r="C385" s="16" t="s">
        <v>578</v>
      </c>
      <c r="D385" s="8"/>
      <c r="E385">
        <f t="shared" si="18"/>
        <v>0</v>
      </c>
      <c r="F385">
        <f t="shared" si="19"/>
        <v>0</v>
      </c>
      <c r="G385" t="s">
        <v>61</v>
      </c>
      <c r="H385">
        <f t="shared" si="20"/>
        <v>1</v>
      </c>
    </row>
    <row r="386" spans="1:8">
      <c r="A386" s="4" t="s">
        <v>579</v>
      </c>
      <c r="B386" s="8" t="s">
        <v>236</v>
      </c>
      <c r="C386" s="16" t="s">
        <v>580</v>
      </c>
      <c r="D386" s="8"/>
      <c r="E386">
        <f t="shared" ref="E386:E449" si="21">COUNTIF(K$2:K$65,B386)</f>
        <v>1</v>
      </c>
      <c r="F386">
        <f t="shared" ref="F386:F449" si="22">COUNTIF(O$5:O$29,B386)</f>
        <v>1</v>
      </c>
      <c r="G386" t="s">
        <v>94</v>
      </c>
      <c r="H386">
        <f t="shared" ref="H386:H449" si="23">COUNTIF(J$2:J$65,G386)</f>
        <v>1</v>
      </c>
    </row>
    <row r="387" spans="1:8">
      <c r="A387" s="4" t="s">
        <v>581</v>
      </c>
      <c r="B387" s="8" t="s">
        <v>238</v>
      </c>
      <c r="C387" s="16"/>
      <c r="D387" s="8"/>
      <c r="E387">
        <f t="shared" si="21"/>
        <v>1</v>
      </c>
      <c r="F387">
        <f t="shared" si="22"/>
        <v>0</v>
      </c>
      <c r="G387" t="s">
        <v>94</v>
      </c>
      <c r="H387">
        <f t="shared" si="23"/>
        <v>1</v>
      </c>
    </row>
    <row r="388" spans="1:8">
      <c r="A388" s="4" t="s">
        <v>582</v>
      </c>
      <c r="B388" s="8" t="s">
        <v>238</v>
      </c>
      <c r="C388" s="16"/>
      <c r="D388" s="8"/>
      <c r="E388">
        <f t="shared" si="21"/>
        <v>1</v>
      </c>
      <c r="F388">
        <f t="shared" si="22"/>
        <v>0</v>
      </c>
      <c r="G388" t="s">
        <v>94</v>
      </c>
      <c r="H388">
        <f t="shared" si="23"/>
        <v>1</v>
      </c>
    </row>
    <row r="389" spans="1:8">
      <c r="A389" s="4" t="s">
        <v>583</v>
      </c>
      <c r="B389" s="8" t="s">
        <v>238</v>
      </c>
      <c r="C389" s="16"/>
      <c r="D389" s="8"/>
      <c r="E389">
        <f t="shared" si="21"/>
        <v>1</v>
      </c>
      <c r="F389">
        <f t="shared" si="22"/>
        <v>0</v>
      </c>
      <c r="G389" t="s">
        <v>240</v>
      </c>
      <c r="H389">
        <f t="shared" si="23"/>
        <v>0</v>
      </c>
    </row>
    <row r="390" spans="1:8">
      <c r="A390" s="4" t="s">
        <v>584</v>
      </c>
      <c r="B390" s="8" t="s">
        <v>238</v>
      </c>
      <c r="C390" s="16"/>
      <c r="D390" s="8"/>
      <c r="E390">
        <f t="shared" si="21"/>
        <v>1</v>
      </c>
      <c r="F390">
        <f t="shared" si="22"/>
        <v>0</v>
      </c>
      <c r="G390" t="s">
        <v>94</v>
      </c>
      <c r="H390">
        <f t="shared" si="23"/>
        <v>1</v>
      </c>
    </row>
    <row r="391" spans="1:8">
      <c r="A391" s="4" t="s">
        <v>585</v>
      </c>
      <c r="B391" s="8" t="s">
        <v>238</v>
      </c>
      <c r="C391" s="16"/>
      <c r="D391" s="8"/>
      <c r="E391">
        <f t="shared" si="21"/>
        <v>1</v>
      </c>
      <c r="F391">
        <f t="shared" si="22"/>
        <v>0</v>
      </c>
      <c r="G391" t="s">
        <v>240</v>
      </c>
      <c r="H391">
        <f t="shared" si="23"/>
        <v>0</v>
      </c>
    </row>
    <row r="392" spans="1:8">
      <c r="A392" s="4" t="s">
        <v>586</v>
      </c>
      <c r="B392" s="8" t="s">
        <v>238</v>
      </c>
      <c r="C392" s="16"/>
      <c r="D392" s="8"/>
      <c r="E392">
        <f t="shared" si="21"/>
        <v>1</v>
      </c>
      <c r="F392">
        <f t="shared" si="22"/>
        <v>0</v>
      </c>
      <c r="G392" t="s">
        <v>94</v>
      </c>
      <c r="H392">
        <f t="shared" si="23"/>
        <v>1</v>
      </c>
    </row>
    <row r="393" spans="1:8">
      <c r="A393" s="4" t="s">
        <v>587</v>
      </c>
      <c r="B393" s="8" t="s">
        <v>246</v>
      </c>
      <c r="C393" s="16"/>
      <c r="D393" s="8"/>
      <c r="E393">
        <f t="shared" si="21"/>
        <v>1</v>
      </c>
      <c r="F393">
        <f t="shared" si="22"/>
        <v>0</v>
      </c>
      <c r="G393" t="s">
        <v>248</v>
      </c>
      <c r="H393">
        <f t="shared" si="23"/>
        <v>0</v>
      </c>
    </row>
    <row r="394" spans="1:8">
      <c r="A394" s="4" t="s">
        <v>588</v>
      </c>
      <c r="B394" s="8" t="s">
        <v>246</v>
      </c>
      <c r="C394" s="16"/>
      <c r="D394" s="8"/>
      <c r="E394">
        <f t="shared" si="21"/>
        <v>1</v>
      </c>
      <c r="F394">
        <f t="shared" si="22"/>
        <v>0</v>
      </c>
      <c r="G394" t="s">
        <v>248</v>
      </c>
      <c r="H394">
        <f t="shared" si="23"/>
        <v>0</v>
      </c>
    </row>
    <row r="395" spans="1:8">
      <c r="A395" s="4" t="s">
        <v>589</v>
      </c>
      <c r="B395" s="8" t="s">
        <v>246</v>
      </c>
      <c r="C395" s="16"/>
      <c r="D395" s="8"/>
      <c r="E395">
        <f t="shared" si="21"/>
        <v>1</v>
      </c>
      <c r="F395">
        <f t="shared" si="22"/>
        <v>0</v>
      </c>
      <c r="G395" t="s">
        <v>43</v>
      </c>
      <c r="H395">
        <f t="shared" si="23"/>
        <v>1</v>
      </c>
    </row>
    <row r="396" spans="1:8">
      <c r="A396" s="4" t="s">
        <v>590</v>
      </c>
      <c r="B396" s="8" t="s">
        <v>246</v>
      </c>
      <c r="C396" s="16"/>
      <c r="D396" s="8"/>
      <c r="E396">
        <f t="shared" si="21"/>
        <v>1</v>
      </c>
      <c r="F396">
        <f t="shared" si="22"/>
        <v>0</v>
      </c>
      <c r="G396" t="s">
        <v>43</v>
      </c>
      <c r="H396">
        <f t="shared" si="23"/>
        <v>1</v>
      </c>
    </row>
    <row r="397" spans="1:8">
      <c r="A397" s="4" t="s">
        <v>591</v>
      </c>
      <c r="B397" s="8" t="s">
        <v>246</v>
      </c>
      <c r="C397" s="16"/>
      <c r="D397" s="8"/>
      <c r="E397">
        <f t="shared" si="21"/>
        <v>1</v>
      </c>
      <c r="F397">
        <f t="shared" si="22"/>
        <v>0</v>
      </c>
      <c r="G397" t="s">
        <v>248</v>
      </c>
      <c r="H397">
        <f t="shared" si="23"/>
        <v>0</v>
      </c>
    </row>
    <row r="398" spans="1:8">
      <c r="A398" s="4" t="s">
        <v>592</v>
      </c>
      <c r="B398" s="8" t="s">
        <v>246</v>
      </c>
      <c r="C398" s="16"/>
      <c r="D398" s="8"/>
      <c r="E398">
        <f t="shared" si="21"/>
        <v>1</v>
      </c>
      <c r="F398">
        <f t="shared" si="22"/>
        <v>0</v>
      </c>
      <c r="G398" t="s">
        <v>248</v>
      </c>
      <c r="H398">
        <f t="shared" si="23"/>
        <v>0</v>
      </c>
    </row>
    <row r="399" spans="1:8">
      <c r="A399" s="4" t="s">
        <v>593</v>
      </c>
      <c r="B399" s="8" t="s">
        <v>42</v>
      </c>
      <c r="C399" s="16"/>
      <c r="D399" s="8"/>
      <c r="E399">
        <f t="shared" si="21"/>
        <v>0</v>
      </c>
      <c r="F399">
        <f t="shared" si="22"/>
        <v>0</v>
      </c>
      <c r="G399" t="s">
        <v>43</v>
      </c>
      <c r="H399">
        <f t="shared" si="23"/>
        <v>1</v>
      </c>
    </row>
    <row r="400" spans="1:8">
      <c r="A400" s="4" t="s">
        <v>594</v>
      </c>
      <c r="B400" s="8" t="s">
        <v>400</v>
      </c>
      <c r="C400" s="16"/>
      <c r="D400" s="8"/>
      <c r="E400">
        <f t="shared" si="21"/>
        <v>1</v>
      </c>
      <c r="F400">
        <f t="shared" si="22"/>
        <v>0</v>
      </c>
      <c r="G400" t="s">
        <v>401</v>
      </c>
      <c r="H400">
        <f t="shared" si="23"/>
        <v>0</v>
      </c>
    </row>
    <row r="401" spans="1:8">
      <c r="A401" s="4" t="s">
        <v>595</v>
      </c>
      <c r="B401" s="8" t="s">
        <v>42</v>
      </c>
      <c r="C401" s="16" t="s">
        <v>596</v>
      </c>
      <c r="D401" s="8"/>
      <c r="E401">
        <f t="shared" si="21"/>
        <v>0</v>
      </c>
      <c r="F401">
        <f t="shared" si="22"/>
        <v>0</v>
      </c>
      <c r="G401" t="s">
        <v>43</v>
      </c>
      <c r="H401">
        <f t="shared" si="23"/>
        <v>1</v>
      </c>
    </row>
    <row r="402" spans="1:8">
      <c r="A402" s="4" t="s">
        <v>597</v>
      </c>
      <c r="B402" s="8" t="s">
        <v>34</v>
      </c>
      <c r="C402" s="16"/>
      <c r="D402" s="8"/>
      <c r="E402">
        <f t="shared" si="21"/>
        <v>1</v>
      </c>
      <c r="F402">
        <f t="shared" si="22"/>
        <v>0</v>
      </c>
      <c r="G402" t="s">
        <v>61</v>
      </c>
      <c r="H402">
        <f t="shared" si="23"/>
        <v>1</v>
      </c>
    </row>
    <row r="403" spans="1:8">
      <c r="A403" s="4" t="s">
        <v>598</v>
      </c>
      <c r="B403" s="8" t="s">
        <v>527</v>
      </c>
      <c r="C403" s="16"/>
      <c r="D403" s="8"/>
      <c r="E403">
        <f t="shared" si="21"/>
        <v>0</v>
      </c>
      <c r="F403">
        <f t="shared" si="22"/>
        <v>0</v>
      </c>
      <c r="G403" t="s">
        <v>61</v>
      </c>
      <c r="H403">
        <f t="shared" si="23"/>
        <v>1</v>
      </c>
    </row>
    <row r="404" spans="1:8">
      <c r="A404" s="4" t="s">
        <v>599</v>
      </c>
      <c r="B404" s="8" t="s">
        <v>246</v>
      </c>
      <c r="C404" s="16"/>
      <c r="D404" s="8"/>
      <c r="E404">
        <f t="shared" si="21"/>
        <v>1</v>
      </c>
      <c r="F404">
        <f t="shared" si="22"/>
        <v>0</v>
      </c>
      <c r="G404" t="s">
        <v>419</v>
      </c>
      <c r="H404">
        <f t="shared" si="23"/>
        <v>0</v>
      </c>
    </row>
    <row r="405" spans="1:8">
      <c r="A405" s="4" t="s">
        <v>600</v>
      </c>
      <c r="B405" s="8" t="s">
        <v>246</v>
      </c>
      <c r="C405" s="16"/>
      <c r="D405" s="8"/>
      <c r="E405">
        <f t="shared" si="21"/>
        <v>1</v>
      </c>
      <c r="F405">
        <f t="shared" si="22"/>
        <v>0</v>
      </c>
      <c r="G405" t="s">
        <v>547</v>
      </c>
      <c r="H405">
        <f t="shared" si="23"/>
        <v>0</v>
      </c>
    </row>
    <row r="406" spans="1:8">
      <c r="A406" s="4" t="s">
        <v>601</v>
      </c>
      <c r="B406" s="8" t="s">
        <v>246</v>
      </c>
      <c r="C406" s="16"/>
      <c r="D406" s="8"/>
      <c r="E406">
        <f t="shared" si="21"/>
        <v>1</v>
      </c>
      <c r="F406">
        <f t="shared" si="22"/>
        <v>0</v>
      </c>
      <c r="G406" t="s">
        <v>248</v>
      </c>
      <c r="H406">
        <f t="shared" si="23"/>
        <v>0</v>
      </c>
    </row>
    <row r="407" spans="1:8">
      <c r="A407" s="4" t="s">
        <v>602</v>
      </c>
      <c r="B407" s="8" t="s">
        <v>246</v>
      </c>
      <c r="C407" s="16"/>
      <c r="D407" s="8"/>
      <c r="E407">
        <f t="shared" si="21"/>
        <v>1</v>
      </c>
      <c r="F407">
        <f t="shared" si="22"/>
        <v>0</v>
      </c>
      <c r="G407" t="s">
        <v>43</v>
      </c>
      <c r="H407">
        <f t="shared" si="23"/>
        <v>1</v>
      </c>
    </row>
    <row r="408" spans="1:8">
      <c r="A408" s="4" t="s">
        <v>603</v>
      </c>
      <c r="B408" s="8" t="s">
        <v>42</v>
      </c>
      <c r="C408" s="16"/>
      <c r="D408" s="8"/>
      <c r="E408">
        <f t="shared" si="21"/>
        <v>0</v>
      </c>
      <c r="F408">
        <f t="shared" si="22"/>
        <v>0</v>
      </c>
      <c r="G408" t="s">
        <v>43</v>
      </c>
      <c r="H408">
        <f t="shared" si="23"/>
        <v>1</v>
      </c>
    </row>
    <row r="409" spans="1:8">
      <c r="A409" s="4" t="s">
        <v>604</v>
      </c>
      <c r="B409" s="8" t="s">
        <v>34</v>
      </c>
      <c r="C409" s="16"/>
      <c r="D409" s="8"/>
      <c r="E409">
        <f t="shared" si="21"/>
        <v>1</v>
      </c>
      <c r="F409">
        <f t="shared" si="22"/>
        <v>0</v>
      </c>
      <c r="G409" t="s">
        <v>35</v>
      </c>
      <c r="H409">
        <f t="shared" si="23"/>
        <v>1</v>
      </c>
    </row>
    <row r="410" spans="1:8">
      <c r="A410" s="4" t="s">
        <v>605</v>
      </c>
      <c r="B410" s="23" t="s">
        <v>197</v>
      </c>
      <c r="C410" s="16" t="s">
        <v>606</v>
      </c>
      <c r="D410" s="8"/>
      <c r="E410">
        <f t="shared" si="21"/>
        <v>0</v>
      </c>
      <c r="F410">
        <f t="shared" si="22"/>
        <v>0</v>
      </c>
      <c r="G410" t="s">
        <v>198</v>
      </c>
      <c r="H410">
        <f t="shared" si="23"/>
        <v>0</v>
      </c>
    </row>
    <row r="411" spans="1:8">
      <c r="A411" s="4" t="s">
        <v>607</v>
      </c>
      <c r="B411" s="8" t="s">
        <v>38</v>
      </c>
      <c r="C411" s="16" t="s">
        <v>608</v>
      </c>
      <c r="D411" s="8"/>
      <c r="E411">
        <f t="shared" si="21"/>
        <v>1</v>
      </c>
      <c r="F411">
        <f t="shared" si="22"/>
        <v>0</v>
      </c>
      <c r="G411" t="s">
        <v>39</v>
      </c>
      <c r="H411">
        <f t="shared" si="23"/>
        <v>1</v>
      </c>
    </row>
    <row r="412" spans="1:8">
      <c r="A412" s="4" t="s">
        <v>609</v>
      </c>
      <c r="B412" s="8" t="s">
        <v>176</v>
      </c>
      <c r="C412" s="16"/>
      <c r="D412" s="8"/>
      <c r="E412">
        <f t="shared" si="21"/>
        <v>1</v>
      </c>
      <c r="F412">
        <f t="shared" si="22"/>
        <v>0</v>
      </c>
      <c r="G412" t="s">
        <v>68</v>
      </c>
      <c r="H412">
        <f t="shared" si="23"/>
        <v>1</v>
      </c>
    </row>
    <row r="413" spans="1:8">
      <c r="A413" s="4" t="s">
        <v>610</v>
      </c>
      <c r="B413" s="8" t="s">
        <v>9</v>
      </c>
      <c r="C413" s="16"/>
      <c r="D413" s="8"/>
      <c r="E413">
        <f t="shared" si="21"/>
        <v>1</v>
      </c>
      <c r="F413">
        <f t="shared" si="22"/>
        <v>3</v>
      </c>
      <c r="G413" t="s">
        <v>10</v>
      </c>
      <c r="H413">
        <f t="shared" si="23"/>
        <v>1</v>
      </c>
    </row>
    <row r="414" spans="1:8">
      <c r="A414" s="4" t="s">
        <v>611</v>
      </c>
      <c r="B414" s="8" t="s">
        <v>381</v>
      </c>
      <c r="C414" s="16"/>
      <c r="D414" s="8"/>
      <c r="E414">
        <f t="shared" si="21"/>
        <v>1</v>
      </c>
      <c r="F414">
        <f t="shared" si="22"/>
        <v>0</v>
      </c>
      <c r="G414" t="s">
        <v>10</v>
      </c>
      <c r="H414">
        <f t="shared" si="23"/>
        <v>1</v>
      </c>
    </row>
    <row r="415" spans="1:8">
      <c r="A415" s="4" t="s">
        <v>612</v>
      </c>
      <c r="B415" s="8" t="s">
        <v>50</v>
      </c>
      <c r="C415" s="16"/>
      <c r="D415" s="8"/>
      <c r="E415">
        <f t="shared" si="21"/>
        <v>1</v>
      </c>
      <c r="F415">
        <f t="shared" si="22"/>
        <v>0</v>
      </c>
      <c r="G415" t="s">
        <v>51</v>
      </c>
      <c r="H415">
        <f t="shared" si="23"/>
        <v>1</v>
      </c>
    </row>
    <row r="416" spans="1:8">
      <c r="A416" s="4" t="s">
        <v>613</v>
      </c>
      <c r="B416" s="8" t="s">
        <v>56</v>
      </c>
      <c r="C416" s="16"/>
      <c r="D416" s="8"/>
      <c r="E416">
        <f t="shared" si="21"/>
        <v>1</v>
      </c>
      <c r="F416">
        <f t="shared" si="22"/>
        <v>1</v>
      </c>
      <c r="G416" t="s">
        <v>53</v>
      </c>
      <c r="H416">
        <f t="shared" si="23"/>
        <v>1</v>
      </c>
    </row>
    <row r="417" spans="1:8">
      <c r="A417" s="4" t="s">
        <v>614</v>
      </c>
      <c r="B417" s="8" t="s">
        <v>56</v>
      </c>
      <c r="C417" s="16"/>
      <c r="D417" s="8"/>
      <c r="E417">
        <f t="shared" si="21"/>
        <v>1</v>
      </c>
      <c r="F417">
        <f t="shared" si="22"/>
        <v>1</v>
      </c>
      <c r="G417" t="s">
        <v>53</v>
      </c>
      <c r="H417">
        <f t="shared" si="23"/>
        <v>1</v>
      </c>
    </row>
    <row r="418" spans="1:8">
      <c r="A418" s="4" t="s">
        <v>615</v>
      </c>
      <c r="B418" s="8" t="s">
        <v>56</v>
      </c>
      <c r="C418" s="16"/>
      <c r="D418" s="8"/>
      <c r="E418">
        <f t="shared" si="21"/>
        <v>1</v>
      </c>
      <c r="F418">
        <f t="shared" si="22"/>
        <v>1</v>
      </c>
      <c r="G418" t="s">
        <v>53</v>
      </c>
      <c r="H418">
        <f t="shared" si="23"/>
        <v>1</v>
      </c>
    </row>
    <row r="419" spans="1:8">
      <c r="A419" s="4" t="s">
        <v>616</v>
      </c>
      <c r="B419" s="8" t="s">
        <v>223</v>
      </c>
      <c r="C419" s="16"/>
      <c r="D419" s="8"/>
      <c r="E419">
        <f t="shared" si="21"/>
        <v>1</v>
      </c>
      <c r="F419">
        <f t="shared" si="22"/>
        <v>0</v>
      </c>
      <c r="G419" t="s">
        <v>53</v>
      </c>
      <c r="H419">
        <f t="shared" si="23"/>
        <v>1</v>
      </c>
    </row>
    <row r="420" spans="1:8">
      <c r="A420" s="4" t="s">
        <v>617</v>
      </c>
      <c r="B420" s="8" t="s">
        <v>223</v>
      </c>
      <c r="C420" s="16"/>
      <c r="D420" s="8"/>
      <c r="E420">
        <f t="shared" si="21"/>
        <v>1</v>
      </c>
      <c r="F420">
        <f t="shared" si="22"/>
        <v>0</v>
      </c>
      <c r="G420" t="s">
        <v>53</v>
      </c>
      <c r="H420">
        <f t="shared" si="23"/>
        <v>1</v>
      </c>
    </row>
    <row r="421" spans="1:8">
      <c r="A421" s="4" t="s">
        <v>618</v>
      </c>
      <c r="B421" s="8" t="s">
        <v>56</v>
      </c>
      <c r="C421" s="16"/>
      <c r="D421" s="8"/>
      <c r="E421">
        <f t="shared" si="21"/>
        <v>1</v>
      </c>
      <c r="F421">
        <f t="shared" si="22"/>
        <v>1</v>
      </c>
      <c r="G421" t="s">
        <v>53</v>
      </c>
      <c r="H421">
        <f t="shared" si="23"/>
        <v>1</v>
      </c>
    </row>
    <row r="422" spans="1:8">
      <c r="A422" s="4" t="s">
        <v>619</v>
      </c>
      <c r="B422" s="8" t="s">
        <v>223</v>
      </c>
      <c r="C422" s="16"/>
      <c r="D422" s="8"/>
      <c r="E422">
        <f t="shared" si="21"/>
        <v>1</v>
      </c>
      <c r="F422">
        <f t="shared" si="22"/>
        <v>0</v>
      </c>
      <c r="G422" t="s">
        <v>224</v>
      </c>
      <c r="H422">
        <f t="shared" si="23"/>
        <v>0</v>
      </c>
    </row>
    <row r="423" spans="1:8">
      <c r="A423" s="4" t="s">
        <v>620</v>
      </c>
      <c r="B423" s="8" t="s">
        <v>56</v>
      </c>
      <c r="C423" s="16"/>
      <c r="D423" s="8"/>
      <c r="E423">
        <f t="shared" si="21"/>
        <v>1</v>
      </c>
      <c r="F423">
        <f t="shared" si="22"/>
        <v>1</v>
      </c>
      <c r="G423" t="s">
        <v>210</v>
      </c>
      <c r="H423">
        <f t="shared" si="23"/>
        <v>0</v>
      </c>
    </row>
    <row r="424" spans="1:8">
      <c r="A424" s="4" t="s">
        <v>621</v>
      </c>
      <c r="B424" s="8" t="s">
        <v>71</v>
      </c>
      <c r="C424" s="16"/>
      <c r="D424" s="8"/>
      <c r="E424">
        <f t="shared" si="21"/>
        <v>1</v>
      </c>
      <c r="F424">
        <f t="shared" si="22"/>
        <v>0</v>
      </c>
      <c r="G424" t="s">
        <v>72</v>
      </c>
      <c r="H424">
        <f t="shared" si="23"/>
        <v>1</v>
      </c>
    </row>
    <row r="425" spans="1:8">
      <c r="A425" s="4" t="s">
        <v>622</v>
      </c>
      <c r="B425" s="8" t="s">
        <v>381</v>
      </c>
      <c r="C425" s="16"/>
      <c r="D425" s="8"/>
      <c r="E425">
        <f t="shared" si="21"/>
        <v>1</v>
      </c>
      <c r="F425">
        <f t="shared" si="22"/>
        <v>0</v>
      </c>
      <c r="G425" t="s">
        <v>109</v>
      </c>
      <c r="H425">
        <f t="shared" si="23"/>
        <v>1</v>
      </c>
    </row>
    <row r="426" spans="1:8">
      <c r="A426" s="4" t="s">
        <v>623</v>
      </c>
      <c r="B426" s="8" t="s">
        <v>381</v>
      </c>
      <c r="C426" s="16"/>
      <c r="D426" s="8"/>
      <c r="E426">
        <f t="shared" si="21"/>
        <v>1</v>
      </c>
      <c r="F426">
        <f t="shared" si="22"/>
        <v>0</v>
      </c>
      <c r="G426" t="s">
        <v>109</v>
      </c>
      <c r="H426">
        <f t="shared" si="23"/>
        <v>1</v>
      </c>
    </row>
    <row r="427" spans="1:8">
      <c r="A427" s="4" t="s">
        <v>624</v>
      </c>
      <c r="B427" s="8" t="s">
        <v>379</v>
      </c>
      <c r="C427" s="16"/>
      <c r="D427" s="8"/>
      <c r="E427">
        <f t="shared" si="21"/>
        <v>1</v>
      </c>
      <c r="F427">
        <f t="shared" si="22"/>
        <v>0</v>
      </c>
      <c r="G427" t="s">
        <v>107</v>
      </c>
      <c r="H427">
        <f t="shared" si="23"/>
        <v>1</v>
      </c>
    </row>
    <row r="428" spans="1:8">
      <c r="A428" s="4" t="s">
        <v>625</v>
      </c>
      <c r="B428" s="8" t="s">
        <v>13</v>
      </c>
      <c r="C428" s="16"/>
      <c r="D428" s="8"/>
      <c r="E428">
        <f t="shared" si="21"/>
        <v>1</v>
      </c>
      <c r="F428">
        <f t="shared" si="22"/>
        <v>0</v>
      </c>
      <c r="G428" t="s">
        <v>14</v>
      </c>
      <c r="H428">
        <f t="shared" si="23"/>
        <v>1</v>
      </c>
    </row>
    <row r="429" spans="1:8">
      <c r="A429" s="4" t="s">
        <v>626</v>
      </c>
      <c r="B429" s="8" t="s">
        <v>76</v>
      </c>
      <c r="C429" s="16"/>
      <c r="D429" s="8"/>
      <c r="E429">
        <f t="shared" si="21"/>
        <v>1</v>
      </c>
      <c r="F429">
        <f t="shared" si="22"/>
        <v>0</v>
      </c>
      <c r="G429" t="s">
        <v>67</v>
      </c>
      <c r="H429">
        <f t="shared" si="23"/>
        <v>1</v>
      </c>
    </row>
    <row r="430" spans="1:8">
      <c r="A430" s="4" t="s">
        <v>627</v>
      </c>
      <c r="B430" s="8" t="s">
        <v>384</v>
      </c>
      <c r="C430" s="16" t="s">
        <v>628</v>
      </c>
      <c r="D430" s="8"/>
      <c r="E430">
        <f t="shared" si="21"/>
        <v>1</v>
      </c>
      <c r="F430">
        <f t="shared" si="22"/>
        <v>1</v>
      </c>
      <c r="G430" t="s">
        <v>77</v>
      </c>
      <c r="H430">
        <f t="shared" si="23"/>
        <v>1</v>
      </c>
    </row>
    <row r="431" spans="1:8">
      <c r="A431" s="4" t="s">
        <v>629</v>
      </c>
      <c r="B431" s="8" t="s">
        <v>386</v>
      </c>
      <c r="C431" s="16"/>
      <c r="D431" s="8"/>
      <c r="E431">
        <f t="shared" si="21"/>
        <v>1</v>
      </c>
      <c r="F431">
        <f t="shared" si="22"/>
        <v>0</v>
      </c>
      <c r="G431" t="s">
        <v>77</v>
      </c>
      <c r="H431">
        <f t="shared" si="23"/>
        <v>1</v>
      </c>
    </row>
    <row r="432" spans="1:8">
      <c r="A432" s="4" t="s">
        <v>630</v>
      </c>
      <c r="B432" s="8" t="s">
        <v>386</v>
      </c>
      <c r="C432" s="16"/>
      <c r="D432" s="8"/>
      <c r="E432">
        <f t="shared" si="21"/>
        <v>1</v>
      </c>
      <c r="F432">
        <f t="shared" si="22"/>
        <v>0</v>
      </c>
      <c r="G432" t="s">
        <v>77</v>
      </c>
      <c r="H432">
        <f t="shared" si="23"/>
        <v>1</v>
      </c>
    </row>
    <row r="433" spans="1:8">
      <c r="A433" s="4" t="s">
        <v>631</v>
      </c>
      <c r="B433" s="8" t="s">
        <v>386</v>
      </c>
      <c r="C433" s="16"/>
      <c r="D433" s="8"/>
      <c r="E433">
        <f t="shared" si="21"/>
        <v>1</v>
      </c>
      <c r="F433">
        <f t="shared" si="22"/>
        <v>0</v>
      </c>
      <c r="G433" t="s">
        <v>77</v>
      </c>
      <c r="H433">
        <f t="shared" si="23"/>
        <v>1</v>
      </c>
    </row>
    <row r="434" spans="1:8">
      <c r="A434" s="4" t="s">
        <v>632</v>
      </c>
      <c r="B434" s="8" t="s">
        <v>386</v>
      </c>
      <c r="C434" s="16"/>
      <c r="D434" s="8"/>
      <c r="E434">
        <f t="shared" si="21"/>
        <v>1</v>
      </c>
      <c r="F434">
        <f t="shared" si="22"/>
        <v>0</v>
      </c>
      <c r="G434" t="s">
        <v>77</v>
      </c>
      <c r="H434">
        <f t="shared" si="23"/>
        <v>1</v>
      </c>
    </row>
    <row r="435" spans="1:8">
      <c r="A435" s="4" t="s">
        <v>633</v>
      </c>
      <c r="B435" s="8" t="s">
        <v>386</v>
      </c>
      <c r="C435" s="16"/>
      <c r="D435" s="8"/>
      <c r="E435">
        <f t="shared" si="21"/>
        <v>1</v>
      </c>
      <c r="F435">
        <f t="shared" si="22"/>
        <v>0</v>
      </c>
      <c r="G435" t="s">
        <v>77</v>
      </c>
      <c r="H435">
        <f t="shared" si="23"/>
        <v>1</v>
      </c>
    </row>
    <row r="436" spans="1:8">
      <c r="A436" s="4" t="s">
        <v>634</v>
      </c>
      <c r="B436" s="8" t="s">
        <v>76</v>
      </c>
      <c r="C436" s="16" t="s">
        <v>635</v>
      </c>
      <c r="D436" s="8"/>
      <c r="E436">
        <f t="shared" si="21"/>
        <v>1</v>
      </c>
      <c r="F436">
        <f t="shared" si="22"/>
        <v>0</v>
      </c>
      <c r="G436" t="s">
        <v>67</v>
      </c>
      <c r="H436">
        <f t="shared" si="23"/>
        <v>1</v>
      </c>
    </row>
    <row r="437" spans="1:8">
      <c r="A437" s="4" t="s">
        <v>636</v>
      </c>
      <c r="B437" s="8" t="s">
        <v>89</v>
      </c>
      <c r="C437" s="16"/>
      <c r="D437" s="8"/>
      <c r="E437">
        <f t="shared" si="21"/>
        <v>1</v>
      </c>
      <c r="F437">
        <f t="shared" si="22"/>
        <v>0</v>
      </c>
      <c r="G437" t="s">
        <v>64</v>
      </c>
      <c r="H437">
        <f t="shared" si="23"/>
        <v>1</v>
      </c>
    </row>
    <row r="438" spans="1:8">
      <c r="A438" s="4" t="s">
        <v>637</v>
      </c>
      <c r="B438" s="8" t="s">
        <v>89</v>
      </c>
      <c r="C438" s="16"/>
      <c r="D438" s="8"/>
      <c r="E438">
        <f t="shared" si="21"/>
        <v>1</v>
      </c>
      <c r="F438">
        <f t="shared" si="22"/>
        <v>0</v>
      </c>
      <c r="G438" t="s">
        <v>64</v>
      </c>
      <c r="H438">
        <f t="shared" si="23"/>
        <v>1</v>
      </c>
    </row>
    <row r="439" spans="1:8">
      <c r="A439" s="4" t="s">
        <v>638</v>
      </c>
      <c r="B439" s="8" t="s">
        <v>89</v>
      </c>
      <c r="C439" s="16"/>
      <c r="D439" s="8"/>
      <c r="E439">
        <f t="shared" si="21"/>
        <v>1</v>
      </c>
      <c r="F439">
        <f t="shared" si="22"/>
        <v>0</v>
      </c>
      <c r="G439" t="s">
        <v>64</v>
      </c>
      <c r="H439">
        <f t="shared" si="23"/>
        <v>1</v>
      </c>
    </row>
    <row r="440" spans="1:8">
      <c r="A440" s="4" t="s">
        <v>639</v>
      </c>
      <c r="B440" s="8" t="s">
        <v>89</v>
      </c>
      <c r="C440" s="16"/>
      <c r="D440" s="8"/>
      <c r="E440">
        <f t="shared" si="21"/>
        <v>1</v>
      </c>
      <c r="F440">
        <f t="shared" si="22"/>
        <v>0</v>
      </c>
      <c r="G440" t="s">
        <v>64</v>
      </c>
      <c r="H440">
        <f t="shared" si="23"/>
        <v>1</v>
      </c>
    </row>
    <row r="441" spans="1:8">
      <c r="A441" s="4" t="s">
        <v>640</v>
      </c>
      <c r="B441" s="8" t="s">
        <v>89</v>
      </c>
      <c r="C441" s="16"/>
      <c r="D441" s="8"/>
      <c r="E441">
        <f t="shared" si="21"/>
        <v>1</v>
      </c>
      <c r="F441">
        <f t="shared" si="22"/>
        <v>0</v>
      </c>
      <c r="G441" t="s">
        <v>64</v>
      </c>
      <c r="H441">
        <f t="shared" si="23"/>
        <v>1</v>
      </c>
    </row>
    <row r="442" spans="1:8">
      <c r="A442" s="4" t="s">
        <v>641</v>
      </c>
      <c r="B442" s="8" t="s">
        <v>89</v>
      </c>
      <c r="C442" s="16"/>
      <c r="D442" s="8"/>
      <c r="E442">
        <f t="shared" si="21"/>
        <v>1</v>
      </c>
      <c r="F442">
        <f t="shared" si="22"/>
        <v>0</v>
      </c>
      <c r="G442" t="s">
        <v>64</v>
      </c>
      <c r="H442">
        <f t="shared" si="23"/>
        <v>1</v>
      </c>
    </row>
    <row r="443" spans="1:8">
      <c r="A443" s="4" t="s">
        <v>642</v>
      </c>
      <c r="B443" s="8" t="s">
        <v>381</v>
      </c>
      <c r="C443" s="16"/>
      <c r="D443" s="8"/>
      <c r="E443">
        <f t="shared" si="21"/>
        <v>1</v>
      </c>
      <c r="F443">
        <f t="shared" si="22"/>
        <v>0</v>
      </c>
      <c r="G443" t="s">
        <v>10</v>
      </c>
      <c r="H443">
        <f t="shared" si="23"/>
        <v>1</v>
      </c>
    </row>
    <row r="444" spans="1:8">
      <c r="A444" s="4" t="s">
        <v>643</v>
      </c>
      <c r="B444" s="8" t="s">
        <v>400</v>
      </c>
      <c r="C444" s="16"/>
      <c r="D444" s="8"/>
      <c r="E444">
        <f t="shared" si="21"/>
        <v>1</v>
      </c>
      <c r="F444">
        <f t="shared" si="22"/>
        <v>0</v>
      </c>
      <c r="G444" t="s">
        <v>401</v>
      </c>
      <c r="H444">
        <f t="shared" si="23"/>
        <v>0</v>
      </c>
    </row>
    <row r="445" spans="1:8">
      <c r="A445" s="4" t="s">
        <v>644</v>
      </c>
      <c r="B445" s="8" t="s">
        <v>403</v>
      </c>
      <c r="C445" s="16" t="s">
        <v>645</v>
      </c>
      <c r="D445" s="8"/>
      <c r="E445">
        <f t="shared" si="21"/>
        <v>0</v>
      </c>
      <c r="F445">
        <f t="shared" si="22"/>
        <v>0</v>
      </c>
      <c r="G445" t="s">
        <v>43</v>
      </c>
      <c r="H445">
        <f t="shared" si="23"/>
        <v>1</v>
      </c>
    </row>
    <row r="446" spans="1:8">
      <c r="A446" s="4" t="s">
        <v>646</v>
      </c>
      <c r="B446" s="8" t="s">
        <v>403</v>
      </c>
      <c r="C446" s="16"/>
      <c r="D446" s="8"/>
      <c r="E446">
        <f t="shared" si="21"/>
        <v>0</v>
      </c>
      <c r="F446">
        <f t="shared" si="22"/>
        <v>0</v>
      </c>
      <c r="G446" t="s">
        <v>43</v>
      </c>
      <c r="H446">
        <f t="shared" si="23"/>
        <v>1</v>
      </c>
    </row>
    <row r="447" spans="1:8">
      <c r="A447" s="4" t="s">
        <v>647</v>
      </c>
      <c r="B447" s="8" t="s">
        <v>34</v>
      </c>
      <c r="C447" s="16"/>
      <c r="D447" s="8"/>
      <c r="E447">
        <f t="shared" si="21"/>
        <v>1</v>
      </c>
      <c r="F447">
        <f t="shared" si="22"/>
        <v>0</v>
      </c>
      <c r="G447" t="s">
        <v>35</v>
      </c>
      <c r="H447">
        <f t="shared" si="23"/>
        <v>1</v>
      </c>
    </row>
    <row r="448" spans="1:8">
      <c r="A448" s="4" t="s">
        <v>648</v>
      </c>
      <c r="B448" s="23" t="s">
        <v>197</v>
      </c>
      <c r="C448" s="16" t="s">
        <v>649</v>
      </c>
      <c r="D448" s="8"/>
      <c r="E448">
        <f t="shared" si="21"/>
        <v>0</v>
      </c>
      <c r="F448">
        <f t="shared" si="22"/>
        <v>0</v>
      </c>
      <c r="G448" t="s">
        <v>650</v>
      </c>
      <c r="H448">
        <f t="shared" si="23"/>
        <v>0</v>
      </c>
    </row>
    <row r="449" spans="1:8">
      <c r="A449" s="4" t="s">
        <v>651</v>
      </c>
      <c r="B449" s="8" t="s">
        <v>38</v>
      </c>
      <c r="C449" s="16" t="s">
        <v>652</v>
      </c>
      <c r="D449" s="8"/>
      <c r="E449">
        <f t="shared" si="21"/>
        <v>1</v>
      </c>
      <c r="F449">
        <f t="shared" si="22"/>
        <v>0</v>
      </c>
      <c r="G449" t="s">
        <v>39</v>
      </c>
      <c r="H449">
        <f t="shared" si="23"/>
        <v>1</v>
      </c>
    </row>
    <row r="450" spans="1:8">
      <c r="A450" s="4" t="s">
        <v>653</v>
      </c>
      <c r="B450" s="5" t="s">
        <v>9</v>
      </c>
      <c r="C450" s="15" t="s">
        <v>654</v>
      </c>
      <c r="D450" s="8"/>
      <c r="E450">
        <f t="shared" ref="E450:E513" si="24">COUNTIF(K$2:K$65,B450)</f>
        <v>1</v>
      </c>
      <c r="F450">
        <f t="shared" ref="F450:F513" si="25">COUNTIF(O$5:O$29,B450)</f>
        <v>3</v>
      </c>
      <c r="G450" t="s">
        <v>10</v>
      </c>
      <c r="H450">
        <f t="shared" ref="H450:H513" si="26">COUNTIF(J$2:J$65,G450)</f>
        <v>1</v>
      </c>
    </row>
    <row r="451" spans="1:8">
      <c r="A451" s="4" t="s">
        <v>655</v>
      </c>
      <c r="B451" s="8" t="s">
        <v>186</v>
      </c>
      <c r="C451" s="16"/>
      <c r="D451" s="8"/>
      <c r="E451">
        <f t="shared" si="24"/>
        <v>0</v>
      </c>
      <c r="F451">
        <f t="shared" si="25"/>
        <v>0</v>
      </c>
      <c r="G451" t="s">
        <v>68</v>
      </c>
      <c r="H451">
        <f t="shared" si="26"/>
        <v>1</v>
      </c>
    </row>
    <row r="452" spans="1:8">
      <c r="A452" s="4" t="s">
        <v>656</v>
      </c>
      <c r="B452" s="8" t="s">
        <v>186</v>
      </c>
      <c r="C452" s="16"/>
      <c r="D452" s="8"/>
      <c r="E452">
        <f t="shared" si="24"/>
        <v>0</v>
      </c>
      <c r="F452">
        <f t="shared" si="25"/>
        <v>0</v>
      </c>
      <c r="G452" t="s">
        <v>68</v>
      </c>
      <c r="H452">
        <f t="shared" si="26"/>
        <v>1</v>
      </c>
    </row>
    <row r="453" spans="1:8">
      <c r="A453" s="4" t="s">
        <v>657</v>
      </c>
      <c r="B453" s="8" t="s">
        <v>179</v>
      </c>
      <c r="C453" s="16"/>
      <c r="D453" s="8"/>
      <c r="E453">
        <f t="shared" si="24"/>
        <v>1</v>
      </c>
      <c r="F453">
        <f t="shared" si="25"/>
        <v>0</v>
      </c>
      <c r="G453" t="s">
        <v>68</v>
      </c>
      <c r="H453">
        <f t="shared" si="26"/>
        <v>1</v>
      </c>
    </row>
    <row r="454" spans="1:8">
      <c r="A454" s="4" t="s">
        <v>658</v>
      </c>
      <c r="B454" s="8" t="s">
        <v>179</v>
      </c>
      <c r="C454" s="16"/>
      <c r="D454" s="8"/>
      <c r="E454">
        <f t="shared" si="24"/>
        <v>1</v>
      </c>
      <c r="F454">
        <f t="shared" si="25"/>
        <v>0</v>
      </c>
      <c r="G454" t="s">
        <v>44</v>
      </c>
      <c r="H454">
        <f t="shared" si="26"/>
        <v>1</v>
      </c>
    </row>
    <row r="455" spans="1:8">
      <c r="A455" s="4" t="s">
        <v>659</v>
      </c>
      <c r="B455" s="8" t="s">
        <v>186</v>
      </c>
      <c r="C455" s="16"/>
      <c r="D455" s="8"/>
      <c r="E455">
        <f t="shared" si="24"/>
        <v>0</v>
      </c>
      <c r="F455">
        <f t="shared" si="25"/>
        <v>0</v>
      </c>
      <c r="G455" t="s">
        <v>68</v>
      </c>
      <c r="H455">
        <f t="shared" si="26"/>
        <v>1</v>
      </c>
    </row>
    <row r="456" spans="1:8">
      <c r="A456" s="4" t="s">
        <v>660</v>
      </c>
      <c r="B456" s="8" t="s">
        <v>186</v>
      </c>
      <c r="C456" s="16"/>
      <c r="D456" s="8"/>
      <c r="E456">
        <f t="shared" si="24"/>
        <v>0</v>
      </c>
      <c r="F456">
        <f t="shared" si="25"/>
        <v>0</v>
      </c>
      <c r="G456" t="s">
        <v>68</v>
      </c>
      <c r="H456">
        <f t="shared" si="26"/>
        <v>1</v>
      </c>
    </row>
    <row r="457" spans="1:8">
      <c r="A457" s="4" t="s">
        <v>661</v>
      </c>
      <c r="B457" s="8" t="s">
        <v>176</v>
      </c>
      <c r="C457" s="16"/>
      <c r="D457" s="8"/>
      <c r="E457">
        <f t="shared" si="24"/>
        <v>1</v>
      </c>
      <c r="F457">
        <f t="shared" si="25"/>
        <v>0</v>
      </c>
      <c r="G457" t="s">
        <v>68</v>
      </c>
      <c r="H457">
        <f t="shared" si="26"/>
        <v>1</v>
      </c>
    </row>
    <row r="458" spans="1:8">
      <c r="A458" s="4" t="s">
        <v>662</v>
      </c>
      <c r="B458" s="8" t="s">
        <v>176</v>
      </c>
      <c r="C458" s="16"/>
      <c r="D458" s="8"/>
      <c r="E458">
        <f t="shared" si="24"/>
        <v>1</v>
      </c>
      <c r="F458">
        <f t="shared" si="25"/>
        <v>0</v>
      </c>
      <c r="G458" t="s">
        <v>11</v>
      </c>
      <c r="H458">
        <f t="shared" si="26"/>
        <v>1</v>
      </c>
    </row>
    <row r="459" spans="1:8">
      <c r="A459" s="4" t="s">
        <v>663</v>
      </c>
      <c r="B459" s="8" t="s">
        <v>13</v>
      </c>
      <c r="C459" s="16"/>
      <c r="D459" s="8"/>
      <c r="E459">
        <f t="shared" si="24"/>
        <v>1</v>
      </c>
      <c r="F459">
        <f t="shared" si="25"/>
        <v>0</v>
      </c>
      <c r="G459" t="s">
        <v>14</v>
      </c>
      <c r="H459">
        <f t="shared" si="26"/>
        <v>1</v>
      </c>
    </row>
    <row r="460" spans="1:8">
      <c r="A460" s="4" t="s">
        <v>664</v>
      </c>
      <c r="B460" s="8" t="s">
        <v>42</v>
      </c>
      <c r="C460" s="16"/>
      <c r="D460" s="8"/>
      <c r="E460">
        <f t="shared" si="24"/>
        <v>0</v>
      </c>
      <c r="F460">
        <f t="shared" si="25"/>
        <v>0</v>
      </c>
      <c r="G460" t="s">
        <v>43</v>
      </c>
      <c r="H460">
        <f t="shared" si="26"/>
        <v>1</v>
      </c>
    </row>
    <row r="461" spans="1:8">
      <c r="A461" s="4" t="s">
        <v>665</v>
      </c>
      <c r="B461" s="8" t="s">
        <v>227</v>
      </c>
      <c r="C461" s="16"/>
      <c r="D461" s="8"/>
      <c r="E461">
        <f t="shared" si="24"/>
        <v>1</v>
      </c>
      <c r="F461">
        <f t="shared" si="25"/>
        <v>0</v>
      </c>
      <c r="G461" t="s">
        <v>228</v>
      </c>
      <c r="H461">
        <f t="shared" si="26"/>
        <v>0</v>
      </c>
    </row>
    <row r="462" spans="1:8">
      <c r="A462" s="4" t="s">
        <v>666</v>
      </c>
      <c r="B462" s="8" t="s">
        <v>206</v>
      </c>
      <c r="C462" s="16"/>
      <c r="D462" s="8"/>
      <c r="E462">
        <f t="shared" si="24"/>
        <v>1</v>
      </c>
      <c r="F462">
        <f t="shared" si="25"/>
        <v>0</v>
      </c>
      <c r="G462" t="s">
        <v>207</v>
      </c>
      <c r="H462">
        <f t="shared" si="26"/>
        <v>0</v>
      </c>
    </row>
    <row r="463" spans="1:8">
      <c r="A463" s="4" t="s">
        <v>667</v>
      </c>
      <c r="B463" s="8" t="s">
        <v>34</v>
      </c>
      <c r="C463" s="16" t="s">
        <v>668</v>
      </c>
      <c r="D463" s="8"/>
      <c r="E463">
        <f t="shared" si="24"/>
        <v>1</v>
      </c>
      <c r="F463">
        <f t="shared" si="25"/>
        <v>0</v>
      </c>
      <c r="G463" t="s">
        <v>35</v>
      </c>
      <c r="H463">
        <f t="shared" si="26"/>
        <v>1</v>
      </c>
    </row>
    <row r="464" spans="1:8">
      <c r="A464" s="4" t="s">
        <v>669</v>
      </c>
      <c r="B464" s="5" t="s">
        <v>9</v>
      </c>
      <c r="C464" s="15" t="s">
        <v>670</v>
      </c>
      <c r="D464" s="8"/>
      <c r="E464">
        <f t="shared" si="24"/>
        <v>1</v>
      </c>
      <c r="F464">
        <f t="shared" si="25"/>
        <v>3</v>
      </c>
      <c r="G464" t="s">
        <v>10</v>
      </c>
      <c r="H464">
        <f t="shared" si="26"/>
        <v>1</v>
      </c>
    </row>
    <row r="465" spans="1:8">
      <c r="A465" s="4" t="s">
        <v>671</v>
      </c>
      <c r="B465" s="8" t="s">
        <v>179</v>
      </c>
      <c r="C465" s="16"/>
      <c r="D465" s="8"/>
      <c r="E465">
        <f t="shared" si="24"/>
        <v>1</v>
      </c>
      <c r="F465">
        <f t="shared" si="25"/>
        <v>0</v>
      </c>
      <c r="G465" t="s">
        <v>44</v>
      </c>
      <c r="H465">
        <f t="shared" si="26"/>
        <v>1</v>
      </c>
    </row>
    <row r="466" spans="1:8">
      <c r="A466" s="4" t="s">
        <v>672</v>
      </c>
      <c r="B466" s="8" t="s">
        <v>179</v>
      </c>
      <c r="C466" s="16"/>
      <c r="D466" s="8"/>
      <c r="E466">
        <f t="shared" si="24"/>
        <v>1</v>
      </c>
      <c r="F466">
        <f t="shared" si="25"/>
        <v>0</v>
      </c>
      <c r="G466" t="s">
        <v>44</v>
      </c>
      <c r="H466">
        <f t="shared" si="26"/>
        <v>1</v>
      </c>
    </row>
    <row r="467" spans="1:8">
      <c r="A467" s="4" t="s">
        <v>673</v>
      </c>
      <c r="B467" s="8" t="s">
        <v>192</v>
      </c>
      <c r="C467" s="16"/>
      <c r="D467" s="8"/>
      <c r="E467">
        <f t="shared" si="24"/>
        <v>1</v>
      </c>
      <c r="F467">
        <f t="shared" si="25"/>
        <v>0</v>
      </c>
      <c r="G467" t="s">
        <v>193</v>
      </c>
      <c r="H467">
        <f t="shared" si="26"/>
        <v>0</v>
      </c>
    </row>
    <row r="468" spans="1:8">
      <c r="A468" s="4" t="s">
        <v>674</v>
      </c>
      <c r="B468" s="8" t="s">
        <v>195</v>
      </c>
      <c r="C468" s="16"/>
      <c r="D468" s="8"/>
      <c r="E468">
        <f t="shared" si="24"/>
        <v>1</v>
      </c>
      <c r="F468">
        <f t="shared" si="25"/>
        <v>0</v>
      </c>
      <c r="G468" t="s">
        <v>48</v>
      </c>
      <c r="H468">
        <f t="shared" si="26"/>
        <v>1</v>
      </c>
    </row>
    <row r="469" spans="1:8">
      <c r="A469" s="4" t="s">
        <v>675</v>
      </c>
      <c r="B469" s="8" t="s">
        <v>195</v>
      </c>
      <c r="C469" s="16"/>
      <c r="D469" s="8"/>
      <c r="E469">
        <f t="shared" si="24"/>
        <v>1</v>
      </c>
      <c r="F469">
        <f t="shared" si="25"/>
        <v>0</v>
      </c>
      <c r="G469" t="s">
        <v>48</v>
      </c>
      <c r="H469">
        <f t="shared" si="26"/>
        <v>1</v>
      </c>
    </row>
    <row r="470" spans="1:8">
      <c r="A470" s="4" t="s">
        <v>676</v>
      </c>
      <c r="B470" s="8" t="s">
        <v>201</v>
      </c>
      <c r="C470" s="16" t="s">
        <v>677</v>
      </c>
      <c r="D470" s="8"/>
      <c r="E470">
        <f t="shared" si="24"/>
        <v>1</v>
      </c>
      <c r="F470">
        <f t="shared" si="25"/>
        <v>0</v>
      </c>
      <c r="G470" t="s">
        <v>162</v>
      </c>
      <c r="H470">
        <f t="shared" si="26"/>
        <v>1</v>
      </c>
    </row>
    <row r="471" spans="1:8">
      <c r="A471" s="4" t="s">
        <v>678</v>
      </c>
      <c r="B471" s="8" t="s">
        <v>379</v>
      </c>
      <c r="C471" s="16"/>
      <c r="D471" s="8"/>
      <c r="E471">
        <f t="shared" si="24"/>
        <v>1</v>
      </c>
      <c r="F471">
        <f t="shared" si="25"/>
        <v>0</v>
      </c>
      <c r="G471" t="s">
        <v>273</v>
      </c>
      <c r="H471">
        <f t="shared" si="26"/>
        <v>0</v>
      </c>
    </row>
    <row r="472" spans="1:8">
      <c r="A472" s="4" t="s">
        <v>679</v>
      </c>
      <c r="B472" s="23" t="s">
        <v>197</v>
      </c>
      <c r="C472" s="16" t="s">
        <v>680</v>
      </c>
      <c r="D472" s="8"/>
      <c r="E472">
        <f t="shared" si="24"/>
        <v>0</v>
      </c>
      <c r="F472">
        <f t="shared" si="25"/>
        <v>0</v>
      </c>
      <c r="G472" t="s">
        <v>198</v>
      </c>
      <c r="H472">
        <f t="shared" si="26"/>
        <v>0</v>
      </c>
    </row>
    <row r="473" spans="1:8">
      <c r="A473" s="4" t="s">
        <v>681</v>
      </c>
      <c r="B473" s="8" t="s">
        <v>38</v>
      </c>
      <c r="C473" s="16" t="s">
        <v>682</v>
      </c>
      <c r="D473" s="8"/>
      <c r="E473">
        <f t="shared" si="24"/>
        <v>1</v>
      </c>
      <c r="F473">
        <f t="shared" si="25"/>
        <v>0</v>
      </c>
      <c r="G473" t="s">
        <v>39</v>
      </c>
      <c r="H473">
        <f t="shared" si="26"/>
        <v>1</v>
      </c>
    </row>
    <row r="474" spans="1:8">
      <c r="A474" s="4" t="s">
        <v>683</v>
      </c>
      <c r="B474" s="8" t="s">
        <v>381</v>
      </c>
      <c r="C474" s="16"/>
      <c r="D474" s="8"/>
      <c r="E474">
        <f t="shared" si="24"/>
        <v>1</v>
      </c>
      <c r="F474">
        <f t="shared" si="25"/>
        <v>0</v>
      </c>
      <c r="G474" t="s">
        <v>107</v>
      </c>
      <c r="H474">
        <f t="shared" si="26"/>
        <v>1</v>
      </c>
    </row>
    <row r="475" spans="1:8">
      <c r="A475" s="4" t="s">
        <v>684</v>
      </c>
      <c r="B475" s="8" t="s">
        <v>9</v>
      </c>
      <c r="C475" s="16"/>
      <c r="D475" s="8"/>
      <c r="E475">
        <f t="shared" si="24"/>
        <v>1</v>
      </c>
      <c r="F475">
        <f t="shared" si="25"/>
        <v>3</v>
      </c>
      <c r="G475" t="s">
        <v>10</v>
      </c>
      <c r="H475">
        <f t="shared" si="26"/>
        <v>1</v>
      </c>
    </row>
    <row r="476" spans="1:8">
      <c r="A476" s="4" t="s">
        <v>685</v>
      </c>
      <c r="B476" s="8" t="s">
        <v>9</v>
      </c>
      <c r="C476" s="16"/>
      <c r="D476" s="8"/>
      <c r="E476">
        <f t="shared" si="24"/>
        <v>1</v>
      </c>
      <c r="F476">
        <f t="shared" si="25"/>
        <v>3</v>
      </c>
      <c r="G476" t="s">
        <v>10</v>
      </c>
      <c r="H476">
        <f t="shared" si="26"/>
        <v>1</v>
      </c>
    </row>
    <row r="477" spans="1:8">
      <c r="A477" s="4" t="s">
        <v>686</v>
      </c>
      <c r="B477" s="8" t="s">
        <v>172</v>
      </c>
      <c r="C477" s="16"/>
      <c r="D477" s="8"/>
      <c r="E477">
        <f t="shared" si="24"/>
        <v>1</v>
      </c>
      <c r="F477">
        <f t="shared" si="25"/>
        <v>2</v>
      </c>
      <c r="G477" t="s">
        <v>68</v>
      </c>
      <c r="H477">
        <f t="shared" si="26"/>
        <v>1</v>
      </c>
    </row>
    <row r="478" spans="1:8">
      <c r="A478" s="4" t="s">
        <v>687</v>
      </c>
      <c r="B478" s="8" t="s">
        <v>172</v>
      </c>
      <c r="C478" s="16"/>
      <c r="D478" s="8"/>
      <c r="E478">
        <f t="shared" si="24"/>
        <v>1</v>
      </c>
      <c r="F478">
        <f t="shared" si="25"/>
        <v>2</v>
      </c>
      <c r="G478" t="s">
        <v>68</v>
      </c>
      <c r="H478">
        <f t="shared" si="26"/>
        <v>1</v>
      </c>
    </row>
    <row r="479" spans="1:8">
      <c r="A479" s="4" t="s">
        <v>688</v>
      </c>
      <c r="B479" s="8" t="s">
        <v>176</v>
      </c>
      <c r="C479" s="16"/>
      <c r="D479" s="8"/>
      <c r="E479">
        <f t="shared" si="24"/>
        <v>1</v>
      </c>
      <c r="F479">
        <f t="shared" si="25"/>
        <v>0</v>
      </c>
      <c r="G479" t="s">
        <v>184</v>
      </c>
      <c r="H479">
        <f t="shared" si="26"/>
        <v>0</v>
      </c>
    </row>
    <row r="480" spans="1:8">
      <c r="A480" s="4" t="s">
        <v>689</v>
      </c>
      <c r="B480" s="8" t="s">
        <v>172</v>
      </c>
      <c r="C480" s="16"/>
      <c r="D480" s="8"/>
      <c r="E480">
        <f t="shared" si="24"/>
        <v>1</v>
      </c>
      <c r="F480">
        <f t="shared" si="25"/>
        <v>2</v>
      </c>
      <c r="G480" t="s">
        <v>68</v>
      </c>
      <c r="H480">
        <f t="shared" si="26"/>
        <v>1</v>
      </c>
    </row>
    <row r="481" spans="1:8">
      <c r="A481" s="4" t="s">
        <v>690</v>
      </c>
      <c r="B481" s="8" t="s">
        <v>176</v>
      </c>
      <c r="C481" s="16"/>
      <c r="D481" s="8"/>
      <c r="E481">
        <f t="shared" si="24"/>
        <v>1</v>
      </c>
      <c r="F481">
        <f t="shared" si="25"/>
        <v>0</v>
      </c>
      <c r="G481" t="s">
        <v>184</v>
      </c>
      <c r="H481">
        <f t="shared" si="26"/>
        <v>0</v>
      </c>
    </row>
    <row r="482" spans="1:8">
      <c r="A482" s="4" t="s">
        <v>691</v>
      </c>
      <c r="B482" s="8" t="s">
        <v>172</v>
      </c>
      <c r="C482" s="16"/>
      <c r="D482" s="8"/>
      <c r="E482">
        <f t="shared" si="24"/>
        <v>1</v>
      </c>
      <c r="F482">
        <f t="shared" si="25"/>
        <v>2</v>
      </c>
      <c r="G482" t="s">
        <v>68</v>
      </c>
      <c r="H482">
        <f t="shared" si="26"/>
        <v>1</v>
      </c>
    </row>
    <row r="483" spans="1:8">
      <c r="A483" s="4" t="s">
        <v>692</v>
      </c>
      <c r="B483" s="8" t="s">
        <v>176</v>
      </c>
      <c r="C483" s="16"/>
      <c r="D483" s="8"/>
      <c r="E483">
        <f t="shared" si="24"/>
        <v>1</v>
      </c>
      <c r="F483">
        <f t="shared" si="25"/>
        <v>0</v>
      </c>
      <c r="G483" t="s">
        <v>11</v>
      </c>
      <c r="H483">
        <f t="shared" si="26"/>
        <v>1</v>
      </c>
    </row>
    <row r="484" spans="1:8">
      <c r="A484" s="4" t="s">
        <v>693</v>
      </c>
      <c r="B484" s="8" t="s">
        <v>201</v>
      </c>
      <c r="C484" s="16"/>
      <c r="D484" s="8"/>
      <c r="E484">
        <f t="shared" si="24"/>
        <v>1</v>
      </c>
      <c r="F484">
        <f t="shared" si="25"/>
        <v>0</v>
      </c>
      <c r="G484" t="s">
        <v>162</v>
      </c>
      <c r="H484">
        <f t="shared" si="26"/>
        <v>1</v>
      </c>
    </row>
    <row r="485" spans="1:8">
      <c r="A485" s="4" t="s">
        <v>694</v>
      </c>
      <c r="B485" s="8" t="s">
        <v>13</v>
      </c>
      <c r="C485" s="16"/>
      <c r="D485" s="8"/>
      <c r="E485">
        <f t="shared" si="24"/>
        <v>1</v>
      </c>
      <c r="F485">
        <f t="shared" si="25"/>
        <v>0</v>
      </c>
      <c r="G485" t="s">
        <v>14</v>
      </c>
      <c r="H485">
        <f t="shared" si="26"/>
        <v>1</v>
      </c>
    </row>
    <row r="486" spans="1:8">
      <c r="A486" s="4" t="s">
        <v>695</v>
      </c>
      <c r="B486" s="8" t="s">
        <v>42</v>
      </c>
      <c r="C486" s="16"/>
      <c r="D486" s="8"/>
      <c r="E486">
        <f t="shared" si="24"/>
        <v>0</v>
      </c>
      <c r="F486">
        <f t="shared" si="25"/>
        <v>0</v>
      </c>
      <c r="G486" t="s">
        <v>43</v>
      </c>
      <c r="H486">
        <f t="shared" si="26"/>
        <v>1</v>
      </c>
    </row>
    <row r="487" spans="1:8">
      <c r="A487" s="4" t="s">
        <v>696</v>
      </c>
      <c r="B487" s="8" t="s">
        <v>71</v>
      </c>
      <c r="C487" s="16"/>
      <c r="D487" s="8"/>
      <c r="E487">
        <f t="shared" si="24"/>
        <v>1</v>
      </c>
      <c r="F487">
        <f t="shared" si="25"/>
        <v>0</v>
      </c>
      <c r="G487" t="s">
        <v>72</v>
      </c>
      <c r="H487">
        <f t="shared" si="26"/>
        <v>1</v>
      </c>
    </row>
    <row r="488" spans="1:8">
      <c r="A488" s="4" t="s">
        <v>697</v>
      </c>
      <c r="B488" s="8" t="s">
        <v>227</v>
      </c>
      <c r="C488" s="16"/>
      <c r="D488" s="8"/>
      <c r="E488">
        <f t="shared" si="24"/>
        <v>1</v>
      </c>
      <c r="F488">
        <f t="shared" si="25"/>
        <v>0</v>
      </c>
      <c r="G488" t="s">
        <v>228</v>
      </c>
      <c r="H488">
        <f t="shared" si="26"/>
        <v>0</v>
      </c>
    </row>
    <row r="489" spans="1:8">
      <c r="A489" s="4" t="s">
        <v>698</v>
      </c>
      <c r="B489" s="8" t="s">
        <v>206</v>
      </c>
      <c r="C489" s="16"/>
      <c r="D489" s="8"/>
      <c r="E489">
        <f t="shared" si="24"/>
        <v>1</v>
      </c>
      <c r="F489">
        <f t="shared" si="25"/>
        <v>0</v>
      </c>
      <c r="G489" t="s">
        <v>207</v>
      </c>
      <c r="H489">
        <f t="shared" si="26"/>
        <v>0</v>
      </c>
    </row>
    <row r="490" spans="1:8">
      <c r="A490" s="4" t="s">
        <v>699</v>
      </c>
      <c r="B490" s="8" t="s">
        <v>379</v>
      </c>
      <c r="C490" s="16"/>
      <c r="D490" s="8"/>
      <c r="E490">
        <f t="shared" si="24"/>
        <v>1</v>
      </c>
      <c r="F490">
        <f t="shared" si="25"/>
        <v>0</v>
      </c>
      <c r="G490" t="s">
        <v>273</v>
      </c>
      <c r="H490">
        <f t="shared" si="26"/>
        <v>0</v>
      </c>
    </row>
    <row r="491" spans="1:8">
      <c r="A491" s="4" t="s">
        <v>700</v>
      </c>
      <c r="B491" s="8" t="s">
        <v>34</v>
      </c>
      <c r="C491" s="16"/>
      <c r="D491" s="8"/>
      <c r="E491">
        <f t="shared" si="24"/>
        <v>1</v>
      </c>
      <c r="F491">
        <f t="shared" si="25"/>
        <v>0</v>
      </c>
      <c r="G491" t="s">
        <v>35</v>
      </c>
      <c r="H491">
        <f t="shared" si="26"/>
        <v>1</v>
      </c>
    </row>
    <row r="492" spans="1:8">
      <c r="A492" s="4" t="s">
        <v>701</v>
      </c>
      <c r="B492" s="8" t="s">
        <v>50</v>
      </c>
      <c r="C492" s="16"/>
      <c r="D492" s="8"/>
      <c r="E492">
        <f t="shared" si="24"/>
        <v>1</v>
      </c>
      <c r="F492">
        <f t="shared" si="25"/>
        <v>0</v>
      </c>
      <c r="G492" t="s">
        <v>51</v>
      </c>
      <c r="H492">
        <f t="shared" si="26"/>
        <v>1</v>
      </c>
    </row>
    <row r="493" spans="1:8">
      <c r="A493" s="4" t="s">
        <v>702</v>
      </c>
      <c r="B493" s="5" t="s">
        <v>9</v>
      </c>
      <c r="C493" s="15"/>
      <c r="D493" s="8"/>
      <c r="E493">
        <f t="shared" si="24"/>
        <v>1</v>
      </c>
      <c r="F493">
        <f t="shared" si="25"/>
        <v>3</v>
      </c>
      <c r="G493" t="s">
        <v>10</v>
      </c>
      <c r="H493">
        <f t="shared" si="26"/>
        <v>1</v>
      </c>
    </row>
    <row r="494" spans="1:8">
      <c r="A494" s="4" t="s">
        <v>703</v>
      </c>
      <c r="B494" s="8" t="s">
        <v>170</v>
      </c>
      <c r="C494" s="16"/>
      <c r="D494" s="8"/>
      <c r="E494">
        <f t="shared" si="24"/>
        <v>1</v>
      </c>
      <c r="F494">
        <f t="shared" si="25"/>
        <v>1</v>
      </c>
      <c r="G494" t="s">
        <v>43</v>
      </c>
      <c r="H494">
        <f t="shared" si="26"/>
        <v>1</v>
      </c>
    </row>
    <row r="495" spans="1:8">
      <c r="A495" s="4" t="s">
        <v>704</v>
      </c>
      <c r="B495" s="8" t="s">
        <v>172</v>
      </c>
      <c r="C495" s="16"/>
      <c r="D495" s="8"/>
      <c r="E495">
        <f t="shared" si="24"/>
        <v>1</v>
      </c>
      <c r="F495">
        <f t="shared" si="25"/>
        <v>2</v>
      </c>
      <c r="G495" t="s">
        <v>68</v>
      </c>
      <c r="H495">
        <f t="shared" si="26"/>
        <v>1</v>
      </c>
    </row>
    <row r="496" spans="1:8">
      <c r="A496" s="4" t="s">
        <v>705</v>
      </c>
      <c r="B496" s="8" t="s">
        <v>172</v>
      </c>
      <c r="C496" s="16"/>
      <c r="D496" s="8"/>
      <c r="E496">
        <f t="shared" si="24"/>
        <v>1</v>
      </c>
      <c r="F496">
        <f t="shared" si="25"/>
        <v>2</v>
      </c>
      <c r="G496" t="s">
        <v>68</v>
      </c>
      <c r="H496">
        <f t="shared" si="26"/>
        <v>1</v>
      </c>
    </row>
    <row r="497" spans="1:8">
      <c r="A497" s="4" t="s">
        <v>706</v>
      </c>
      <c r="B497" s="8" t="s">
        <v>179</v>
      </c>
      <c r="C497" s="16"/>
      <c r="D497" s="8"/>
      <c r="E497">
        <f t="shared" si="24"/>
        <v>1</v>
      </c>
      <c r="F497">
        <f t="shared" si="25"/>
        <v>0</v>
      </c>
      <c r="G497" t="s">
        <v>44</v>
      </c>
      <c r="H497">
        <f t="shared" si="26"/>
        <v>1</v>
      </c>
    </row>
    <row r="498" spans="1:8">
      <c r="A498" s="4" t="s">
        <v>707</v>
      </c>
      <c r="B498" s="8" t="s">
        <v>179</v>
      </c>
      <c r="C498" s="16"/>
      <c r="D498" s="8"/>
      <c r="E498">
        <f t="shared" si="24"/>
        <v>1</v>
      </c>
      <c r="F498">
        <f t="shared" si="25"/>
        <v>0</v>
      </c>
      <c r="G498" t="s">
        <v>44</v>
      </c>
      <c r="H498">
        <f t="shared" si="26"/>
        <v>1</v>
      </c>
    </row>
    <row r="499" spans="1:8">
      <c r="A499" s="4" t="s">
        <v>708</v>
      </c>
      <c r="B499" s="8" t="s">
        <v>172</v>
      </c>
      <c r="C499" s="16"/>
      <c r="D499" s="8"/>
      <c r="E499">
        <f t="shared" si="24"/>
        <v>1</v>
      </c>
      <c r="F499">
        <f t="shared" si="25"/>
        <v>2</v>
      </c>
      <c r="G499" t="s">
        <v>68</v>
      </c>
      <c r="H499">
        <f t="shared" si="26"/>
        <v>1</v>
      </c>
    </row>
    <row r="500" spans="1:8">
      <c r="A500" s="4" t="s">
        <v>709</v>
      </c>
      <c r="B500" s="8" t="s">
        <v>172</v>
      </c>
      <c r="C500" s="16"/>
      <c r="D500" s="8"/>
      <c r="E500">
        <f t="shared" si="24"/>
        <v>1</v>
      </c>
      <c r="F500">
        <f t="shared" si="25"/>
        <v>2</v>
      </c>
      <c r="G500" t="s">
        <v>68</v>
      </c>
      <c r="H500">
        <f t="shared" si="26"/>
        <v>1</v>
      </c>
    </row>
    <row r="501" spans="1:8">
      <c r="A501" s="4" t="s">
        <v>710</v>
      </c>
      <c r="B501" s="8" t="s">
        <v>170</v>
      </c>
      <c r="C501" s="16"/>
      <c r="D501" s="8"/>
      <c r="E501">
        <f t="shared" si="24"/>
        <v>1</v>
      </c>
      <c r="F501">
        <f t="shared" si="25"/>
        <v>1</v>
      </c>
      <c r="G501" t="s">
        <v>43</v>
      </c>
      <c r="H501">
        <f t="shared" si="26"/>
        <v>1</v>
      </c>
    </row>
    <row r="502" spans="1:8">
      <c r="A502" s="4" t="s">
        <v>711</v>
      </c>
      <c r="B502" s="8" t="s">
        <v>192</v>
      </c>
      <c r="C502" s="16"/>
      <c r="D502" s="8"/>
      <c r="E502">
        <f t="shared" si="24"/>
        <v>1</v>
      </c>
      <c r="F502">
        <f t="shared" si="25"/>
        <v>0</v>
      </c>
      <c r="G502" t="s">
        <v>193</v>
      </c>
      <c r="H502">
        <f t="shared" si="26"/>
        <v>0</v>
      </c>
    </row>
    <row r="503" spans="1:8">
      <c r="A503" s="4" t="s">
        <v>712</v>
      </c>
      <c r="B503" s="8" t="s">
        <v>342</v>
      </c>
      <c r="C503" s="16"/>
      <c r="D503" s="8"/>
      <c r="E503">
        <f t="shared" si="24"/>
        <v>1</v>
      </c>
      <c r="F503">
        <f t="shared" si="25"/>
        <v>0</v>
      </c>
      <c r="G503" t="s">
        <v>248</v>
      </c>
      <c r="H503">
        <f t="shared" si="26"/>
        <v>0</v>
      </c>
    </row>
    <row r="504" spans="1:8">
      <c r="A504" s="4" t="s">
        <v>713</v>
      </c>
      <c r="B504" s="8" t="s">
        <v>50</v>
      </c>
      <c r="C504" s="16"/>
      <c r="D504" s="8"/>
      <c r="E504">
        <f t="shared" si="24"/>
        <v>1</v>
      </c>
      <c r="F504">
        <f t="shared" si="25"/>
        <v>0</v>
      </c>
      <c r="G504" t="s">
        <v>51</v>
      </c>
      <c r="H504">
        <f t="shared" si="26"/>
        <v>1</v>
      </c>
    </row>
    <row r="505" spans="1:8">
      <c r="A505" s="4" t="s">
        <v>714</v>
      </c>
      <c r="B505" s="8" t="s">
        <v>50</v>
      </c>
      <c r="C505" s="16"/>
      <c r="D505" s="8"/>
      <c r="E505">
        <f t="shared" si="24"/>
        <v>1</v>
      </c>
      <c r="F505">
        <f t="shared" si="25"/>
        <v>0</v>
      </c>
      <c r="G505" t="s">
        <v>51</v>
      </c>
      <c r="H505">
        <f t="shared" si="26"/>
        <v>1</v>
      </c>
    </row>
    <row r="506" spans="1:8">
      <c r="A506" s="4" t="s">
        <v>715</v>
      </c>
      <c r="B506" s="8" t="s">
        <v>56</v>
      </c>
      <c r="C506" s="16"/>
      <c r="D506" s="8"/>
      <c r="E506">
        <f t="shared" si="24"/>
        <v>1</v>
      </c>
      <c r="F506">
        <f t="shared" si="25"/>
        <v>1</v>
      </c>
      <c r="G506" t="s">
        <v>53</v>
      </c>
      <c r="H506">
        <f t="shared" si="26"/>
        <v>1</v>
      </c>
    </row>
    <row r="507" spans="1:8">
      <c r="A507" s="4" t="s">
        <v>716</v>
      </c>
      <c r="B507" s="8" t="s">
        <v>56</v>
      </c>
      <c r="C507" s="16"/>
      <c r="D507" s="8"/>
      <c r="E507">
        <f t="shared" si="24"/>
        <v>1</v>
      </c>
      <c r="F507">
        <f t="shared" si="25"/>
        <v>1</v>
      </c>
      <c r="G507" t="s">
        <v>53</v>
      </c>
      <c r="H507">
        <f t="shared" si="26"/>
        <v>1</v>
      </c>
    </row>
    <row r="508" spans="1:8">
      <c r="A508" s="4" t="s">
        <v>717</v>
      </c>
      <c r="B508" s="8" t="s">
        <v>50</v>
      </c>
      <c r="C508" s="16"/>
      <c r="D508" s="8"/>
      <c r="E508">
        <f t="shared" si="24"/>
        <v>1</v>
      </c>
      <c r="F508">
        <f t="shared" si="25"/>
        <v>0</v>
      </c>
      <c r="G508" t="s">
        <v>51</v>
      </c>
      <c r="H508">
        <f t="shared" si="26"/>
        <v>1</v>
      </c>
    </row>
    <row r="509" spans="1:8">
      <c r="A509" s="4" t="s">
        <v>718</v>
      </c>
      <c r="B509" s="8" t="s">
        <v>50</v>
      </c>
      <c r="C509" s="16"/>
      <c r="D509" s="8"/>
      <c r="E509">
        <f t="shared" si="24"/>
        <v>1</v>
      </c>
      <c r="F509">
        <f t="shared" si="25"/>
        <v>0</v>
      </c>
      <c r="G509" t="s">
        <v>51</v>
      </c>
      <c r="H509">
        <f t="shared" si="26"/>
        <v>1</v>
      </c>
    </row>
    <row r="510" spans="1:8">
      <c r="A510" s="4" t="s">
        <v>719</v>
      </c>
      <c r="B510" s="8" t="s">
        <v>56</v>
      </c>
      <c r="C510" s="16"/>
      <c r="D510" s="8"/>
      <c r="E510">
        <f t="shared" si="24"/>
        <v>1</v>
      </c>
      <c r="F510">
        <f t="shared" si="25"/>
        <v>1</v>
      </c>
      <c r="G510" t="s">
        <v>53</v>
      </c>
      <c r="H510">
        <f t="shared" si="26"/>
        <v>1</v>
      </c>
    </row>
    <row r="511" spans="1:8">
      <c r="A511" s="4" t="s">
        <v>720</v>
      </c>
      <c r="B511" s="8" t="s">
        <v>50</v>
      </c>
      <c r="C511" s="16"/>
      <c r="D511" s="8"/>
      <c r="E511">
        <f t="shared" si="24"/>
        <v>1</v>
      </c>
      <c r="F511">
        <f t="shared" si="25"/>
        <v>0</v>
      </c>
      <c r="G511" t="s">
        <v>51</v>
      </c>
      <c r="H511">
        <f t="shared" si="26"/>
        <v>1</v>
      </c>
    </row>
    <row r="512" spans="1:8">
      <c r="A512" s="4" t="s">
        <v>721</v>
      </c>
      <c r="B512" s="8" t="s">
        <v>56</v>
      </c>
      <c r="C512" s="16"/>
      <c r="D512" s="8"/>
      <c r="E512">
        <f t="shared" si="24"/>
        <v>1</v>
      </c>
      <c r="F512">
        <f t="shared" si="25"/>
        <v>1</v>
      </c>
      <c r="G512" t="s">
        <v>210</v>
      </c>
      <c r="H512">
        <f t="shared" si="26"/>
        <v>0</v>
      </c>
    </row>
    <row r="513" spans="1:8">
      <c r="A513" s="4" t="s">
        <v>722</v>
      </c>
      <c r="B513" s="8" t="s">
        <v>50</v>
      </c>
      <c r="C513" s="16"/>
      <c r="D513" s="8"/>
      <c r="E513">
        <f t="shared" si="24"/>
        <v>1</v>
      </c>
      <c r="F513">
        <f t="shared" si="25"/>
        <v>0</v>
      </c>
      <c r="G513" t="s">
        <v>51</v>
      </c>
      <c r="H513">
        <f t="shared" si="26"/>
        <v>1</v>
      </c>
    </row>
    <row r="514" spans="1:8">
      <c r="A514" s="4" t="s">
        <v>723</v>
      </c>
      <c r="B514" s="8" t="s">
        <v>56</v>
      </c>
      <c r="C514" s="16"/>
      <c r="D514" s="8"/>
      <c r="E514">
        <f t="shared" ref="E514:E577" si="27">COUNTIF(K$2:K$65,B514)</f>
        <v>1</v>
      </c>
      <c r="F514">
        <f t="shared" ref="F514:F577" si="28">COUNTIF(O$5:O$29,B514)</f>
        <v>1</v>
      </c>
      <c r="G514" t="s">
        <v>53</v>
      </c>
      <c r="H514">
        <f t="shared" ref="H514:H577" si="29">COUNTIF(J$2:J$65,G514)</f>
        <v>1</v>
      </c>
    </row>
    <row r="515" spans="1:8">
      <c r="A515" s="4" t="s">
        <v>724</v>
      </c>
      <c r="B515" s="8" t="s">
        <v>201</v>
      </c>
      <c r="C515" s="16"/>
      <c r="D515" s="8"/>
      <c r="E515">
        <f t="shared" si="27"/>
        <v>1</v>
      </c>
      <c r="F515">
        <f t="shared" si="28"/>
        <v>0</v>
      </c>
      <c r="G515" t="s">
        <v>162</v>
      </c>
      <c r="H515">
        <f t="shared" si="29"/>
        <v>1</v>
      </c>
    </row>
    <row r="516" spans="1:8">
      <c r="A516" s="4" t="s">
        <v>725</v>
      </c>
      <c r="B516" s="8" t="s">
        <v>195</v>
      </c>
      <c r="C516" s="16"/>
      <c r="D516" s="8"/>
      <c r="E516">
        <f t="shared" si="27"/>
        <v>1</v>
      </c>
      <c r="F516">
        <f t="shared" si="28"/>
        <v>0</v>
      </c>
      <c r="G516" t="s">
        <v>48</v>
      </c>
      <c r="H516">
        <f t="shared" si="29"/>
        <v>1</v>
      </c>
    </row>
    <row r="517" spans="1:8">
      <c r="A517" s="4" t="s">
        <v>726</v>
      </c>
      <c r="B517" s="8" t="s">
        <v>195</v>
      </c>
      <c r="C517" s="16"/>
      <c r="D517" s="8"/>
      <c r="E517">
        <f t="shared" si="27"/>
        <v>1</v>
      </c>
      <c r="F517">
        <f t="shared" si="28"/>
        <v>0</v>
      </c>
      <c r="G517" t="s">
        <v>48</v>
      </c>
      <c r="H517">
        <f t="shared" si="29"/>
        <v>1</v>
      </c>
    </row>
    <row r="518" spans="1:8">
      <c r="A518" s="4" t="s">
        <v>727</v>
      </c>
      <c r="B518" s="8" t="s">
        <v>25</v>
      </c>
      <c r="C518" s="16"/>
      <c r="D518" s="8"/>
      <c r="E518">
        <f t="shared" si="27"/>
        <v>1</v>
      </c>
      <c r="F518">
        <f t="shared" si="28"/>
        <v>0</v>
      </c>
      <c r="G518" t="s">
        <v>203</v>
      </c>
      <c r="H518">
        <f t="shared" si="29"/>
        <v>0</v>
      </c>
    </row>
    <row r="519" spans="1:8">
      <c r="A519" s="4" t="s">
        <v>728</v>
      </c>
      <c r="B519" s="8" t="s">
        <v>201</v>
      </c>
      <c r="C519" s="16"/>
      <c r="D519" s="8"/>
      <c r="E519">
        <f t="shared" si="27"/>
        <v>1</v>
      </c>
      <c r="F519">
        <f t="shared" si="28"/>
        <v>0</v>
      </c>
      <c r="G519" t="s">
        <v>162</v>
      </c>
      <c r="H519">
        <f t="shared" si="29"/>
        <v>1</v>
      </c>
    </row>
    <row r="520" spans="1:8">
      <c r="A520" s="4" t="s">
        <v>729</v>
      </c>
      <c r="B520" s="8" t="s">
        <v>379</v>
      </c>
      <c r="C520" s="16"/>
      <c r="D520" s="8"/>
      <c r="E520">
        <f t="shared" si="27"/>
        <v>1</v>
      </c>
      <c r="F520">
        <f t="shared" si="28"/>
        <v>0</v>
      </c>
      <c r="G520" t="s">
        <v>107</v>
      </c>
      <c r="H520">
        <f t="shared" si="29"/>
        <v>1</v>
      </c>
    </row>
    <row r="521" spans="1:8">
      <c r="A521" s="4" t="s">
        <v>730</v>
      </c>
      <c r="B521" s="23" t="s">
        <v>197</v>
      </c>
      <c r="C521" s="16"/>
      <c r="D521" s="8"/>
      <c r="E521">
        <f t="shared" si="27"/>
        <v>0</v>
      </c>
      <c r="F521">
        <f t="shared" si="28"/>
        <v>0</v>
      </c>
      <c r="G521" t="s">
        <v>650</v>
      </c>
      <c r="H521">
        <f t="shared" si="29"/>
        <v>0</v>
      </c>
    </row>
    <row r="522" spans="1:8">
      <c r="A522" s="4" t="s">
        <v>731</v>
      </c>
      <c r="B522" s="8" t="s">
        <v>38</v>
      </c>
      <c r="C522" s="16"/>
      <c r="D522" s="8"/>
      <c r="E522">
        <f t="shared" si="27"/>
        <v>1</v>
      </c>
      <c r="F522">
        <f t="shared" si="28"/>
        <v>0</v>
      </c>
      <c r="G522" t="s">
        <v>39</v>
      </c>
      <c r="H522">
        <f t="shared" si="29"/>
        <v>1</v>
      </c>
    </row>
    <row r="523" spans="1:8">
      <c r="A523" s="4" t="s">
        <v>732</v>
      </c>
      <c r="B523" s="8" t="s">
        <v>381</v>
      </c>
      <c r="C523" s="16"/>
      <c r="D523" s="8"/>
      <c r="E523">
        <f t="shared" si="27"/>
        <v>1</v>
      </c>
      <c r="F523">
        <f t="shared" si="28"/>
        <v>0</v>
      </c>
      <c r="G523" t="s">
        <v>109</v>
      </c>
      <c r="H523">
        <f t="shared" si="29"/>
        <v>1</v>
      </c>
    </row>
    <row r="524" spans="1:8">
      <c r="A524" s="4" t="s">
        <v>733</v>
      </c>
      <c r="B524" s="8" t="s">
        <v>201</v>
      </c>
      <c r="C524" s="16" t="s">
        <v>734</v>
      </c>
      <c r="D524" s="8"/>
      <c r="E524">
        <f t="shared" si="27"/>
        <v>1</v>
      </c>
      <c r="F524">
        <f t="shared" si="28"/>
        <v>0</v>
      </c>
      <c r="G524" t="s">
        <v>162</v>
      </c>
      <c r="H524">
        <f t="shared" si="29"/>
        <v>1</v>
      </c>
    </row>
    <row r="525" spans="1:8">
      <c r="A525" s="4" t="s">
        <v>735</v>
      </c>
      <c r="B525" s="8" t="s">
        <v>192</v>
      </c>
      <c r="C525" s="16" t="s">
        <v>736</v>
      </c>
      <c r="D525" s="8"/>
      <c r="E525">
        <f t="shared" si="27"/>
        <v>1</v>
      </c>
      <c r="F525">
        <f t="shared" si="28"/>
        <v>0</v>
      </c>
      <c r="G525" t="s">
        <v>193</v>
      </c>
      <c r="H525">
        <f t="shared" si="29"/>
        <v>0</v>
      </c>
    </row>
    <row r="526" spans="1:8">
      <c r="A526" s="4" t="s">
        <v>737</v>
      </c>
      <c r="B526" s="8" t="s">
        <v>201</v>
      </c>
      <c r="C526" s="16"/>
      <c r="D526" s="8"/>
      <c r="E526">
        <f t="shared" si="27"/>
        <v>1</v>
      </c>
      <c r="F526">
        <f t="shared" si="28"/>
        <v>0</v>
      </c>
      <c r="G526" t="s">
        <v>162</v>
      </c>
      <c r="H526">
        <f t="shared" si="29"/>
        <v>1</v>
      </c>
    </row>
    <row r="527" spans="1:8">
      <c r="A527" s="4" t="s">
        <v>738</v>
      </c>
      <c r="B527" s="8" t="s">
        <v>201</v>
      </c>
      <c r="C527" s="16"/>
      <c r="D527" s="8"/>
      <c r="E527">
        <f t="shared" si="27"/>
        <v>1</v>
      </c>
      <c r="F527">
        <f t="shared" si="28"/>
        <v>0</v>
      </c>
      <c r="G527" t="s">
        <v>162</v>
      </c>
      <c r="H527">
        <f t="shared" si="29"/>
        <v>1</v>
      </c>
    </row>
    <row r="528" spans="1:8">
      <c r="A528" s="4" t="s">
        <v>739</v>
      </c>
      <c r="B528" s="8" t="s">
        <v>201</v>
      </c>
      <c r="C528" s="16"/>
      <c r="D528" s="8"/>
      <c r="E528">
        <f t="shared" si="27"/>
        <v>1</v>
      </c>
      <c r="F528">
        <f t="shared" si="28"/>
        <v>0</v>
      </c>
      <c r="G528" t="s">
        <v>162</v>
      </c>
      <c r="H528">
        <f t="shared" si="29"/>
        <v>1</v>
      </c>
    </row>
    <row r="529" spans="1:8">
      <c r="A529" s="4" t="s">
        <v>740</v>
      </c>
      <c r="B529" s="8" t="s">
        <v>13</v>
      </c>
      <c r="C529" s="16" t="s">
        <v>741</v>
      </c>
      <c r="D529" s="8"/>
      <c r="E529">
        <f t="shared" si="27"/>
        <v>1</v>
      </c>
      <c r="F529">
        <f t="shared" si="28"/>
        <v>0</v>
      </c>
      <c r="G529" t="s">
        <v>14</v>
      </c>
      <c r="H529">
        <f t="shared" si="29"/>
        <v>1</v>
      </c>
    </row>
    <row r="530" spans="1:8">
      <c r="A530" s="4" t="s">
        <v>742</v>
      </c>
      <c r="B530" s="8" t="s">
        <v>227</v>
      </c>
      <c r="C530" s="16"/>
      <c r="D530" s="8"/>
      <c r="E530">
        <f t="shared" si="27"/>
        <v>1</v>
      </c>
      <c r="F530">
        <f t="shared" si="28"/>
        <v>0</v>
      </c>
      <c r="G530" t="s">
        <v>228</v>
      </c>
      <c r="H530">
        <f t="shared" si="29"/>
        <v>0</v>
      </c>
    </row>
    <row r="531" spans="1:8">
      <c r="A531" s="4" t="s">
        <v>743</v>
      </c>
      <c r="B531" s="8" t="s">
        <v>206</v>
      </c>
      <c r="C531" s="16"/>
      <c r="D531" s="8"/>
      <c r="E531">
        <f t="shared" si="27"/>
        <v>1</v>
      </c>
      <c r="F531">
        <f t="shared" si="28"/>
        <v>0</v>
      </c>
      <c r="G531" t="s">
        <v>207</v>
      </c>
      <c r="H531">
        <f t="shared" si="29"/>
        <v>0</v>
      </c>
    </row>
    <row r="532" spans="1:8">
      <c r="A532" s="4" t="s">
        <v>744</v>
      </c>
      <c r="B532" s="8" t="s">
        <v>34</v>
      </c>
      <c r="C532" s="16" t="s">
        <v>745</v>
      </c>
      <c r="D532" s="8"/>
      <c r="E532">
        <f t="shared" si="27"/>
        <v>1</v>
      </c>
      <c r="F532">
        <f t="shared" si="28"/>
        <v>0</v>
      </c>
      <c r="G532" t="s">
        <v>35</v>
      </c>
      <c r="H532">
        <f t="shared" si="29"/>
        <v>1</v>
      </c>
    </row>
    <row r="533" spans="1:8">
      <c r="A533" s="4" t="s">
        <v>746</v>
      </c>
      <c r="B533" s="8" t="s">
        <v>9</v>
      </c>
      <c r="C533" s="16" t="s">
        <v>747</v>
      </c>
      <c r="D533" s="8"/>
      <c r="E533">
        <f t="shared" si="27"/>
        <v>1</v>
      </c>
      <c r="F533">
        <f t="shared" si="28"/>
        <v>3</v>
      </c>
      <c r="G533" t="s">
        <v>10</v>
      </c>
      <c r="H533">
        <f t="shared" si="29"/>
        <v>1</v>
      </c>
    </row>
    <row r="534" spans="1:8">
      <c r="A534" s="4" t="s">
        <v>748</v>
      </c>
      <c r="B534" s="8" t="s">
        <v>192</v>
      </c>
      <c r="C534" s="16" t="s">
        <v>749</v>
      </c>
      <c r="D534" s="8"/>
      <c r="E534">
        <f t="shared" si="27"/>
        <v>1</v>
      </c>
      <c r="F534">
        <f t="shared" si="28"/>
        <v>0</v>
      </c>
      <c r="G534" t="s">
        <v>193</v>
      </c>
      <c r="H534">
        <f t="shared" si="29"/>
        <v>0</v>
      </c>
    </row>
    <row r="535" spans="1:8">
      <c r="A535" s="4" t="s">
        <v>750</v>
      </c>
      <c r="B535" s="8" t="s">
        <v>201</v>
      </c>
      <c r="C535" s="16" t="s">
        <v>751</v>
      </c>
      <c r="D535" s="8"/>
      <c r="E535">
        <f t="shared" si="27"/>
        <v>1</v>
      </c>
      <c r="F535">
        <f t="shared" si="28"/>
        <v>0</v>
      </c>
      <c r="G535" t="s">
        <v>162</v>
      </c>
      <c r="H535">
        <f t="shared" si="29"/>
        <v>1</v>
      </c>
    </row>
    <row r="536" spans="1:8">
      <c r="A536" s="4" t="s">
        <v>752</v>
      </c>
      <c r="B536" s="8" t="s">
        <v>379</v>
      </c>
      <c r="C536" s="16" t="s">
        <v>753</v>
      </c>
      <c r="D536" s="8"/>
      <c r="E536">
        <f t="shared" si="27"/>
        <v>1</v>
      </c>
      <c r="F536">
        <f t="shared" si="28"/>
        <v>0</v>
      </c>
      <c r="G536" t="s">
        <v>107</v>
      </c>
      <c r="H536">
        <f t="shared" si="29"/>
        <v>1</v>
      </c>
    </row>
    <row r="537" spans="1:8">
      <c r="A537" s="4" t="s">
        <v>754</v>
      </c>
      <c r="B537" s="23" t="s">
        <v>197</v>
      </c>
      <c r="C537" s="16" t="s">
        <v>755</v>
      </c>
      <c r="D537" s="8"/>
      <c r="E537">
        <f t="shared" si="27"/>
        <v>0</v>
      </c>
      <c r="F537">
        <f t="shared" si="28"/>
        <v>0</v>
      </c>
      <c r="G537" t="s">
        <v>650</v>
      </c>
      <c r="H537">
        <f t="shared" si="29"/>
        <v>0</v>
      </c>
    </row>
    <row r="538" spans="1:8">
      <c r="A538" s="4" t="s">
        <v>756</v>
      </c>
      <c r="B538" s="8" t="s">
        <v>38</v>
      </c>
      <c r="C538" s="16" t="s">
        <v>757</v>
      </c>
      <c r="D538" s="8"/>
      <c r="E538">
        <f t="shared" si="27"/>
        <v>1</v>
      </c>
      <c r="F538">
        <f t="shared" si="28"/>
        <v>0</v>
      </c>
      <c r="G538" t="s">
        <v>39</v>
      </c>
      <c r="H538">
        <f t="shared" si="29"/>
        <v>1</v>
      </c>
    </row>
    <row r="539" spans="1:8">
      <c r="A539" s="4" t="s">
        <v>758</v>
      </c>
      <c r="B539" s="8" t="s">
        <v>234</v>
      </c>
      <c r="C539" s="16" t="s">
        <v>759</v>
      </c>
      <c r="D539" s="8"/>
      <c r="E539">
        <f t="shared" si="27"/>
        <v>0</v>
      </c>
      <c r="F539">
        <f t="shared" si="28"/>
        <v>0</v>
      </c>
      <c r="G539" t="s">
        <v>61</v>
      </c>
      <c r="H539">
        <f t="shared" si="29"/>
        <v>1</v>
      </c>
    </row>
    <row r="540" spans="1:8">
      <c r="A540" s="4" t="s">
        <v>760</v>
      </c>
      <c r="B540" s="8" t="s">
        <v>236</v>
      </c>
      <c r="C540" s="16" t="s">
        <v>761</v>
      </c>
      <c r="D540" s="8"/>
      <c r="E540">
        <f t="shared" si="27"/>
        <v>1</v>
      </c>
      <c r="F540">
        <f t="shared" si="28"/>
        <v>1</v>
      </c>
      <c r="G540" t="s">
        <v>94</v>
      </c>
      <c r="H540">
        <f t="shared" si="29"/>
        <v>1</v>
      </c>
    </row>
    <row r="541" spans="1:8">
      <c r="A541" s="4" t="s">
        <v>762</v>
      </c>
      <c r="B541" s="8" t="s">
        <v>238</v>
      </c>
      <c r="C541" s="16"/>
      <c r="D541" s="8"/>
      <c r="E541">
        <f t="shared" si="27"/>
        <v>1</v>
      </c>
      <c r="F541">
        <f t="shared" si="28"/>
        <v>0</v>
      </c>
      <c r="G541" t="s">
        <v>94</v>
      </c>
      <c r="H541">
        <f t="shared" si="29"/>
        <v>1</v>
      </c>
    </row>
    <row r="542" spans="1:8">
      <c r="A542" s="4" t="s">
        <v>763</v>
      </c>
      <c r="B542" s="8" t="s">
        <v>238</v>
      </c>
      <c r="C542" s="16"/>
      <c r="D542" s="8"/>
      <c r="E542">
        <f t="shared" si="27"/>
        <v>1</v>
      </c>
      <c r="F542">
        <f t="shared" si="28"/>
        <v>0</v>
      </c>
      <c r="G542" t="s">
        <v>248</v>
      </c>
      <c r="H542">
        <f t="shared" si="29"/>
        <v>0</v>
      </c>
    </row>
    <row r="543" spans="1:8">
      <c r="A543" s="4" t="s">
        <v>764</v>
      </c>
      <c r="B543" s="8" t="s">
        <v>238</v>
      </c>
      <c r="C543" s="16"/>
      <c r="D543" s="8"/>
      <c r="E543">
        <f t="shared" si="27"/>
        <v>1</v>
      </c>
      <c r="F543">
        <f t="shared" si="28"/>
        <v>0</v>
      </c>
      <c r="G543" t="s">
        <v>94</v>
      </c>
      <c r="H543">
        <f t="shared" si="29"/>
        <v>1</v>
      </c>
    </row>
    <row r="544" spans="1:8">
      <c r="A544" s="4" t="s">
        <v>765</v>
      </c>
      <c r="B544" s="8" t="s">
        <v>238</v>
      </c>
      <c r="C544" s="16"/>
      <c r="D544" s="8"/>
      <c r="E544">
        <f t="shared" si="27"/>
        <v>1</v>
      </c>
      <c r="F544">
        <f t="shared" si="28"/>
        <v>0</v>
      </c>
      <c r="G544" t="s">
        <v>94</v>
      </c>
      <c r="H544">
        <f t="shared" si="29"/>
        <v>1</v>
      </c>
    </row>
    <row r="545" spans="1:8">
      <c r="A545" s="4" t="s">
        <v>766</v>
      </c>
      <c r="B545" s="8" t="s">
        <v>238</v>
      </c>
      <c r="C545" s="16"/>
      <c r="D545" s="8"/>
      <c r="E545">
        <f t="shared" si="27"/>
        <v>1</v>
      </c>
      <c r="F545">
        <f t="shared" si="28"/>
        <v>0</v>
      </c>
      <c r="G545" t="s">
        <v>248</v>
      </c>
      <c r="H545">
        <f t="shared" si="29"/>
        <v>0</v>
      </c>
    </row>
    <row r="546" spans="1:8">
      <c r="A546" s="4" t="s">
        <v>767</v>
      </c>
      <c r="B546" s="8" t="s">
        <v>238</v>
      </c>
      <c r="C546" s="16"/>
      <c r="D546" s="8"/>
      <c r="E546">
        <f t="shared" si="27"/>
        <v>1</v>
      </c>
      <c r="F546">
        <f t="shared" si="28"/>
        <v>0</v>
      </c>
      <c r="G546" t="s">
        <v>94</v>
      </c>
      <c r="H546">
        <f t="shared" si="29"/>
        <v>1</v>
      </c>
    </row>
    <row r="547" spans="1:8">
      <c r="A547" s="4" t="s">
        <v>768</v>
      </c>
      <c r="B547" s="8" t="s">
        <v>236</v>
      </c>
      <c r="C547" s="16"/>
      <c r="D547" s="8"/>
      <c r="E547">
        <f t="shared" si="27"/>
        <v>1</v>
      </c>
      <c r="F547">
        <f t="shared" si="28"/>
        <v>1</v>
      </c>
      <c r="G547" t="s">
        <v>94</v>
      </c>
      <c r="H547">
        <f t="shared" si="29"/>
        <v>1</v>
      </c>
    </row>
    <row r="548" spans="1:8">
      <c r="A548" s="4" t="s">
        <v>769</v>
      </c>
      <c r="B548" s="8" t="s">
        <v>238</v>
      </c>
      <c r="C548" s="16"/>
      <c r="D548" s="8"/>
      <c r="E548">
        <f t="shared" si="27"/>
        <v>1</v>
      </c>
      <c r="F548">
        <f t="shared" si="28"/>
        <v>0</v>
      </c>
      <c r="G548" t="s">
        <v>94</v>
      </c>
      <c r="H548">
        <f t="shared" si="29"/>
        <v>1</v>
      </c>
    </row>
    <row r="549" spans="1:8">
      <c r="A549" s="4" t="s">
        <v>770</v>
      </c>
      <c r="B549" s="8" t="s">
        <v>238</v>
      </c>
      <c r="C549" s="16"/>
      <c r="D549" s="8"/>
      <c r="E549">
        <f t="shared" si="27"/>
        <v>1</v>
      </c>
      <c r="F549">
        <f t="shared" si="28"/>
        <v>0</v>
      </c>
      <c r="G549" t="s">
        <v>94</v>
      </c>
      <c r="H549">
        <f t="shared" si="29"/>
        <v>1</v>
      </c>
    </row>
    <row r="550" spans="1:8">
      <c r="A550" s="4" t="s">
        <v>771</v>
      </c>
      <c r="B550" s="8" t="s">
        <v>238</v>
      </c>
      <c r="C550" s="16"/>
      <c r="D550" s="8"/>
      <c r="E550">
        <f t="shared" si="27"/>
        <v>1</v>
      </c>
      <c r="F550">
        <f t="shared" si="28"/>
        <v>0</v>
      </c>
      <c r="G550" t="s">
        <v>94</v>
      </c>
      <c r="H550">
        <f t="shared" si="29"/>
        <v>1</v>
      </c>
    </row>
    <row r="551" spans="1:8">
      <c r="A551" s="4" t="s">
        <v>772</v>
      </c>
      <c r="B551" s="8" t="s">
        <v>238</v>
      </c>
      <c r="C551" s="16"/>
      <c r="D551" s="8"/>
      <c r="E551">
        <f t="shared" si="27"/>
        <v>1</v>
      </c>
      <c r="F551">
        <f t="shared" si="28"/>
        <v>0</v>
      </c>
      <c r="G551" t="s">
        <v>240</v>
      </c>
      <c r="H551">
        <f t="shared" si="29"/>
        <v>0</v>
      </c>
    </row>
    <row r="552" spans="1:8">
      <c r="A552" s="4" t="s">
        <v>773</v>
      </c>
      <c r="B552" s="8" t="s">
        <v>238</v>
      </c>
      <c r="C552" s="16"/>
      <c r="D552" s="8"/>
      <c r="E552">
        <f t="shared" si="27"/>
        <v>1</v>
      </c>
      <c r="F552">
        <f t="shared" si="28"/>
        <v>0</v>
      </c>
      <c r="G552" t="s">
        <v>240</v>
      </c>
      <c r="H552">
        <f t="shared" si="29"/>
        <v>0</v>
      </c>
    </row>
    <row r="553" spans="1:8">
      <c r="A553" s="4" t="s">
        <v>774</v>
      </c>
      <c r="B553" s="8" t="s">
        <v>238</v>
      </c>
      <c r="C553" s="16"/>
      <c r="D553" s="8"/>
      <c r="E553">
        <f t="shared" si="27"/>
        <v>1</v>
      </c>
      <c r="F553">
        <f t="shared" si="28"/>
        <v>0</v>
      </c>
      <c r="G553" t="s">
        <v>94</v>
      </c>
      <c r="H553">
        <f t="shared" si="29"/>
        <v>1</v>
      </c>
    </row>
    <row r="554" spans="1:8">
      <c r="A554" s="4" t="s">
        <v>775</v>
      </c>
      <c r="B554" s="8" t="s">
        <v>236</v>
      </c>
      <c r="C554" s="16" t="s">
        <v>776</v>
      </c>
      <c r="D554" s="8"/>
      <c r="E554">
        <f t="shared" si="27"/>
        <v>1</v>
      </c>
      <c r="F554">
        <f t="shared" si="28"/>
        <v>1</v>
      </c>
      <c r="G554" t="s">
        <v>94</v>
      </c>
      <c r="H554">
        <f t="shared" si="29"/>
        <v>1</v>
      </c>
    </row>
    <row r="555" spans="1:8">
      <c r="A555" s="4" t="s">
        <v>777</v>
      </c>
      <c r="B555" s="8" t="s">
        <v>238</v>
      </c>
      <c r="C555" s="16"/>
      <c r="D555" s="8"/>
      <c r="E555">
        <f t="shared" si="27"/>
        <v>1</v>
      </c>
      <c r="F555">
        <f t="shared" si="28"/>
        <v>0</v>
      </c>
      <c r="G555" t="s">
        <v>94</v>
      </c>
      <c r="H555">
        <f t="shared" si="29"/>
        <v>1</v>
      </c>
    </row>
    <row r="556" spans="1:8">
      <c r="A556" s="4" t="s">
        <v>778</v>
      </c>
      <c r="B556" s="8" t="s">
        <v>238</v>
      </c>
      <c r="C556" s="16"/>
      <c r="D556" s="8"/>
      <c r="E556">
        <f t="shared" si="27"/>
        <v>1</v>
      </c>
      <c r="F556">
        <f t="shared" si="28"/>
        <v>0</v>
      </c>
      <c r="G556" t="s">
        <v>240</v>
      </c>
      <c r="H556">
        <f t="shared" si="29"/>
        <v>0</v>
      </c>
    </row>
    <row r="557" spans="1:8">
      <c r="A557" s="4" t="s">
        <v>779</v>
      </c>
      <c r="B557" s="8" t="s">
        <v>238</v>
      </c>
      <c r="C557" s="16"/>
      <c r="D557" s="8"/>
      <c r="E557">
        <f t="shared" si="27"/>
        <v>1</v>
      </c>
      <c r="F557">
        <f t="shared" si="28"/>
        <v>0</v>
      </c>
      <c r="G557" t="s">
        <v>94</v>
      </c>
      <c r="H557">
        <f t="shared" si="29"/>
        <v>1</v>
      </c>
    </row>
    <row r="558" spans="1:8">
      <c r="A558" s="4" t="s">
        <v>780</v>
      </c>
      <c r="B558" s="8" t="s">
        <v>238</v>
      </c>
      <c r="C558" s="16"/>
      <c r="D558" s="8"/>
      <c r="E558">
        <f t="shared" si="27"/>
        <v>1</v>
      </c>
      <c r="F558">
        <f t="shared" si="28"/>
        <v>0</v>
      </c>
      <c r="G558" t="s">
        <v>240</v>
      </c>
      <c r="H558">
        <f t="shared" si="29"/>
        <v>0</v>
      </c>
    </row>
    <row r="559" spans="1:8">
      <c r="A559" s="4" t="s">
        <v>781</v>
      </c>
      <c r="B559" s="8" t="s">
        <v>238</v>
      </c>
      <c r="C559" s="16"/>
      <c r="D559" s="8"/>
      <c r="E559">
        <f t="shared" si="27"/>
        <v>1</v>
      </c>
      <c r="F559">
        <f t="shared" si="28"/>
        <v>0</v>
      </c>
      <c r="G559" t="s">
        <v>240</v>
      </c>
      <c r="H559">
        <f t="shared" si="29"/>
        <v>0</v>
      </c>
    </row>
    <row r="560" spans="1:8">
      <c r="A560" s="4" t="s">
        <v>782</v>
      </c>
      <c r="B560" s="8" t="s">
        <v>238</v>
      </c>
      <c r="C560" s="16"/>
      <c r="D560" s="8"/>
      <c r="E560">
        <f t="shared" si="27"/>
        <v>1</v>
      </c>
      <c r="F560">
        <f t="shared" si="28"/>
        <v>0</v>
      </c>
      <c r="G560" t="s">
        <v>240</v>
      </c>
      <c r="H560">
        <f t="shared" si="29"/>
        <v>0</v>
      </c>
    </row>
    <row r="561" spans="1:8">
      <c r="A561" s="4" t="s">
        <v>783</v>
      </c>
      <c r="B561" s="8" t="s">
        <v>236</v>
      </c>
      <c r="C561" s="16"/>
      <c r="D561" s="8"/>
      <c r="E561">
        <f t="shared" si="27"/>
        <v>1</v>
      </c>
      <c r="F561">
        <f t="shared" si="28"/>
        <v>1</v>
      </c>
      <c r="G561" t="s">
        <v>94</v>
      </c>
      <c r="H561">
        <f t="shared" si="29"/>
        <v>1</v>
      </c>
    </row>
    <row r="562" spans="1:8">
      <c r="A562" s="4" t="s">
        <v>784</v>
      </c>
      <c r="B562" s="8" t="s">
        <v>238</v>
      </c>
      <c r="C562" s="16"/>
      <c r="D562" s="8"/>
      <c r="E562">
        <f t="shared" si="27"/>
        <v>1</v>
      </c>
      <c r="F562">
        <f t="shared" si="28"/>
        <v>0</v>
      </c>
      <c r="G562" t="s">
        <v>240</v>
      </c>
      <c r="H562">
        <f t="shared" si="29"/>
        <v>0</v>
      </c>
    </row>
    <row r="563" spans="1:8">
      <c r="A563" s="4" t="s">
        <v>785</v>
      </c>
      <c r="B563" s="8" t="s">
        <v>238</v>
      </c>
      <c r="C563" s="16"/>
      <c r="D563" s="8"/>
      <c r="E563">
        <f t="shared" si="27"/>
        <v>1</v>
      </c>
      <c r="F563">
        <f t="shared" si="28"/>
        <v>0</v>
      </c>
      <c r="G563" t="s">
        <v>240</v>
      </c>
      <c r="H563">
        <f t="shared" si="29"/>
        <v>0</v>
      </c>
    </row>
    <row r="564" spans="1:8">
      <c r="A564" s="4" t="s">
        <v>786</v>
      </c>
      <c r="B564" s="8" t="s">
        <v>238</v>
      </c>
      <c r="C564" s="16"/>
      <c r="D564" s="8"/>
      <c r="E564">
        <f t="shared" si="27"/>
        <v>1</v>
      </c>
      <c r="F564">
        <f t="shared" si="28"/>
        <v>0</v>
      </c>
      <c r="G564" t="s">
        <v>94</v>
      </c>
      <c r="H564">
        <f t="shared" si="29"/>
        <v>1</v>
      </c>
    </row>
    <row r="565" spans="1:8">
      <c r="A565" s="4" t="s">
        <v>787</v>
      </c>
      <c r="B565" s="8" t="s">
        <v>238</v>
      </c>
      <c r="C565" s="16"/>
      <c r="D565" s="8"/>
      <c r="E565">
        <f t="shared" si="27"/>
        <v>1</v>
      </c>
      <c r="F565">
        <f t="shared" si="28"/>
        <v>0</v>
      </c>
      <c r="G565" t="s">
        <v>240</v>
      </c>
      <c r="H565">
        <f t="shared" si="29"/>
        <v>0</v>
      </c>
    </row>
    <row r="566" spans="1:8">
      <c r="A566" s="4" t="s">
        <v>788</v>
      </c>
      <c r="B566" s="8" t="s">
        <v>238</v>
      </c>
      <c r="C566" s="16"/>
      <c r="D566" s="8"/>
      <c r="E566">
        <f t="shared" si="27"/>
        <v>1</v>
      </c>
      <c r="F566">
        <f t="shared" si="28"/>
        <v>0</v>
      </c>
      <c r="G566" t="s">
        <v>248</v>
      </c>
      <c r="H566">
        <f t="shared" si="29"/>
        <v>0</v>
      </c>
    </row>
    <row r="567" spans="1:8">
      <c r="A567" s="4" t="s">
        <v>789</v>
      </c>
      <c r="B567" s="8" t="s">
        <v>238</v>
      </c>
      <c r="C567" s="16"/>
      <c r="D567" s="8"/>
      <c r="E567">
        <f t="shared" si="27"/>
        <v>1</v>
      </c>
      <c r="F567">
        <f t="shared" si="28"/>
        <v>0</v>
      </c>
      <c r="G567" t="s">
        <v>61</v>
      </c>
      <c r="H567">
        <f t="shared" si="29"/>
        <v>1</v>
      </c>
    </row>
    <row r="568" spans="1:8">
      <c r="A568" s="4" t="s">
        <v>790</v>
      </c>
      <c r="B568" s="8" t="s">
        <v>246</v>
      </c>
      <c r="C568" s="16"/>
      <c r="D568" s="8"/>
      <c r="E568">
        <f t="shared" si="27"/>
        <v>1</v>
      </c>
      <c r="F568">
        <f t="shared" si="28"/>
        <v>0</v>
      </c>
      <c r="G568" t="s">
        <v>43</v>
      </c>
      <c r="H568">
        <f t="shared" si="29"/>
        <v>1</v>
      </c>
    </row>
    <row r="569" spans="1:8">
      <c r="A569" s="4" t="s">
        <v>791</v>
      </c>
      <c r="B569" s="8" t="s">
        <v>246</v>
      </c>
      <c r="C569" s="16"/>
      <c r="D569" s="8"/>
      <c r="E569">
        <f t="shared" si="27"/>
        <v>1</v>
      </c>
      <c r="F569">
        <f t="shared" si="28"/>
        <v>0</v>
      </c>
      <c r="G569" t="s">
        <v>43</v>
      </c>
      <c r="H569">
        <f t="shared" si="29"/>
        <v>1</v>
      </c>
    </row>
    <row r="570" spans="1:8">
      <c r="A570" s="4" t="s">
        <v>792</v>
      </c>
      <c r="B570" s="8" t="s">
        <v>246</v>
      </c>
      <c r="C570" s="16"/>
      <c r="D570" s="8"/>
      <c r="E570">
        <f t="shared" si="27"/>
        <v>1</v>
      </c>
      <c r="F570">
        <f t="shared" si="28"/>
        <v>0</v>
      </c>
      <c r="G570" t="s">
        <v>248</v>
      </c>
      <c r="H570">
        <f t="shared" si="29"/>
        <v>0</v>
      </c>
    </row>
    <row r="571" spans="1:8">
      <c r="A571" s="4" t="s">
        <v>793</v>
      </c>
      <c r="B571" s="8" t="s">
        <v>246</v>
      </c>
      <c r="C571" s="16"/>
      <c r="D571" s="8"/>
      <c r="E571">
        <f t="shared" si="27"/>
        <v>1</v>
      </c>
      <c r="F571">
        <f t="shared" si="28"/>
        <v>0</v>
      </c>
      <c r="G571" t="s">
        <v>43</v>
      </c>
      <c r="H571">
        <f t="shared" si="29"/>
        <v>1</v>
      </c>
    </row>
    <row r="572" spans="1:8">
      <c r="A572" s="4" t="s">
        <v>794</v>
      </c>
      <c r="B572" s="8" t="s">
        <v>795</v>
      </c>
      <c r="C572" s="16" t="s">
        <v>796</v>
      </c>
      <c r="D572" s="8"/>
      <c r="E572">
        <f t="shared" si="27"/>
        <v>0</v>
      </c>
      <c r="F572">
        <f t="shared" si="28"/>
        <v>0</v>
      </c>
      <c r="G572" t="s">
        <v>248</v>
      </c>
      <c r="H572">
        <f t="shared" si="29"/>
        <v>0</v>
      </c>
    </row>
    <row r="573" spans="1:8">
      <c r="A573" s="4" t="s">
        <v>797</v>
      </c>
      <c r="B573" s="8" t="s">
        <v>246</v>
      </c>
      <c r="C573" s="16"/>
      <c r="D573" s="8"/>
      <c r="E573">
        <f t="shared" si="27"/>
        <v>1</v>
      </c>
      <c r="F573">
        <f t="shared" si="28"/>
        <v>0</v>
      </c>
      <c r="G573" t="s">
        <v>43</v>
      </c>
      <c r="H573">
        <f t="shared" si="29"/>
        <v>1</v>
      </c>
    </row>
    <row r="574" spans="1:8">
      <c r="A574" s="4" t="s">
        <v>798</v>
      </c>
      <c r="B574" s="8" t="s">
        <v>42</v>
      </c>
      <c r="C574" s="16"/>
      <c r="D574" s="8"/>
      <c r="E574">
        <f t="shared" si="27"/>
        <v>0</v>
      </c>
      <c r="F574">
        <f t="shared" si="28"/>
        <v>0</v>
      </c>
      <c r="G574" t="s">
        <v>43</v>
      </c>
      <c r="H574">
        <f t="shared" si="29"/>
        <v>1</v>
      </c>
    </row>
    <row r="575" spans="1:8">
      <c r="A575" s="4" t="s">
        <v>799</v>
      </c>
      <c r="B575" s="8" t="s">
        <v>42</v>
      </c>
      <c r="C575" s="16"/>
      <c r="D575" s="8"/>
      <c r="E575">
        <f t="shared" si="27"/>
        <v>0</v>
      </c>
      <c r="F575">
        <f t="shared" si="28"/>
        <v>0</v>
      </c>
      <c r="G575" t="s">
        <v>43</v>
      </c>
      <c r="H575">
        <f t="shared" si="29"/>
        <v>1</v>
      </c>
    </row>
    <row r="576" spans="1:8">
      <c r="A576" s="4" t="s">
        <v>800</v>
      </c>
      <c r="B576" s="8" t="s">
        <v>42</v>
      </c>
      <c r="C576" s="16"/>
      <c r="D576" s="8"/>
      <c r="E576">
        <f t="shared" si="27"/>
        <v>0</v>
      </c>
      <c r="F576">
        <f t="shared" si="28"/>
        <v>0</v>
      </c>
      <c r="G576" t="s">
        <v>43</v>
      </c>
      <c r="H576">
        <f t="shared" si="29"/>
        <v>1</v>
      </c>
    </row>
    <row r="577" spans="1:8">
      <c r="A577" s="4" t="s">
        <v>801</v>
      </c>
      <c r="B577" s="8" t="s">
        <v>25</v>
      </c>
      <c r="C577" s="16"/>
      <c r="D577" s="8"/>
      <c r="E577">
        <f t="shared" si="27"/>
        <v>1</v>
      </c>
      <c r="F577">
        <f t="shared" si="28"/>
        <v>0</v>
      </c>
      <c r="G577" t="s">
        <v>26</v>
      </c>
      <c r="H577">
        <f t="shared" si="29"/>
        <v>1</v>
      </c>
    </row>
    <row r="578" spans="1:8">
      <c r="A578" s="4" t="s">
        <v>802</v>
      </c>
      <c r="B578" s="8" t="s">
        <v>400</v>
      </c>
      <c r="C578" s="16"/>
      <c r="D578" s="8"/>
      <c r="E578">
        <f t="shared" ref="E578:E641" si="30">COUNTIF(K$2:K$65,B578)</f>
        <v>1</v>
      </c>
      <c r="F578">
        <f t="shared" ref="F578:F641" si="31">COUNTIF(O$5:O$29,B578)</f>
        <v>0</v>
      </c>
      <c r="G578" t="s">
        <v>401</v>
      </c>
      <c r="H578">
        <f t="shared" ref="H578:H641" si="32">COUNTIF(J$2:J$65,G578)</f>
        <v>0</v>
      </c>
    </row>
    <row r="579" spans="1:8">
      <c r="A579" s="4" t="s">
        <v>803</v>
      </c>
      <c r="B579" s="8" t="s">
        <v>34</v>
      </c>
      <c r="C579" s="16"/>
      <c r="D579" s="8"/>
      <c r="E579">
        <f t="shared" si="30"/>
        <v>1</v>
      </c>
      <c r="F579">
        <f t="shared" si="31"/>
        <v>0</v>
      </c>
      <c r="G579" t="s">
        <v>35</v>
      </c>
      <c r="H579">
        <f t="shared" si="32"/>
        <v>1</v>
      </c>
    </row>
    <row r="580" spans="1:8">
      <c r="A580" s="4" t="s">
        <v>804</v>
      </c>
      <c r="B580" s="8" t="s">
        <v>9</v>
      </c>
      <c r="C580" s="16"/>
      <c r="D580" s="8"/>
      <c r="E580">
        <f t="shared" si="30"/>
        <v>1</v>
      </c>
      <c r="F580">
        <f t="shared" si="31"/>
        <v>3</v>
      </c>
      <c r="G580" t="s">
        <v>10</v>
      </c>
      <c r="H580">
        <f t="shared" si="32"/>
        <v>1</v>
      </c>
    </row>
    <row r="581" spans="1:8">
      <c r="A581" s="24" t="s">
        <v>805</v>
      </c>
      <c r="B581" s="23" t="s">
        <v>806</v>
      </c>
      <c r="C581" s="23" t="s">
        <v>807</v>
      </c>
      <c r="D581" s="8"/>
      <c r="E581">
        <f t="shared" si="30"/>
        <v>0</v>
      </c>
      <c r="F581">
        <f t="shared" si="31"/>
        <v>0</v>
      </c>
      <c r="G581" t="s">
        <v>44</v>
      </c>
      <c r="H581">
        <f t="shared" si="32"/>
        <v>1</v>
      </c>
    </row>
    <row r="582" spans="1:8">
      <c r="A582" s="4" t="s">
        <v>808</v>
      </c>
      <c r="B582" s="8" t="s">
        <v>403</v>
      </c>
      <c r="C582" s="16"/>
      <c r="D582" s="8"/>
      <c r="E582">
        <f t="shared" si="30"/>
        <v>0</v>
      </c>
      <c r="F582">
        <f t="shared" si="31"/>
        <v>0</v>
      </c>
      <c r="G582" t="s">
        <v>43</v>
      </c>
      <c r="H582">
        <f t="shared" si="32"/>
        <v>1</v>
      </c>
    </row>
    <row r="583" spans="1:8">
      <c r="A583" s="4" t="s">
        <v>809</v>
      </c>
      <c r="B583" s="8" t="s">
        <v>46</v>
      </c>
      <c r="C583" s="16"/>
      <c r="D583" s="8"/>
      <c r="E583">
        <f t="shared" si="30"/>
        <v>1</v>
      </c>
      <c r="F583">
        <f t="shared" si="31"/>
        <v>0</v>
      </c>
      <c r="G583" t="s">
        <v>810</v>
      </c>
      <c r="H583">
        <f t="shared" si="32"/>
        <v>0</v>
      </c>
    </row>
    <row r="584" spans="1:8">
      <c r="A584" s="4" t="s">
        <v>811</v>
      </c>
      <c r="B584" s="8" t="s">
        <v>195</v>
      </c>
      <c r="C584" s="16"/>
      <c r="D584" s="8"/>
      <c r="E584">
        <f t="shared" si="30"/>
        <v>1</v>
      </c>
      <c r="F584">
        <f t="shared" si="31"/>
        <v>0</v>
      </c>
      <c r="G584" t="s">
        <v>48</v>
      </c>
      <c r="H584">
        <f t="shared" si="32"/>
        <v>1</v>
      </c>
    </row>
    <row r="585" spans="1:8">
      <c r="A585" s="4" t="s">
        <v>812</v>
      </c>
      <c r="B585" s="23" t="s">
        <v>813</v>
      </c>
      <c r="C585" s="16" t="s">
        <v>814</v>
      </c>
      <c r="D585" s="8"/>
      <c r="E585">
        <f t="shared" si="30"/>
        <v>0</v>
      </c>
      <c r="F585">
        <f t="shared" si="31"/>
        <v>0</v>
      </c>
      <c r="G585" t="s">
        <v>44</v>
      </c>
      <c r="H585">
        <f t="shared" si="32"/>
        <v>1</v>
      </c>
    </row>
    <row r="586" spans="1:8">
      <c r="A586" s="4" t="s">
        <v>815</v>
      </c>
      <c r="B586" s="8" t="s">
        <v>816</v>
      </c>
      <c r="C586" s="16"/>
      <c r="D586" s="8"/>
      <c r="E586">
        <f t="shared" si="30"/>
        <v>1</v>
      </c>
      <c r="F586">
        <f t="shared" si="31"/>
        <v>0</v>
      </c>
      <c r="G586" t="s">
        <v>44</v>
      </c>
      <c r="H586">
        <f t="shared" si="32"/>
        <v>1</v>
      </c>
    </row>
    <row r="587" spans="1:8">
      <c r="A587" s="4" t="s">
        <v>817</v>
      </c>
      <c r="B587" s="8" t="s">
        <v>38</v>
      </c>
      <c r="C587" s="16"/>
      <c r="D587" s="8"/>
      <c r="E587">
        <f t="shared" si="30"/>
        <v>1</v>
      </c>
      <c r="F587">
        <f t="shared" si="31"/>
        <v>0</v>
      </c>
      <c r="G587" t="s">
        <v>39</v>
      </c>
      <c r="H587">
        <f t="shared" si="32"/>
        <v>1</v>
      </c>
    </row>
    <row r="588" spans="1:8">
      <c r="A588" s="4" t="s">
        <v>818</v>
      </c>
      <c r="B588" s="8" t="s">
        <v>13</v>
      </c>
      <c r="C588" s="16"/>
      <c r="D588" s="8"/>
      <c r="E588">
        <f t="shared" si="30"/>
        <v>1</v>
      </c>
      <c r="F588">
        <f t="shared" si="31"/>
        <v>0</v>
      </c>
      <c r="G588" t="s">
        <v>14</v>
      </c>
      <c r="H588">
        <f t="shared" si="32"/>
        <v>1</v>
      </c>
    </row>
    <row r="589" spans="1:8">
      <c r="A589" s="4" t="s">
        <v>819</v>
      </c>
      <c r="B589" s="8" t="s">
        <v>206</v>
      </c>
      <c r="C589" s="16"/>
      <c r="D589" s="8"/>
      <c r="E589">
        <f t="shared" si="30"/>
        <v>1</v>
      </c>
      <c r="F589">
        <f t="shared" si="31"/>
        <v>0</v>
      </c>
      <c r="G589" t="s">
        <v>207</v>
      </c>
      <c r="H589">
        <f t="shared" si="32"/>
        <v>0</v>
      </c>
    </row>
    <row r="590" spans="1:8">
      <c r="A590" s="4" t="s">
        <v>820</v>
      </c>
      <c r="B590" s="8" t="s">
        <v>9</v>
      </c>
      <c r="C590" s="16"/>
      <c r="D590" s="8"/>
      <c r="E590">
        <f t="shared" si="30"/>
        <v>1</v>
      </c>
      <c r="F590">
        <f t="shared" si="31"/>
        <v>3</v>
      </c>
      <c r="G590" t="s">
        <v>10</v>
      </c>
      <c r="H590">
        <f t="shared" si="32"/>
        <v>1</v>
      </c>
    </row>
    <row r="591" spans="1:8">
      <c r="A591" s="4" t="s">
        <v>821</v>
      </c>
      <c r="B591" s="8" t="s">
        <v>192</v>
      </c>
      <c r="C591" s="16"/>
      <c r="D591" s="8"/>
      <c r="E591">
        <f t="shared" si="30"/>
        <v>1</v>
      </c>
      <c r="F591">
        <f t="shared" si="31"/>
        <v>0</v>
      </c>
      <c r="G591" t="s">
        <v>193</v>
      </c>
      <c r="H591">
        <f t="shared" si="32"/>
        <v>0</v>
      </c>
    </row>
    <row r="592" spans="1:8">
      <c r="A592" s="4" t="s">
        <v>822</v>
      </c>
      <c r="B592" s="8" t="s">
        <v>201</v>
      </c>
      <c r="C592" s="16"/>
      <c r="D592" s="8"/>
      <c r="E592">
        <f t="shared" si="30"/>
        <v>1</v>
      </c>
      <c r="F592">
        <f t="shared" si="31"/>
        <v>0</v>
      </c>
      <c r="G592" t="s">
        <v>162</v>
      </c>
      <c r="H592">
        <f t="shared" si="32"/>
        <v>1</v>
      </c>
    </row>
    <row r="593" spans="1:8">
      <c r="A593" s="4" t="s">
        <v>823</v>
      </c>
      <c r="B593" s="23" t="s">
        <v>197</v>
      </c>
      <c r="C593" s="16"/>
      <c r="D593" s="8"/>
      <c r="E593">
        <f t="shared" si="30"/>
        <v>0</v>
      </c>
      <c r="F593">
        <f t="shared" si="31"/>
        <v>0</v>
      </c>
      <c r="G593" t="s">
        <v>198</v>
      </c>
      <c r="H593">
        <f t="shared" si="32"/>
        <v>0</v>
      </c>
    </row>
    <row r="594" spans="1:8">
      <c r="A594" s="4" t="s">
        <v>824</v>
      </c>
      <c r="B594" s="8" t="s">
        <v>38</v>
      </c>
      <c r="C594" s="16"/>
      <c r="D594" s="8"/>
      <c r="E594">
        <f t="shared" si="30"/>
        <v>1</v>
      </c>
      <c r="F594">
        <f t="shared" si="31"/>
        <v>0</v>
      </c>
      <c r="G594" t="s">
        <v>39</v>
      </c>
      <c r="H594">
        <f t="shared" si="32"/>
        <v>1</v>
      </c>
    </row>
    <row r="595" spans="1:8">
      <c r="A595" s="4" t="s">
        <v>825</v>
      </c>
      <c r="B595" s="8" t="s">
        <v>195</v>
      </c>
      <c r="C595" s="16"/>
      <c r="D595" s="8"/>
      <c r="E595">
        <f t="shared" si="30"/>
        <v>1</v>
      </c>
      <c r="F595">
        <f t="shared" si="31"/>
        <v>0</v>
      </c>
      <c r="G595" t="s">
        <v>48</v>
      </c>
      <c r="H595">
        <f t="shared" si="32"/>
        <v>1</v>
      </c>
    </row>
    <row r="596" spans="1:8">
      <c r="A596" s="4" t="s">
        <v>826</v>
      </c>
      <c r="B596" s="8" t="s">
        <v>34</v>
      </c>
      <c r="C596" s="16"/>
      <c r="D596" s="8"/>
      <c r="E596">
        <f t="shared" si="30"/>
        <v>1</v>
      </c>
      <c r="F596">
        <f t="shared" si="31"/>
        <v>0</v>
      </c>
      <c r="G596" t="s">
        <v>35</v>
      </c>
      <c r="H596">
        <f t="shared" si="32"/>
        <v>1</v>
      </c>
    </row>
    <row r="597" spans="1:8">
      <c r="A597" s="4" t="s">
        <v>827</v>
      </c>
      <c r="B597" s="8" t="s">
        <v>527</v>
      </c>
      <c r="C597" s="16"/>
      <c r="D597" s="8"/>
      <c r="E597">
        <f t="shared" si="30"/>
        <v>0</v>
      </c>
      <c r="F597">
        <f t="shared" si="31"/>
        <v>0</v>
      </c>
      <c r="G597" t="s">
        <v>61</v>
      </c>
      <c r="H597">
        <f t="shared" si="32"/>
        <v>1</v>
      </c>
    </row>
    <row r="598" spans="1:8">
      <c r="A598" s="4" t="s">
        <v>828</v>
      </c>
      <c r="B598" s="8" t="s">
        <v>246</v>
      </c>
      <c r="C598" s="16"/>
      <c r="D598" s="8"/>
      <c r="E598">
        <f t="shared" si="30"/>
        <v>1</v>
      </c>
      <c r="F598">
        <f t="shared" si="31"/>
        <v>0</v>
      </c>
      <c r="G598" t="s">
        <v>829</v>
      </c>
      <c r="H598">
        <f t="shared" si="32"/>
        <v>0</v>
      </c>
    </row>
    <row r="599" spans="1:8">
      <c r="A599" s="4" t="s">
        <v>830</v>
      </c>
      <c r="B599" s="8" t="s">
        <v>403</v>
      </c>
      <c r="C599" s="16"/>
      <c r="D599" s="8"/>
      <c r="E599">
        <f t="shared" si="30"/>
        <v>0</v>
      </c>
      <c r="F599">
        <f t="shared" si="31"/>
        <v>0</v>
      </c>
      <c r="G599" t="s">
        <v>335</v>
      </c>
      <c r="H599">
        <f t="shared" si="32"/>
        <v>0</v>
      </c>
    </row>
    <row r="600" spans="1:8">
      <c r="A600" s="4" t="s">
        <v>831</v>
      </c>
      <c r="B600" s="8" t="s">
        <v>246</v>
      </c>
      <c r="C600" s="16"/>
      <c r="D600" s="8"/>
      <c r="E600">
        <f t="shared" si="30"/>
        <v>1</v>
      </c>
      <c r="F600">
        <f t="shared" si="31"/>
        <v>0</v>
      </c>
      <c r="G600" t="s">
        <v>547</v>
      </c>
      <c r="H600">
        <f t="shared" si="32"/>
        <v>0</v>
      </c>
    </row>
    <row r="601" spans="1:8">
      <c r="A601" s="4" t="s">
        <v>832</v>
      </c>
      <c r="B601" s="8" t="s">
        <v>416</v>
      </c>
      <c r="C601" s="16"/>
      <c r="D601" s="8"/>
      <c r="E601">
        <f t="shared" si="30"/>
        <v>1</v>
      </c>
      <c r="F601">
        <f t="shared" si="31"/>
        <v>1</v>
      </c>
      <c r="G601" t="s">
        <v>31</v>
      </c>
      <c r="H601">
        <f t="shared" si="32"/>
        <v>1</v>
      </c>
    </row>
    <row r="602" spans="1:8">
      <c r="A602" s="4" t="s">
        <v>833</v>
      </c>
      <c r="B602" s="8" t="s">
        <v>418</v>
      </c>
      <c r="C602" s="16"/>
      <c r="D602" s="8"/>
      <c r="E602">
        <f t="shared" si="30"/>
        <v>1</v>
      </c>
      <c r="F602">
        <f t="shared" si="31"/>
        <v>0</v>
      </c>
      <c r="G602" t="s">
        <v>31</v>
      </c>
      <c r="H602">
        <f t="shared" si="32"/>
        <v>1</v>
      </c>
    </row>
    <row r="603" spans="1:8">
      <c r="A603" s="4" t="s">
        <v>834</v>
      </c>
      <c r="B603" s="8" t="s">
        <v>418</v>
      </c>
      <c r="C603" s="16"/>
      <c r="D603" s="8"/>
      <c r="E603">
        <f t="shared" si="30"/>
        <v>1</v>
      </c>
      <c r="F603">
        <f t="shared" si="31"/>
        <v>0</v>
      </c>
      <c r="G603" t="s">
        <v>31</v>
      </c>
      <c r="H603">
        <f t="shared" si="32"/>
        <v>1</v>
      </c>
    </row>
    <row r="604" spans="1:8">
      <c r="A604" s="4" t="s">
        <v>835</v>
      </c>
      <c r="B604" s="8" t="s">
        <v>423</v>
      </c>
      <c r="C604" s="16"/>
      <c r="D604" s="8"/>
      <c r="E604">
        <f t="shared" si="30"/>
        <v>1</v>
      </c>
      <c r="F604">
        <f t="shared" si="31"/>
        <v>0</v>
      </c>
      <c r="G604" t="s">
        <v>118</v>
      </c>
      <c r="H604">
        <f t="shared" si="32"/>
        <v>1</v>
      </c>
    </row>
    <row r="605" spans="1:8">
      <c r="A605" s="4" t="s">
        <v>836</v>
      </c>
      <c r="B605" s="8" t="s">
        <v>423</v>
      </c>
      <c r="C605" s="16"/>
      <c r="D605" s="8"/>
      <c r="E605">
        <f t="shared" si="30"/>
        <v>1</v>
      </c>
      <c r="F605">
        <f t="shared" si="31"/>
        <v>0</v>
      </c>
      <c r="G605" t="s">
        <v>419</v>
      </c>
      <c r="H605">
        <f t="shared" si="32"/>
        <v>0</v>
      </c>
    </row>
    <row r="606" spans="1:8">
      <c r="A606" s="4" t="s">
        <v>837</v>
      </c>
      <c r="B606" s="8" t="s">
        <v>418</v>
      </c>
      <c r="C606" s="16"/>
      <c r="D606" s="8"/>
      <c r="E606">
        <f t="shared" si="30"/>
        <v>1</v>
      </c>
      <c r="F606">
        <f t="shared" si="31"/>
        <v>0</v>
      </c>
      <c r="G606" t="s">
        <v>419</v>
      </c>
      <c r="H606">
        <f t="shared" si="32"/>
        <v>0</v>
      </c>
    </row>
    <row r="607" spans="1:8">
      <c r="A607" s="4" t="s">
        <v>838</v>
      </c>
      <c r="B607" s="8" t="s">
        <v>416</v>
      </c>
      <c r="C607" s="16"/>
      <c r="D607" s="8"/>
      <c r="E607">
        <f t="shared" si="30"/>
        <v>1</v>
      </c>
      <c r="F607">
        <f t="shared" si="31"/>
        <v>1</v>
      </c>
      <c r="G607" t="s">
        <v>31</v>
      </c>
      <c r="H607">
        <f t="shared" si="32"/>
        <v>1</v>
      </c>
    </row>
    <row r="608" spans="1:8">
      <c r="A608" s="4" t="s">
        <v>839</v>
      </c>
      <c r="B608" s="8" t="s">
        <v>418</v>
      </c>
      <c r="C608" s="16"/>
      <c r="D608" s="8"/>
      <c r="E608">
        <f t="shared" si="30"/>
        <v>1</v>
      </c>
      <c r="F608">
        <f t="shared" si="31"/>
        <v>0</v>
      </c>
      <c r="G608" t="s">
        <v>419</v>
      </c>
      <c r="H608">
        <f t="shared" si="32"/>
        <v>0</v>
      </c>
    </row>
    <row r="609" spans="1:8">
      <c r="A609" s="4" t="s">
        <v>840</v>
      </c>
      <c r="B609" s="8" t="s">
        <v>418</v>
      </c>
      <c r="C609" s="16"/>
      <c r="D609" s="8"/>
      <c r="E609">
        <f t="shared" si="30"/>
        <v>1</v>
      </c>
      <c r="F609">
        <f t="shared" si="31"/>
        <v>0</v>
      </c>
      <c r="G609" t="s">
        <v>419</v>
      </c>
      <c r="H609">
        <f t="shared" si="32"/>
        <v>0</v>
      </c>
    </row>
    <row r="610" spans="1:8">
      <c r="A610" s="4" t="s">
        <v>841</v>
      </c>
      <c r="B610" s="8" t="s">
        <v>423</v>
      </c>
      <c r="C610" s="16"/>
      <c r="D610" s="8"/>
      <c r="E610">
        <f t="shared" si="30"/>
        <v>1</v>
      </c>
      <c r="F610">
        <f t="shared" si="31"/>
        <v>0</v>
      </c>
      <c r="G610" t="s">
        <v>64</v>
      </c>
      <c r="H610">
        <f t="shared" si="32"/>
        <v>1</v>
      </c>
    </row>
    <row r="611" spans="1:8">
      <c r="A611" s="4" t="s">
        <v>842</v>
      </c>
      <c r="B611" s="8" t="s">
        <v>423</v>
      </c>
      <c r="C611" s="16"/>
      <c r="D611" s="8"/>
      <c r="E611">
        <f t="shared" si="30"/>
        <v>1</v>
      </c>
      <c r="F611">
        <f t="shared" si="31"/>
        <v>0</v>
      </c>
      <c r="G611" t="s">
        <v>148</v>
      </c>
      <c r="H611">
        <f t="shared" si="32"/>
        <v>1</v>
      </c>
    </row>
    <row r="612" spans="1:8">
      <c r="A612" s="4" t="s">
        <v>843</v>
      </c>
      <c r="B612" s="8" t="s">
        <v>418</v>
      </c>
      <c r="C612" s="16"/>
      <c r="D612" s="8"/>
      <c r="E612">
        <f t="shared" si="30"/>
        <v>1</v>
      </c>
      <c r="F612">
        <f t="shared" si="31"/>
        <v>0</v>
      </c>
      <c r="G612" t="s">
        <v>31</v>
      </c>
      <c r="H612">
        <f t="shared" si="32"/>
        <v>1</v>
      </c>
    </row>
    <row r="613" spans="1:8">
      <c r="A613" s="4" t="s">
        <v>844</v>
      </c>
      <c r="B613" s="8" t="s">
        <v>416</v>
      </c>
      <c r="C613" s="16"/>
      <c r="D613" s="8"/>
      <c r="E613">
        <f t="shared" si="30"/>
        <v>1</v>
      </c>
      <c r="F613">
        <f t="shared" si="31"/>
        <v>1</v>
      </c>
      <c r="G613" t="s">
        <v>31</v>
      </c>
      <c r="H613">
        <f t="shared" si="32"/>
        <v>1</v>
      </c>
    </row>
    <row r="614" spans="1:8">
      <c r="A614" s="4" t="s">
        <v>845</v>
      </c>
      <c r="B614" s="8" t="s">
        <v>418</v>
      </c>
      <c r="C614" s="16"/>
      <c r="D614" s="8"/>
      <c r="E614">
        <f t="shared" si="30"/>
        <v>1</v>
      </c>
      <c r="F614">
        <f t="shared" si="31"/>
        <v>0</v>
      </c>
      <c r="G614" t="s">
        <v>335</v>
      </c>
      <c r="H614">
        <f t="shared" si="32"/>
        <v>0</v>
      </c>
    </row>
    <row r="615" spans="1:8">
      <c r="A615" s="4" t="s">
        <v>846</v>
      </c>
      <c r="B615" s="8" t="s">
        <v>418</v>
      </c>
      <c r="C615" s="16"/>
      <c r="D615" s="8"/>
      <c r="E615">
        <f t="shared" si="30"/>
        <v>1</v>
      </c>
      <c r="F615">
        <f t="shared" si="31"/>
        <v>0</v>
      </c>
      <c r="G615" t="s">
        <v>31</v>
      </c>
      <c r="H615">
        <f t="shared" si="32"/>
        <v>1</v>
      </c>
    </row>
    <row r="616" spans="1:8">
      <c r="A616" s="4" t="s">
        <v>847</v>
      </c>
      <c r="B616" s="8" t="s">
        <v>423</v>
      </c>
      <c r="C616" s="16"/>
      <c r="D616" s="8"/>
      <c r="E616">
        <f t="shared" si="30"/>
        <v>1</v>
      </c>
      <c r="F616">
        <f t="shared" si="31"/>
        <v>0</v>
      </c>
      <c r="G616" t="s">
        <v>419</v>
      </c>
      <c r="H616">
        <f t="shared" si="32"/>
        <v>0</v>
      </c>
    </row>
    <row r="617" spans="1:8">
      <c r="A617" s="4" t="s">
        <v>848</v>
      </c>
      <c r="B617" s="8" t="s">
        <v>418</v>
      </c>
      <c r="C617" s="16"/>
      <c r="D617" s="8"/>
      <c r="E617">
        <f t="shared" si="30"/>
        <v>1</v>
      </c>
      <c r="F617">
        <f t="shared" si="31"/>
        <v>0</v>
      </c>
      <c r="G617" t="s">
        <v>118</v>
      </c>
      <c r="H617">
        <f t="shared" si="32"/>
        <v>1</v>
      </c>
    </row>
    <row r="618" spans="1:8">
      <c r="A618" s="4" t="s">
        <v>849</v>
      </c>
      <c r="B618" s="8" t="s">
        <v>423</v>
      </c>
      <c r="C618" s="16"/>
      <c r="D618" s="8"/>
      <c r="E618">
        <f t="shared" si="30"/>
        <v>1</v>
      </c>
      <c r="F618">
        <f t="shared" si="31"/>
        <v>0</v>
      </c>
      <c r="G618" t="s">
        <v>148</v>
      </c>
      <c r="H618">
        <f t="shared" si="32"/>
        <v>1</v>
      </c>
    </row>
    <row r="619" spans="1:8">
      <c r="A619" s="4" t="s">
        <v>850</v>
      </c>
      <c r="B619" s="8" t="s">
        <v>851</v>
      </c>
      <c r="C619" s="16"/>
      <c r="D619" s="8"/>
      <c r="E619">
        <f t="shared" si="30"/>
        <v>0</v>
      </c>
      <c r="F619">
        <f t="shared" si="31"/>
        <v>0</v>
      </c>
      <c r="G619" t="s">
        <v>547</v>
      </c>
      <c r="H619">
        <f t="shared" si="32"/>
        <v>0</v>
      </c>
    </row>
    <row r="620" spans="1:8">
      <c r="A620" s="4" t="s">
        <v>852</v>
      </c>
      <c r="B620" s="8" t="s">
        <v>416</v>
      </c>
      <c r="C620" s="16"/>
      <c r="D620" s="8"/>
      <c r="E620">
        <f t="shared" si="30"/>
        <v>1</v>
      </c>
      <c r="F620">
        <f t="shared" si="31"/>
        <v>1</v>
      </c>
      <c r="G620" t="s">
        <v>53</v>
      </c>
      <c r="H620">
        <f t="shared" si="32"/>
        <v>1</v>
      </c>
    </row>
    <row r="621" spans="1:8">
      <c r="A621" s="4" t="s">
        <v>853</v>
      </c>
      <c r="B621" s="8" t="s">
        <v>418</v>
      </c>
      <c r="C621" s="16"/>
      <c r="D621" s="8"/>
      <c r="E621">
        <f t="shared" si="30"/>
        <v>1</v>
      </c>
      <c r="F621">
        <f t="shared" si="31"/>
        <v>0</v>
      </c>
      <c r="G621" t="s">
        <v>43</v>
      </c>
      <c r="H621">
        <f t="shared" si="32"/>
        <v>1</v>
      </c>
    </row>
    <row r="622" spans="1:8">
      <c r="A622" s="4" t="s">
        <v>854</v>
      </c>
      <c r="B622" s="8" t="s">
        <v>418</v>
      </c>
      <c r="C622" s="16"/>
      <c r="D622" s="8"/>
      <c r="E622">
        <f t="shared" si="30"/>
        <v>1</v>
      </c>
      <c r="F622">
        <f t="shared" si="31"/>
        <v>0</v>
      </c>
      <c r="G622" t="s">
        <v>419</v>
      </c>
      <c r="H622">
        <f t="shared" si="32"/>
        <v>0</v>
      </c>
    </row>
    <row r="623" spans="1:8">
      <c r="A623" s="4" t="s">
        <v>855</v>
      </c>
      <c r="B623" s="8" t="s">
        <v>423</v>
      </c>
      <c r="C623" s="16"/>
      <c r="D623" s="8"/>
      <c r="E623">
        <f t="shared" si="30"/>
        <v>1</v>
      </c>
      <c r="F623">
        <f t="shared" si="31"/>
        <v>0</v>
      </c>
      <c r="G623" t="s">
        <v>856</v>
      </c>
      <c r="H623">
        <f t="shared" si="32"/>
        <v>0</v>
      </c>
    </row>
    <row r="624" spans="1:8">
      <c r="A624" s="4" t="s">
        <v>857</v>
      </c>
      <c r="B624" s="8" t="s">
        <v>423</v>
      </c>
      <c r="C624" s="16"/>
      <c r="D624" s="8"/>
      <c r="E624">
        <f t="shared" si="30"/>
        <v>1</v>
      </c>
      <c r="F624">
        <f t="shared" si="31"/>
        <v>0</v>
      </c>
      <c r="G624" t="s">
        <v>856</v>
      </c>
      <c r="H624">
        <f t="shared" si="32"/>
        <v>0</v>
      </c>
    </row>
    <row r="625" spans="1:8">
      <c r="A625" s="4" t="s">
        <v>858</v>
      </c>
      <c r="B625" s="8" t="s">
        <v>418</v>
      </c>
      <c r="C625" s="16"/>
      <c r="D625" s="8"/>
      <c r="E625">
        <f t="shared" si="30"/>
        <v>1</v>
      </c>
      <c r="F625">
        <f t="shared" si="31"/>
        <v>0</v>
      </c>
      <c r="G625" t="s">
        <v>43</v>
      </c>
      <c r="H625">
        <f t="shared" si="32"/>
        <v>1</v>
      </c>
    </row>
    <row r="626" spans="1:8">
      <c r="A626" s="4" t="s">
        <v>859</v>
      </c>
      <c r="B626" s="8" t="s">
        <v>426</v>
      </c>
      <c r="C626" s="16"/>
      <c r="D626" s="8"/>
      <c r="E626">
        <f t="shared" si="30"/>
        <v>1</v>
      </c>
      <c r="F626">
        <f t="shared" si="31"/>
        <v>0</v>
      </c>
      <c r="G626" t="s">
        <v>53</v>
      </c>
      <c r="H626">
        <f t="shared" si="32"/>
        <v>1</v>
      </c>
    </row>
    <row r="627" spans="1:8">
      <c r="A627" s="4" t="s">
        <v>860</v>
      </c>
      <c r="B627" s="8" t="s">
        <v>426</v>
      </c>
      <c r="C627" s="16"/>
      <c r="D627" s="8"/>
      <c r="E627">
        <f t="shared" si="30"/>
        <v>1</v>
      </c>
      <c r="F627">
        <f t="shared" si="31"/>
        <v>0</v>
      </c>
      <c r="G627" t="s">
        <v>543</v>
      </c>
      <c r="H627">
        <f t="shared" si="32"/>
        <v>0</v>
      </c>
    </row>
    <row r="628" spans="1:8">
      <c r="A628" s="4" t="s">
        <v>861</v>
      </c>
      <c r="B628" s="8" t="s">
        <v>426</v>
      </c>
      <c r="C628" s="16"/>
      <c r="D628" s="8"/>
      <c r="E628">
        <f t="shared" si="30"/>
        <v>1</v>
      </c>
      <c r="F628">
        <f t="shared" si="31"/>
        <v>0</v>
      </c>
      <c r="G628" t="s">
        <v>53</v>
      </c>
      <c r="H628">
        <f t="shared" si="32"/>
        <v>1</v>
      </c>
    </row>
    <row r="629" spans="1:8">
      <c r="A629" s="4" t="s">
        <v>862</v>
      </c>
      <c r="B629" s="8" t="s">
        <v>416</v>
      </c>
      <c r="C629" s="16"/>
      <c r="D629" s="8"/>
      <c r="E629">
        <f t="shared" si="30"/>
        <v>1</v>
      </c>
      <c r="F629">
        <f t="shared" si="31"/>
        <v>1</v>
      </c>
      <c r="G629" t="s">
        <v>31</v>
      </c>
      <c r="H629">
        <f t="shared" si="32"/>
        <v>1</v>
      </c>
    </row>
    <row r="630" spans="1:8">
      <c r="A630" s="4" t="s">
        <v>863</v>
      </c>
      <c r="B630" s="8" t="s">
        <v>418</v>
      </c>
      <c r="C630" s="16"/>
      <c r="D630" s="8"/>
      <c r="E630">
        <f t="shared" si="30"/>
        <v>1</v>
      </c>
      <c r="F630">
        <f t="shared" si="31"/>
        <v>0</v>
      </c>
      <c r="G630" t="s">
        <v>53</v>
      </c>
      <c r="H630">
        <f t="shared" si="32"/>
        <v>1</v>
      </c>
    </row>
    <row r="631" spans="1:8">
      <c r="A631" s="4" t="s">
        <v>864</v>
      </c>
      <c r="B631" s="8" t="s">
        <v>418</v>
      </c>
      <c r="C631" s="16"/>
      <c r="D631" s="8"/>
      <c r="E631">
        <f t="shared" si="30"/>
        <v>1</v>
      </c>
      <c r="F631">
        <f t="shared" si="31"/>
        <v>0</v>
      </c>
      <c r="G631" t="s">
        <v>53</v>
      </c>
      <c r="H631">
        <f t="shared" si="32"/>
        <v>1</v>
      </c>
    </row>
    <row r="632" spans="1:8">
      <c r="A632" s="4" t="s">
        <v>865</v>
      </c>
      <c r="B632" s="8" t="s">
        <v>423</v>
      </c>
      <c r="C632" s="16"/>
      <c r="D632" s="8"/>
      <c r="E632">
        <f t="shared" si="30"/>
        <v>1</v>
      </c>
      <c r="F632">
        <f t="shared" si="31"/>
        <v>0</v>
      </c>
      <c r="G632" t="s">
        <v>148</v>
      </c>
      <c r="H632">
        <f t="shared" si="32"/>
        <v>1</v>
      </c>
    </row>
    <row r="633" spans="1:8">
      <c r="A633" s="4" t="s">
        <v>866</v>
      </c>
      <c r="B633" s="8" t="s">
        <v>423</v>
      </c>
      <c r="C633" s="16"/>
      <c r="D633" s="8"/>
      <c r="E633">
        <f t="shared" si="30"/>
        <v>1</v>
      </c>
      <c r="F633">
        <f t="shared" si="31"/>
        <v>0</v>
      </c>
      <c r="G633" t="s">
        <v>148</v>
      </c>
      <c r="H633">
        <f t="shared" si="32"/>
        <v>1</v>
      </c>
    </row>
    <row r="634" spans="1:8">
      <c r="A634" s="4" t="s">
        <v>867</v>
      </c>
      <c r="B634" s="8" t="s">
        <v>418</v>
      </c>
      <c r="C634" s="16"/>
      <c r="D634" s="8"/>
      <c r="E634">
        <f t="shared" si="30"/>
        <v>1</v>
      </c>
      <c r="F634">
        <f t="shared" si="31"/>
        <v>0</v>
      </c>
      <c r="G634" t="s">
        <v>43</v>
      </c>
      <c r="H634">
        <f t="shared" si="32"/>
        <v>1</v>
      </c>
    </row>
    <row r="635" spans="1:8">
      <c r="A635" s="4" t="s">
        <v>868</v>
      </c>
      <c r="B635" s="8" t="s">
        <v>426</v>
      </c>
      <c r="C635" s="16"/>
      <c r="D635" s="8"/>
      <c r="E635">
        <f t="shared" si="30"/>
        <v>1</v>
      </c>
      <c r="F635">
        <f t="shared" si="31"/>
        <v>0</v>
      </c>
      <c r="G635" t="s">
        <v>53</v>
      </c>
      <c r="H635">
        <f t="shared" si="32"/>
        <v>1</v>
      </c>
    </row>
    <row r="636" spans="1:8">
      <c r="A636" s="4" t="s">
        <v>869</v>
      </c>
      <c r="B636" s="8" t="s">
        <v>426</v>
      </c>
      <c r="C636" s="16"/>
      <c r="D636" s="8"/>
      <c r="E636">
        <f t="shared" si="30"/>
        <v>1</v>
      </c>
      <c r="F636">
        <f t="shared" si="31"/>
        <v>0</v>
      </c>
      <c r="G636" t="s">
        <v>543</v>
      </c>
      <c r="H636">
        <f t="shared" si="32"/>
        <v>0</v>
      </c>
    </row>
    <row r="637" spans="1:8">
      <c r="A637" s="4" t="s">
        <v>870</v>
      </c>
      <c r="B637" s="8" t="s">
        <v>426</v>
      </c>
      <c r="C637" s="16"/>
      <c r="D637" s="8"/>
      <c r="E637">
        <f t="shared" si="30"/>
        <v>1</v>
      </c>
      <c r="F637">
        <f t="shared" si="31"/>
        <v>0</v>
      </c>
      <c r="G637" t="s">
        <v>53</v>
      </c>
      <c r="H637">
        <f t="shared" si="32"/>
        <v>1</v>
      </c>
    </row>
    <row r="638" spans="1:8">
      <c r="A638" s="4" t="s">
        <v>871</v>
      </c>
      <c r="B638" s="8" t="s">
        <v>545</v>
      </c>
      <c r="C638" s="16"/>
      <c r="D638" s="8"/>
      <c r="E638">
        <f t="shared" si="30"/>
        <v>1</v>
      </c>
      <c r="F638">
        <f t="shared" si="31"/>
        <v>0</v>
      </c>
      <c r="G638" t="s">
        <v>543</v>
      </c>
      <c r="H638">
        <f t="shared" si="32"/>
        <v>0</v>
      </c>
    </row>
    <row r="639" spans="1:8">
      <c r="A639" s="4" t="s">
        <v>872</v>
      </c>
      <c r="B639" s="8" t="s">
        <v>246</v>
      </c>
      <c r="C639" s="16"/>
      <c r="D639" s="8"/>
      <c r="E639">
        <f t="shared" si="30"/>
        <v>1</v>
      </c>
      <c r="F639">
        <f t="shared" si="31"/>
        <v>0</v>
      </c>
      <c r="G639" t="s">
        <v>61</v>
      </c>
      <c r="H639">
        <f t="shared" si="32"/>
        <v>1</v>
      </c>
    </row>
    <row r="640" spans="1:8">
      <c r="A640" s="4" t="s">
        <v>873</v>
      </c>
      <c r="B640" s="8" t="s">
        <v>545</v>
      </c>
      <c r="C640" s="16"/>
      <c r="D640" s="8"/>
      <c r="E640">
        <f t="shared" si="30"/>
        <v>1</v>
      </c>
      <c r="F640">
        <f t="shared" si="31"/>
        <v>0</v>
      </c>
      <c r="G640" t="s">
        <v>543</v>
      </c>
      <c r="H640">
        <f t="shared" si="32"/>
        <v>0</v>
      </c>
    </row>
    <row r="641" spans="1:8">
      <c r="A641" s="4" t="s">
        <v>874</v>
      </c>
      <c r="B641" s="8" t="s">
        <v>545</v>
      </c>
      <c r="C641" s="16"/>
      <c r="D641" s="8"/>
      <c r="E641">
        <f t="shared" si="30"/>
        <v>1</v>
      </c>
      <c r="F641">
        <f t="shared" si="31"/>
        <v>0</v>
      </c>
      <c r="G641" t="s">
        <v>543</v>
      </c>
      <c r="H641">
        <f t="shared" si="32"/>
        <v>0</v>
      </c>
    </row>
    <row r="642" spans="1:8">
      <c r="A642" s="4" t="s">
        <v>875</v>
      </c>
      <c r="B642" s="8" t="s">
        <v>342</v>
      </c>
      <c r="C642" s="16"/>
      <c r="D642" s="8"/>
      <c r="E642">
        <f t="shared" ref="E642:E705" si="33">COUNTIF(K$2:K$65,B642)</f>
        <v>1</v>
      </c>
      <c r="F642">
        <f t="shared" ref="F642:F705" si="34">COUNTIF(O$5:O$29,B642)</f>
        <v>0</v>
      </c>
      <c r="G642" t="s">
        <v>11</v>
      </c>
      <c r="H642">
        <f t="shared" ref="H642:H705" si="35">COUNTIF(J$2:J$65,G642)</f>
        <v>1</v>
      </c>
    </row>
    <row r="643" spans="1:8">
      <c r="A643" s="4" t="s">
        <v>876</v>
      </c>
      <c r="B643" s="8" t="s">
        <v>42</v>
      </c>
      <c r="C643" s="16"/>
      <c r="D643" s="8"/>
      <c r="E643">
        <f t="shared" si="33"/>
        <v>0</v>
      </c>
      <c r="F643">
        <f t="shared" si="34"/>
        <v>0</v>
      </c>
      <c r="G643" t="s">
        <v>43</v>
      </c>
      <c r="H643">
        <f t="shared" si="35"/>
        <v>1</v>
      </c>
    </row>
    <row r="644" spans="1:8">
      <c r="A644" s="4" t="s">
        <v>877</v>
      </c>
      <c r="B644" s="8" t="s">
        <v>42</v>
      </c>
      <c r="C644" s="16"/>
      <c r="D644" s="8"/>
      <c r="E644">
        <f t="shared" si="33"/>
        <v>0</v>
      </c>
      <c r="F644">
        <f t="shared" si="34"/>
        <v>0</v>
      </c>
      <c r="G644" t="s">
        <v>43</v>
      </c>
      <c r="H644">
        <f t="shared" si="35"/>
        <v>1</v>
      </c>
    </row>
    <row r="645" spans="1:8">
      <c r="A645" s="4" t="s">
        <v>878</v>
      </c>
      <c r="B645" s="8" t="s">
        <v>545</v>
      </c>
      <c r="C645" s="16"/>
      <c r="D645" s="8"/>
      <c r="E645">
        <f t="shared" si="33"/>
        <v>1</v>
      </c>
      <c r="F645">
        <f t="shared" si="34"/>
        <v>0</v>
      </c>
      <c r="G645" t="s">
        <v>543</v>
      </c>
      <c r="H645">
        <f t="shared" si="35"/>
        <v>0</v>
      </c>
    </row>
    <row r="646" spans="1:8">
      <c r="A646" s="4" t="s">
        <v>879</v>
      </c>
      <c r="B646" s="8" t="s">
        <v>195</v>
      </c>
      <c r="C646" s="16"/>
      <c r="D646" s="8"/>
      <c r="E646">
        <f t="shared" si="33"/>
        <v>1</v>
      </c>
      <c r="F646">
        <f t="shared" si="34"/>
        <v>0</v>
      </c>
      <c r="G646" t="s">
        <v>335</v>
      </c>
      <c r="H646">
        <f t="shared" si="35"/>
        <v>0</v>
      </c>
    </row>
    <row r="647" spans="1:8">
      <c r="A647" s="4" t="s">
        <v>880</v>
      </c>
      <c r="B647" s="8" t="s">
        <v>195</v>
      </c>
      <c r="C647" s="16"/>
      <c r="D647" s="8"/>
      <c r="E647">
        <f t="shared" si="33"/>
        <v>1</v>
      </c>
      <c r="F647">
        <f t="shared" si="34"/>
        <v>0</v>
      </c>
      <c r="G647" t="s">
        <v>881</v>
      </c>
      <c r="H647">
        <f t="shared" si="35"/>
        <v>0</v>
      </c>
    </row>
    <row r="648" spans="1:8">
      <c r="A648" s="4" t="s">
        <v>882</v>
      </c>
      <c r="B648" s="8" t="s">
        <v>195</v>
      </c>
      <c r="C648" s="16"/>
      <c r="D648" s="8"/>
      <c r="E648">
        <f t="shared" si="33"/>
        <v>1</v>
      </c>
      <c r="F648">
        <f t="shared" si="34"/>
        <v>0</v>
      </c>
      <c r="G648" t="s">
        <v>48</v>
      </c>
      <c r="H648">
        <f t="shared" si="35"/>
        <v>1</v>
      </c>
    </row>
    <row r="649" spans="1:8">
      <c r="A649" s="4" t="s">
        <v>883</v>
      </c>
      <c r="B649" s="8" t="s">
        <v>884</v>
      </c>
      <c r="C649" s="16"/>
      <c r="D649" s="8"/>
      <c r="E649">
        <f t="shared" si="33"/>
        <v>1</v>
      </c>
      <c r="F649">
        <f t="shared" si="34"/>
        <v>0</v>
      </c>
      <c r="G649" t="s">
        <v>43</v>
      </c>
      <c r="H649">
        <f t="shared" si="35"/>
        <v>1</v>
      </c>
    </row>
    <row r="650" spans="1:8">
      <c r="A650" s="4" t="s">
        <v>885</v>
      </c>
      <c r="B650" s="8" t="s">
        <v>884</v>
      </c>
      <c r="C650" s="16"/>
      <c r="D650" s="8"/>
      <c r="E650">
        <f t="shared" si="33"/>
        <v>1</v>
      </c>
      <c r="F650">
        <f t="shared" si="34"/>
        <v>0</v>
      </c>
      <c r="G650" t="s">
        <v>43</v>
      </c>
      <c r="H650">
        <f t="shared" si="35"/>
        <v>1</v>
      </c>
    </row>
    <row r="651" spans="1:8">
      <c r="A651" s="4" t="s">
        <v>886</v>
      </c>
      <c r="B651" s="8" t="s">
        <v>884</v>
      </c>
      <c r="C651" s="16"/>
      <c r="D651" s="8"/>
      <c r="E651">
        <f t="shared" si="33"/>
        <v>1</v>
      </c>
      <c r="F651">
        <f t="shared" si="34"/>
        <v>0</v>
      </c>
      <c r="G651" t="s">
        <v>43</v>
      </c>
      <c r="H651">
        <f t="shared" si="35"/>
        <v>1</v>
      </c>
    </row>
    <row r="652" spans="1:8">
      <c r="A652" s="4" t="s">
        <v>887</v>
      </c>
      <c r="B652" s="8" t="s">
        <v>884</v>
      </c>
      <c r="C652" s="16"/>
      <c r="D652" s="8"/>
      <c r="E652">
        <f t="shared" si="33"/>
        <v>1</v>
      </c>
      <c r="F652">
        <f t="shared" si="34"/>
        <v>0</v>
      </c>
      <c r="G652" t="s">
        <v>43</v>
      </c>
      <c r="H652">
        <f t="shared" si="35"/>
        <v>1</v>
      </c>
    </row>
    <row r="653" spans="1:8">
      <c r="A653" s="4" t="s">
        <v>888</v>
      </c>
      <c r="B653" s="8" t="s">
        <v>816</v>
      </c>
      <c r="C653" s="16"/>
      <c r="D653" s="8"/>
      <c r="E653">
        <f t="shared" si="33"/>
        <v>1</v>
      </c>
      <c r="F653">
        <f t="shared" si="34"/>
        <v>0</v>
      </c>
      <c r="G653" t="s">
        <v>44</v>
      </c>
      <c r="H653">
        <f t="shared" si="35"/>
        <v>1</v>
      </c>
    </row>
    <row r="654" spans="1:8">
      <c r="A654" s="4" t="s">
        <v>889</v>
      </c>
      <c r="B654" s="8" t="s">
        <v>890</v>
      </c>
      <c r="C654" s="16" t="s">
        <v>891</v>
      </c>
      <c r="D654" s="8"/>
      <c r="E654">
        <f t="shared" si="33"/>
        <v>1</v>
      </c>
      <c r="F654">
        <f t="shared" si="34"/>
        <v>0</v>
      </c>
      <c r="G654" t="s">
        <v>43</v>
      </c>
      <c r="H654">
        <f t="shared" si="35"/>
        <v>1</v>
      </c>
    </row>
    <row r="655" spans="1:8">
      <c r="A655" s="4" t="s">
        <v>892</v>
      </c>
      <c r="B655" s="8" t="s">
        <v>46</v>
      </c>
      <c r="C655" s="16"/>
      <c r="D655" s="8"/>
      <c r="E655">
        <f t="shared" si="33"/>
        <v>1</v>
      </c>
      <c r="F655">
        <f t="shared" si="34"/>
        <v>0</v>
      </c>
      <c r="G655" t="s">
        <v>810</v>
      </c>
      <c r="H655">
        <f t="shared" si="35"/>
        <v>0</v>
      </c>
    </row>
    <row r="656" spans="1:8">
      <c r="A656" s="4" t="s">
        <v>893</v>
      </c>
      <c r="B656" s="8" t="s">
        <v>46</v>
      </c>
      <c r="C656" s="16"/>
      <c r="D656" s="8"/>
      <c r="E656">
        <f t="shared" si="33"/>
        <v>1</v>
      </c>
      <c r="F656">
        <f t="shared" si="34"/>
        <v>0</v>
      </c>
      <c r="G656" t="s">
        <v>810</v>
      </c>
      <c r="H656">
        <f t="shared" si="35"/>
        <v>0</v>
      </c>
    </row>
    <row r="657" spans="1:8">
      <c r="A657" s="4" t="s">
        <v>894</v>
      </c>
      <c r="B657" s="8" t="s">
        <v>25</v>
      </c>
      <c r="C657" s="16"/>
      <c r="D657" s="8"/>
      <c r="E657">
        <f t="shared" si="33"/>
        <v>1</v>
      </c>
      <c r="F657">
        <f t="shared" si="34"/>
        <v>0</v>
      </c>
      <c r="G657" t="s">
        <v>203</v>
      </c>
      <c r="H657">
        <f t="shared" si="35"/>
        <v>0</v>
      </c>
    </row>
    <row r="658" spans="1:8">
      <c r="A658" s="4" t="s">
        <v>895</v>
      </c>
      <c r="B658" s="8" t="s">
        <v>201</v>
      </c>
      <c r="C658" s="16"/>
      <c r="D658" s="8"/>
      <c r="E658">
        <f t="shared" si="33"/>
        <v>1</v>
      </c>
      <c r="F658">
        <f t="shared" si="34"/>
        <v>0</v>
      </c>
      <c r="G658" t="s">
        <v>203</v>
      </c>
      <c r="H658">
        <f t="shared" si="35"/>
        <v>0</v>
      </c>
    </row>
    <row r="659" spans="1:8">
      <c r="A659" s="4" t="s">
        <v>896</v>
      </c>
      <c r="B659" s="8" t="s">
        <v>25</v>
      </c>
      <c r="C659" s="16" t="s">
        <v>897</v>
      </c>
      <c r="D659" s="8"/>
      <c r="E659">
        <f t="shared" si="33"/>
        <v>1</v>
      </c>
      <c r="F659">
        <f t="shared" si="34"/>
        <v>0</v>
      </c>
      <c r="G659" t="s">
        <v>26</v>
      </c>
      <c r="H659">
        <f t="shared" si="35"/>
        <v>1</v>
      </c>
    </row>
    <row r="660" spans="1:8">
      <c r="A660" s="4" t="s">
        <v>898</v>
      </c>
      <c r="B660" s="8" t="s">
        <v>269</v>
      </c>
      <c r="C660" s="16"/>
      <c r="D660" s="8"/>
      <c r="E660">
        <f t="shared" si="33"/>
        <v>1</v>
      </c>
      <c r="F660">
        <f t="shared" si="34"/>
        <v>0</v>
      </c>
      <c r="G660" t="s">
        <v>107</v>
      </c>
      <c r="H660">
        <f t="shared" si="35"/>
        <v>1</v>
      </c>
    </row>
    <row r="661" spans="1:8">
      <c r="A661" s="4" t="s">
        <v>899</v>
      </c>
      <c r="B661" s="8" t="s">
        <v>269</v>
      </c>
      <c r="C661" s="16"/>
      <c r="D661" s="8"/>
      <c r="E661">
        <f t="shared" si="33"/>
        <v>1</v>
      </c>
      <c r="F661">
        <f t="shared" si="34"/>
        <v>0</v>
      </c>
      <c r="G661" t="s">
        <v>107</v>
      </c>
      <c r="H661">
        <f t="shared" si="35"/>
        <v>1</v>
      </c>
    </row>
    <row r="662" spans="1:8">
      <c r="A662" s="4" t="s">
        <v>900</v>
      </c>
      <c r="B662" s="8" t="s">
        <v>269</v>
      </c>
      <c r="C662" s="16"/>
      <c r="D662" s="8"/>
      <c r="E662">
        <f t="shared" si="33"/>
        <v>1</v>
      </c>
      <c r="F662">
        <f t="shared" si="34"/>
        <v>0</v>
      </c>
      <c r="G662" t="s">
        <v>107</v>
      </c>
      <c r="H662">
        <f t="shared" si="35"/>
        <v>1</v>
      </c>
    </row>
    <row r="663" spans="1:8">
      <c r="A663" s="4" t="s">
        <v>901</v>
      </c>
      <c r="B663" s="8" t="s">
        <v>269</v>
      </c>
      <c r="C663" s="16"/>
      <c r="D663" s="8"/>
      <c r="E663">
        <f t="shared" si="33"/>
        <v>1</v>
      </c>
      <c r="F663">
        <f t="shared" si="34"/>
        <v>0</v>
      </c>
      <c r="G663" t="s">
        <v>273</v>
      </c>
      <c r="H663">
        <f t="shared" si="35"/>
        <v>0</v>
      </c>
    </row>
    <row r="664" spans="1:8">
      <c r="A664" s="4" t="s">
        <v>902</v>
      </c>
      <c r="B664" s="8" t="s">
        <v>269</v>
      </c>
      <c r="C664" s="16"/>
      <c r="D664" s="8"/>
      <c r="E664">
        <f t="shared" si="33"/>
        <v>1</v>
      </c>
      <c r="F664">
        <f t="shared" si="34"/>
        <v>0</v>
      </c>
      <c r="G664" t="s">
        <v>273</v>
      </c>
      <c r="H664">
        <f t="shared" si="35"/>
        <v>0</v>
      </c>
    </row>
    <row r="665" spans="1:8">
      <c r="A665" s="4" t="s">
        <v>903</v>
      </c>
      <c r="B665" s="8" t="s">
        <v>269</v>
      </c>
      <c r="C665" s="16"/>
      <c r="D665" s="8"/>
      <c r="E665">
        <f t="shared" si="33"/>
        <v>1</v>
      </c>
      <c r="F665">
        <f t="shared" si="34"/>
        <v>0</v>
      </c>
      <c r="G665" t="s">
        <v>107</v>
      </c>
      <c r="H665">
        <f t="shared" si="35"/>
        <v>1</v>
      </c>
    </row>
    <row r="666" spans="1:8">
      <c r="A666" s="4" t="s">
        <v>904</v>
      </c>
      <c r="B666" s="8" t="s">
        <v>277</v>
      </c>
      <c r="C666" s="16"/>
      <c r="D666" s="8"/>
      <c r="E666">
        <f t="shared" si="33"/>
        <v>1</v>
      </c>
      <c r="F666">
        <f t="shared" si="34"/>
        <v>0</v>
      </c>
      <c r="G666" t="s">
        <v>279</v>
      </c>
      <c r="H666">
        <f t="shared" si="35"/>
        <v>0</v>
      </c>
    </row>
    <row r="667" spans="1:8">
      <c r="A667" s="4" t="s">
        <v>905</v>
      </c>
      <c r="B667" s="8" t="s">
        <v>284</v>
      </c>
      <c r="C667" s="16"/>
      <c r="D667" s="8"/>
      <c r="E667">
        <f t="shared" si="33"/>
        <v>1</v>
      </c>
      <c r="F667">
        <f t="shared" si="34"/>
        <v>0</v>
      </c>
      <c r="G667" t="s">
        <v>279</v>
      </c>
      <c r="H667">
        <f t="shared" si="35"/>
        <v>0</v>
      </c>
    </row>
    <row r="668" spans="1:8">
      <c r="A668" s="4" t="s">
        <v>906</v>
      </c>
      <c r="B668" s="8" t="s">
        <v>286</v>
      </c>
      <c r="C668" s="16"/>
      <c r="D668" s="8"/>
      <c r="E668">
        <f t="shared" si="33"/>
        <v>1</v>
      </c>
      <c r="F668">
        <f t="shared" si="34"/>
        <v>0</v>
      </c>
      <c r="G668" t="s">
        <v>29</v>
      </c>
      <c r="H668">
        <f t="shared" si="35"/>
        <v>1</v>
      </c>
    </row>
    <row r="669" spans="1:8">
      <c r="A669" s="4" t="s">
        <v>907</v>
      </c>
      <c r="B669" s="8" t="s">
        <v>288</v>
      </c>
      <c r="C669" s="16"/>
      <c r="D669" s="8"/>
      <c r="E669">
        <f t="shared" si="33"/>
        <v>1</v>
      </c>
      <c r="F669">
        <f t="shared" si="34"/>
        <v>0</v>
      </c>
      <c r="G669" t="s">
        <v>29</v>
      </c>
      <c r="H669">
        <f t="shared" si="35"/>
        <v>1</v>
      </c>
    </row>
    <row r="670" spans="1:8">
      <c r="A670" s="4" t="s">
        <v>908</v>
      </c>
      <c r="B670" s="8" t="s">
        <v>288</v>
      </c>
      <c r="C670" s="16"/>
      <c r="D670" s="8"/>
      <c r="E670">
        <f t="shared" si="33"/>
        <v>1</v>
      </c>
      <c r="F670">
        <f t="shared" si="34"/>
        <v>0</v>
      </c>
      <c r="G670" t="s">
        <v>909</v>
      </c>
      <c r="H670">
        <f t="shared" si="35"/>
        <v>0</v>
      </c>
    </row>
    <row r="671" spans="1:8">
      <c r="A671" s="4" t="s">
        <v>910</v>
      </c>
      <c r="B671" s="8" t="s">
        <v>288</v>
      </c>
      <c r="C671" s="16"/>
      <c r="D671" s="8"/>
      <c r="E671">
        <f t="shared" si="33"/>
        <v>1</v>
      </c>
      <c r="F671">
        <f t="shared" si="34"/>
        <v>0</v>
      </c>
      <c r="G671" t="s">
        <v>27</v>
      </c>
      <c r="H671">
        <f t="shared" si="35"/>
        <v>1</v>
      </c>
    </row>
    <row r="672" spans="1:8">
      <c r="A672" s="4" t="s">
        <v>911</v>
      </c>
      <c r="B672" s="8" t="s">
        <v>288</v>
      </c>
      <c r="C672" s="16"/>
      <c r="D672" s="8"/>
      <c r="E672">
        <f t="shared" si="33"/>
        <v>1</v>
      </c>
      <c r="F672">
        <f t="shared" si="34"/>
        <v>0</v>
      </c>
      <c r="G672" t="s">
        <v>27</v>
      </c>
      <c r="H672">
        <f t="shared" si="35"/>
        <v>1</v>
      </c>
    </row>
    <row r="673" spans="1:8">
      <c r="A673" s="4" t="s">
        <v>912</v>
      </c>
      <c r="B673" s="8" t="s">
        <v>277</v>
      </c>
      <c r="C673" s="16"/>
      <c r="D673" s="8"/>
      <c r="E673">
        <f t="shared" si="33"/>
        <v>1</v>
      </c>
      <c r="F673">
        <f t="shared" si="34"/>
        <v>0</v>
      </c>
      <c r="G673" t="s">
        <v>279</v>
      </c>
      <c r="H673">
        <f t="shared" si="35"/>
        <v>0</v>
      </c>
    </row>
    <row r="674" spans="1:8">
      <c r="A674" s="4" t="s">
        <v>913</v>
      </c>
      <c r="B674" s="8" t="s">
        <v>277</v>
      </c>
      <c r="C674" s="16"/>
      <c r="D674" s="8"/>
      <c r="E674">
        <f t="shared" si="33"/>
        <v>1</v>
      </c>
      <c r="F674">
        <f t="shared" si="34"/>
        <v>0</v>
      </c>
      <c r="G674" t="s">
        <v>279</v>
      </c>
      <c r="H674">
        <f t="shared" si="35"/>
        <v>0</v>
      </c>
    </row>
    <row r="675" spans="1:8">
      <c r="A675" s="4" t="s">
        <v>914</v>
      </c>
      <c r="B675" s="8" t="s">
        <v>284</v>
      </c>
      <c r="C675" s="16"/>
      <c r="D675" s="8"/>
      <c r="E675">
        <f t="shared" si="33"/>
        <v>1</v>
      </c>
      <c r="F675">
        <f t="shared" si="34"/>
        <v>0</v>
      </c>
      <c r="G675" t="s">
        <v>279</v>
      </c>
      <c r="H675">
        <f t="shared" si="35"/>
        <v>0</v>
      </c>
    </row>
    <row r="676" spans="1:8">
      <c r="A676" s="4" t="s">
        <v>915</v>
      </c>
      <c r="B676" s="8" t="s">
        <v>296</v>
      </c>
      <c r="C676" s="16"/>
      <c r="D676" s="8"/>
      <c r="E676">
        <f t="shared" si="33"/>
        <v>0</v>
      </c>
      <c r="F676">
        <f t="shared" si="34"/>
        <v>0</v>
      </c>
      <c r="G676" t="s">
        <v>279</v>
      </c>
      <c r="H676">
        <f t="shared" si="35"/>
        <v>0</v>
      </c>
    </row>
    <row r="677" spans="1:8">
      <c r="A677" s="4" t="s">
        <v>916</v>
      </c>
      <c r="B677" s="8" t="s">
        <v>277</v>
      </c>
      <c r="C677" s="16"/>
      <c r="D677" s="8"/>
      <c r="E677">
        <f t="shared" si="33"/>
        <v>1</v>
      </c>
      <c r="F677">
        <f t="shared" si="34"/>
        <v>0</v>
      </c>
      <c r="G677" t="s">
        <v>279</v>
      </c>
      <c r="H677">
        <f t="shared" si="35"/>
        <v>0</v>
      </c>
    </row>
    <row r="678" spans="1:8">
      <c r="A678" s="4" t="s">
        <v>917</v>
      </c>
      <c r="B678" s="8" t="s">
        <v>286</v>
      </c>
      <c r="C678" s="16"/>
      <c r="D678" s="8"/>
      <c r="E678">
        <f t="shared" si="33"/>
        <v>1</v>
      </c>
      <c r="F678">
        <f t="shared" si="34"/>
        <v>0</v>
      </c>
      <c r="G678" t="s">
        <v>29</v>
      </c>
      <c r="H678">
        <f t="shared" si="35"/>
        <v>1</v>
      </c>
    </row>
    <row r="679" spans="1:8">
      <c r="A679" s="4" t="s">
        <v>918</v>
      </c>
      <c r="B679" s="8" t="s">
        <v>288</v>
      </c>
      <c r="C679" s="16"/>
      <c r="D679" s="8"/>
      <c r="E679">
        <f t="shared" si="33"/>
        <v>1</v>
      </c>
      <c r="F679">
        <f t="shared" si="34"/>
        <v>0</v>
      </c>
      <c r="G679" t="s">
        <v>909</v>
      </c>
      <c r="H679">
        <f t="shared" si="35"/>
        <v>0</v>
      </c>
    </row>
    <row r="680" spans="1:8">
      <c r="A680" s="4" t="s">
        <v>919</v>
      </c>
      <c r="B680" s="8" t="s">
        <v>288</v>
      </c>
      <c r="C680" s="16"/>
      <c r="D680" s="8"/>
      <c r="E680">
        <f t="shared" si="33"/>
        <v>1</v>
      </c>
      <c r="F680">
        <f t="shared" si="34"/>
        <v>0</v>
      </c>
      <c r="G680" t="s">
        <v>29</v>
      </c>
      <c r="H680">
        <f t="shared" si="35"/>
        <v>1</v>
      </c>
    </row>
    <row r="681" spans="1:8">
      <c r="A681" s="4" t="s">
        <v>920</v>
      </c>
      <c r="B681" s="8" t="s">
        <v>288</v>
      </c>
      <c r="C681" s="16"/>
      <c r="D681" s="8"/>
      <c r="E681">
        <f t="shared" si="33"/>
        <v>1</v>
      </c>
      <c r="F681">
        <f t="shared" si="34"/>
        <v>0</v>
      </c>
      <c r="G681" t="s">
        <v>27</v>
      </c>
      <c r="H681">
        <f t="shared" si="35"/>
        <v>1</v>
      </c>
    </row>
    <row r="682" spans="1:8">
      <c r="A682" s="4" t="s">
        <v>921</v>
      </c>
      <c r="B682" s="8" t="s">
        <v>288</v>
      </c>
      <c r="C682" s="16"/>
      <c r="D682" s="8"/>
      <c r="E682">
        <f t="shared" si="33"/>
        <v>1</v>
      </c>
      <c r="F682">
        <f t="shared" si="34"/>
        <v>0</v>
      </c>
      <c r="G682" t="s">
        <v>27</v>
      </c>
      <c r="H682">
        <f t="shared" si="35"/>
        <v>1</v>
      </c>
    </row>
    <row r="683" spans="1:8">
      <c r="A683" s="4" t="s">
        <v>922</v>
      </c>
      <c r="B683" s="8" t="s">
        <v>284</v>
      </c>
      <c r="C683" s="16"/>
      <c r="D683" s="8"/>
      <c r="E683">
        <f t="shared" si="33"/>
        <v>1</v>
      </c>
      <c r="F683">
        <f t="shared" si="34"/>
        <v>0</v>
      </c>
      <c r="G683" t="s">
        <v>279</v>
      </c>
      <c r="H683">
        <f t="shared" si="35"/>
        <v>0</v>
      </c>
    </row>
    <row r="684" spans="1:8">
      <c r="A684" s="4" t="s">
        <v>923</v>
      </c>
      <c r="B684" s="8" t="s">
        <v>277</v>
      </c>
      <c r="C684" s="16"/>
      <c r="D684" s="8"/>
      <c r="E684">
        <f t="shared" si="33"/>
        <v>1</v>
      </c>
      <c r="F684">
        <f t="shared" si="34"/>
        <v>0</v>
      </c>
      <c r="G684" t="s">
        <v>909</v>
      </c>
      <c r="H684">
        <f t="shared" si="35"/>
        <v>0</v>
      </c>
    </row>
    <row r="685" spans="1:8">
      <c r="A685" s="4" t="s">
        <v>924</v>
      </c>
      <c r="B685" s="8" t="s">
        <v>296</v>
      </c>
      <c r="C685" s="16"/>
      <c r="D685" s="8"/>
      <c r="E685">
        <f t="shared" si="33"/>
        <v>0</v>
      </c>
      <c r="F685">
        <f t="shared" si="34"/>
        <v>0</v>
      </c>
      <c r="G685" t="s">
        <v>279</v>
      </c>
      <c r="H685">
        <f t="shared" si="35"/>
        <v>0</v>
      </c>
    </row>
    <row r="686" spans="1:8">
      <c r="A686" s="4" t="s">
        <v>925</v>
      </c>
      <c r="B686" s="8" t="s">
        <v>277</v>
      </c>
      <c r="C686" s="16"/>
      <c r="D686" s="8"/>
      <c r="E686">
        <f t="shared" si="33"/>
        <v>1</v>
      </c>
      <c r="F686">
        <f t="shared" si="34"/>
        <v>0</v>
      </c>
      <c r="G686" t="s">
        <v>279</v>
      </c>
      <c r="H686">
        <f t="shared" si="35"/>
        <v>0</v>
      </c>
    </row>
    <row r="687" spans="1:8">
      <c r="A687" s="4" t="s">
        <v>926</v>
      </c>
      <c r="B687" s="8" t="s">
        <v>277</v>
      </c>
      <c r="C687" s="16"/>
      <c r="D687" s="8"/>
      <c r="E687">
        <f t="shared" si="33"/>
        <v>1</v>
      </c>
      <c r="F687">
        <f t="shared" si="34"/>
        <v>0</v>
      </c>
      <c r="G687" t="s">
        <v>279</v>
      </c>
      <c r="H687">
        <f t="shared" si="35"/>
        <v>0</v>
      </c>
    </row>
    <row r="688" spans="1:8">
      <c r="A688" s="4" t="s">
        <v>927</v>
      </c>
      <c r="B688" s="8" t="s">
        <v>277</v>
      </c>
      <c r="C688" s="16"/>
      <c r="D688" s="8"/>
      <c r="E688">
        <f t="shared" si="33"/>
        <v>1</v>
      </c>
      <c r="F688">
        <f t="shared" si="34"/>
        <v>0</v>
      </c>
      <c r="G688" t="s">
        <v>279</v>
      </c>
      <c r="H688">
        <f t="shared" si="35"/>
        <v>0</v>
      </c>
    </row>
    <row r="689" spans="1:8">
      <c r="A689" s="4" t="s">
        <v>928</v>
      </c>
      <c r="B689" s="8" t="s">
        <v>284</v>
      </c>
      <c r="C689" s="16"/>
      <c r="D689" s="8"/>
      <c r="E689">
        <f t="shared" si="33"/>
        <v>1</v>
      </c>
      <c r="F689">
        <f t="shared" si="34"/>
        <v>0</v>
      </c>
      <c r="G689" t="s">
        <v>279</v>
      </c>
      <c r="H689">
        <f t="shared" si="35"/>
        <v>0</v>
      </c>
    </row>
    <row r="690" spans="1:8">
      <c r="A690" s="4" t="s">
        <v>929</v>
      </c>
      <c r="B690" s="8" t="s">
        <v>286</v>
      </c>
      <c r="C690" s="16"/>
      <c r="D690" s="8"/>
      <c r="E690">
        <f t="shared" si="33"/>
        <v>1</v>
      </c>
      <c r="F690">
        <f t="shared" si="34"/>
        <v>0</v>
      </c>
      <c r="G690" t="s">
        <v>29</v>
      </c>
      <c r="H690">
        <f t="shared" si="35"/>
        <v>1</v>
      </c>
    </row>
    <row r="691" spans="1:8">
      <c r="A691" s="4" t="s">
        <v>930</v>
      </c>
      <c r="B691" s="8" t="s">
        <v>288</v>
      </c>
      <c r="C691" s="16"/>
      <c r="D691" s="8"/>
      <c r="E691">
        <f t="shared" si="33"/>
        <v>1</v>
      </c>
      <c r="F691">
        <f t="shared" si="34"/>
        <v>0</v>
      </c>
      <c r="G691" t="s">
        <v>29</v>
      </c>
      <c r="H691">
        <f t="shared" si="35"/>
        <v>1</v>
      </c>
    </row>
    <row r="692" spans="1:8">
      <c r="A692" s="4" t="s">
        <v>931</v>
      </c>
      <c r="B692" s="8" t="s">
        <v>288</v>
      </c>
      <c r="C692" s="16"/>
      <c r="D692" s="8"/>
      <c r="E692">
        <f t="shared" si="33"/>
        <v>1</v>
      </c>
      <c r="F692">
        <f t="shared" si="34"/>
        <v>0</v>
      </c>
      <c r="G692" t="s">
        <v>29</v>
      </c>
      <c r="H692">
        <f t="shared" si="35"/>
        <v>1</v>
      </c>
    </row>
    <row r="693" spans="1:8">
      <c r="A693" s="4" t="s">
        <v>932</v>
      </c>
      <c r="B693" s="8" t="s">
        <v>288</v>
      </c>
      <c r="C693" s="16"/>
      <c r="D693" s="8"/>
      <c r="E693">
        <f t="shared" si="33"/>
        <v>1</v>
      </c>
      <c r="F693">
        <f t="shared" si="34"/>
        <v>0</v>
      </c>
      <c r="G693" t="s">
        <v>27</v>
      </c>
      <c r="H693">
        <f t="shared" si="35"/>
        <v>1</v>
      </c>
    </row>
    <row r="694" spans="1:8">
      <c r="A694" s="4" t="s">
        <v>933</v>
      </c>
      <c r="B694" s="8" t="s">
        <v>288</v>
      </c>
      <c r="C694" s="16"/>
      <c r="D694" s="8"/>
      <c r="E694">
        <f t="shared" si="33"/>
        <v>1</v>
      </c>
      <c r="F694">
        <f t="shared" si="34"/>
        <v>0</v>
      </c>
      <c r="G694" t="s">
        <v>27</v>
      </c>
      <c r="H694">
        <f t="shared" si="35"/>
        <v>1</v>
      </c>
    </row>
    <row r="695" spans="1:8">
      <c r="A695" s="4" t="s">
        <v>934</v>
      </c>
      <c r="B695" s="8" t="s">
        <v>277</v>
      </c>
      <c r="C695" s="16"/>
      <c r="D695" s="8"/>
      <c r="E695">
        <f t="shared" si="33"/>
        <v>1</v>
      </c>
      <c r="F695">
        <f t="shared" si="34"/>
        <v>0</v>
      </c>
      <c r="G695" t="s">
        <v>279</v>
      </c>
      <c r="H695">
        <f t="shared" si="35"/>
        <v>0</v>
      </c>
    </row>
    <row r="696" spans="1:8">
      <c r="A696" s="4" t="s">
        <v>935</v>
      </c>
      <c r="B696" s="8" t="s">
        <v>286</v>
      </c>
      <c r="C696" s="16" t="s">
        <v>936</v>
      </c>
      <c r="D696" s="8"/>
      <c r="E696">
        <f t="shared" si="33"/>
        <v>1</v>
      </c>
      <c r="F696">
        <f t="shared" si="34"/>
        <v>0</v>
      </c>
      <c r="G696" t="s">
        <v>29</v>
      </c>
      <c r="H696">
        <f t="shared" si="35"/>
        <v>1</v>
      </c>
    </row>
    <row r="697" spans="1:8">
      <c r="A697" s="4" t="s">
        <v>937</v>
      </c>
      <c r="B697" s="8" t="s">
        <v>288</v>
      </c>
      <c r="C697" s="16"/>
      <c r="D697" s="8"/>
      <c r="E697">
        <f t="shared" si="33"/>
        <v>1</v>
      </c>
      <c r="F697">
        <f t="shared" si="34"/>
        <v>0</v>
      </c>
      <c r="G697" t="s">
        <v>29</v>
      </c>
      <c r="H697">
        <f t="shared" si="35"/>
        <v>1</v>
      </c>
    </row>
    <row r="698" spans="1:8">
      <c r="A698" s="4" t="s">
        <v>938</v>
      </c>
      <c r="B698" s="8" t="s">
        <v>288</v>
      </c>
      <c r="C698" s="16"/>
      <c r="D698" s="8"/>
      <c r="E698">
        <f t="shared" si="33"/>
        <v>1</v>
      </c>
      <c r="F698">
        <f t="shared" si="34"/>
        <v>0</v>
      </c>
      <c r="G698" t="s">
        <v>29</v>
      </c>
      <c r="H698">
        <f t="shared" si="35"/>
        <v>1</v>
      </c>
    </row>
    <row r="699" spans="1:8">
      <c r="A699" s="4" t="s">
        <v>939</v>
      </c>
      <c r="B699" s="8" t="s">
        <v>288</v>
      </c>
      <c r="C699" s="16"/>
      <c r="D699" s="8"/>
      <c r="E699">
        <f t="shared" si="33"/>
        <v>1</v>
      </c>
      <c r="F699">
        <f t="shared" si="34"/>
        <v>0</v>
      </c>
      <c r="G699" t="s">
        <v>29</v>
      </c>
      <c r="H699">
        <f t="shared" si="35"/>
        <v>1</v>
      </c>
    </row>
    <row r="700" spans="1:8">
      <c r="A700" s="4" t="s">
        <v>940</v>
      </c>
      <c r="B700" s="8" t="s">
        <v>288</v>
      </c>
      <c r="C700" s="16"/>
      <c r="D700" s="8"/>
      <c r="E700">
        <f t="shared" si="33"/>
        <v>1</v>
      </c>
      <c r="F700">
        <f t="shared" si="34"/>
        <v>0</v>
      </c>
      <c r="G700" t="s">
        <v>27</v>
      </c>
      <c r="H700">
        <f t="shared" si="35"/>
        <v>1</v>
      </c>
    </row>
    <row r="701" spans="1:8">
      <c r="A701" s="4" t="s">
        <v>941</v>
      </c>
      <c r="B701" s="8" t="s">
        <v>322</v>
      </c>
      <c r="C701" s="16"/>
      <c r="D701" s="8"/>
      <c r="E701">
        <f t="shared" si="33"/>
        <v>1</v>
      </c>
      <c r="F701">
        <f t="shared" si="34"/>
        <v>0</v>
      </c>
      <c r="G701" t="s">
        <v>909</v>
      </c>
      <c r="H701">
        <f t="shared" si="35"/>
        <v>0</v>
      </c>
    </row>
    <row r="702" spans="1:8">
      <c r="A702" s="4" t="s">
        <v>942</v>
      </c>
      <c r="B702" s="8" t="s">
        <v>322</v>
      </c>
      <c r="C702" s="16"/>
      <c r="D702" s="8"/>
      <c r="E702">
        <f t="shared" si="33"/>
        <v>1</v>
      </c>
      <c r="F702">
        <f t="shared" si="34"/>
        <v>0</v>
      </c>
      <c r="G702" t="s">
        <v>909</v>
      </c>
      <c r="H702">
        <f t="shared" si="35"/>
        <v>0</v>
      </c>
    </row>
    <row r="703" spans="1:8">
      <c r="A703" s="4" t="s">
        <v>943</v>
      </c>
      <c r="B703" s="8" t="s">
        <v>322</v>
      </c>
      <c r="C703" s="16"/>
      <c r="D703" s="8"/>
      <c r="E703">
        <f t="shared" si="33"/>
        <v>1</v>
      </c>
      <c r="F703">
        <f t="shared" si="34"/>
        <v>0</v>
      </c>
      <c r="G703" t="s">
        <v>29</v>
      </c>
      <c r="H703">
        <f t="shared" si="35"/>
        <v>1</v>
      </c>
    </row>
    <row r="704" spans="1:8">
      <c r="A704" s="4" t="s">
        <v>944</v>
      </c>
      <c r="B704" s="8" t="s">
        <v>322</v>
      </c>
      <c r="C704" s="16"/>
      <c r="D704" s="8"/>
      <c r="E704">
        <f t="shared" si="33"/>
        <v>1</v>
      </c>
      <c r="F704">
        <f t="shared" si="34"/>
        <v>0</v>
      </c>
      <c r="G704" t="s">
        <v>29</v>
      </c>
      <c r="H704">
        <f t="shared" si="35"/>
        <v>1</v>
      </c>
    </row>
    <row r="705" spans="1:8">
      <c r="A705" s="4" t="s">
        <v>945</v>
      </c>
      <c r="B705" s="8" t="s">
        <v>277</v>
      </c>
      <c r="C705" s="16"/>
      <c r="D705" s="8"/>
      <c r="E705">
        <f t="shared" si="33"/>
        <v>1</v>
      </c>
      <c r="F705">
        <f t="shared" si="34"/>
        <v>0</v>
      </c>
      <c r="G705" t="s">
        <v>279</v>
      </c>
      <c r="H705">
        <f t="shared" si="35"/>
        <v>0</v>
      </c>
    </row>
    <row r="706" spans="1:8">
      <c r="A706" s="4" t="s">
        <v>946</v>
      </c>
      <c r="B706" s="8" t="s">
        <v>269</v>
      </c>
      <c r="C706" s="16"/>
      <c r="D706" s="8"/>
      <c r="E706">
        <f t="shared" ref="E706:E769" si="36">COUNTIF(K$2:K$65,B706)</f>
        <v>1</v>
      </c>
      <c r="F706">
        <f t="shared" ref="F706:F769" si="37">COUNTIF(O$5:O$29,B706)</f>
        <v>0</v>
      </c>
      <c r="G706" t="s">
        <v>107</v>
      </c>
      <c r="H706">
        <f t="shared" ref="H706:H769" si="38">COUNTIF(J$2:J$65,G706)</f>
        <v>1</v>
      </c>
    </row>
    <row r="707" spans="1:8">
      <c r="A707" s="4" t="s">
        <v>947</v>
      </c>
      <c r="B707" s="8" t="s">
        <v>269</v>
      </c>
      <c r="C707" s="16"/>
      <c r="D707" s="8"/>
      <c r="E707">
        <f t="shared" si="36"/>
        <v>1</v>
      </c>
      <c r="F707">
        <f t="shared" si="37"/>
        <v>0</v>
      </c>
      <c r="G707" t="s">
        <v>107</v>
      </c>
      <c r="H707">
        <f t="shared" si="38"/>
        <v>1</v>
      </c>
    </row>
    <row r="708" spans="1:8">
      <c r="A708" s="4" t="s">
        <v>948</v>
      </c>
      <c r="B708" s="8" t="s">
        <v>496</v>
      </c>
      <c r="C708" s="16"/>
      <c r="D708" s="8"/>
      <c r="E708">
        <f t="shared" si="36"/>
        <v>0</v>
      </c>
      <c r="F708">
        <f t="shared" si="37"/>
        <v>0</v>
      </c>
      <c r="G708" t="s">
        <v>144</v>
      </c>
      <c r="H708">
        <f t="shared" si="38"/>
        <v>1</v>
      </c>
    </row>
    <row r="709" spans="1:8">
      <c r="A709" s="4" t="s">
        <v>949</v>
      </c>
      <c r="B709" s="8" t="s">
        <v>950</v>
      </c>
      <c r="C709" s="16"/>
      <c r="D709" s="8"/>
      <c r="E709">
        <f t="shared" si="36"/>
        <v>1</v>
      </c>
      <c r="F709">
        <f t="shared" si="37"/>
        <v>0</v>
      </c>
      <c r="G709" t="s">
        <v>10</v>
      </c>
      <c r="H709">
        <f t="shared" si="38"/>
        <v>1</v>
      </c>
    </row>
    <row r="710" spans="1:8">
      <c r="A710" s="4" t="s">
        <v>949</v>
      </c>
      <c r="B710" s="8" t="s">
        <v>950</v>
      </c>
      <c r="C710" s="16"/>
      <c r="D710" s="8"/>
      <c r="E710">
        <f t="shared" si="36"/>
        <v>1</v>
      </c>
      <c r="F710">
        <f t="shared" si="37"/>
        <v>0</v>
      </c>
      <c r="G710" t="s">
        <v>10</v>
      </c>
      <c r="H710">
        <f t="shared" si="38"/>
        <v>1</v>
      </c>
    </row>
    <row r="711" spans="1:8">
      <c r="A711" s="4" t="s">
        <v>951</v>
      </c>
      <c r="B711" s="8" t="s">
        <v>950</v>
      </c>
      <c r="C711" s="16"/>
      <c r="D711" s="8"/>
      <c r="E711">
        <f t="shared" si="36"/>
        <v>1</v>
      </c>
      <c r="F711">
        <f t="shared" si="37"/>
        <v>0</v>
      </c>
      <c r="G711" t="s">
        <v>10</v>
      </c>
      <c r="H711">
        <f t="shared" si="38"/>
        <v>1</v>
      </c>
    </row>
    <row r="712" spans="1:8">
      <c r="A712" s="4" t="s">
        <v>952</v>
      </c>
      <c r="B712" s="8" t="s">
        <v>950</v>
      </c>
      <c r="C712" s="16"/>
      <c r="D712" s="8"/>
      <c r="E712">
        <f t="shared" si="36"/>
        <v>1</v>
      </c>
      <c r="F712">
        <f t="shared" si="37"/>
        <v>0</v>
      </c>
      <c r="G712" t="s">
        <v>10</v>
      </c>
      <c r="H712">
        <f t="shared" si="38"/>
        <v>1</v>
      </c>
    </row>
    <row r="713" spans="1:8">
      <c r="A713" s="4" t="s">
        <v>953</v>
      </c>
      <c r="B713" s="8" t="s">
        <v>950</v>
      </c>
      <c r="C713" s="16"/>
      <c r="D713" s="8"/>
      <c r="E713">
        <f t="shared" si="36"/>
        <v>1</v>
      </c>
      <c r="F713">
        <f t="shared" si="37"/>
        <v>0</v>
      </c>
      <c r="G713" t="s">
        <v>10</v>
      </c>
      <c r="H713">
        <f t="shared" si="38"/>
        <v>1</v>
      </c>
    </row>
    <row r="714" spans="1:8">
      <c r="A714" s="4" t="s">
        <v>954</v>
      </c>
      <c r="B714" s="8" t="s">
        <v>950</v>
      </c>
      <c r="C714" s="16"/>
      <c r="D714" s="8"/>
      <c r="E714">
        <f t="shared" si="36"/>
        <v>1</v>
      </c>
      <c r="F714">
        <f t="shared" si="37"/>
        <v>0</v>
      </c>
      <c r="G714" t="s">
        <v>10</v>
      </c>
      <c r="H714">
        <f t="shared" si="38"/>
        <v>1</v>
      </c>
    </row>
    <row r="715" spans="1:8">
      <c r="A715" s="4" t="s">
        <v>955</v>
      </c>
      <c r="B715" s="8" t="s">
        <v>950</v>
      </c>
      <c r="C715" s="16"/>
      <c r="D715" s="8"/>
      <c r="E715">
        <f t="shared" si="36"/>
        <v>1</v>
      </c>
      <c r="F715">
        <f t="shared" si="37"/>
        <v>0</v>
      </c>
      <c r="G715" t="s">
        <v>10</v>
      </c>
      <c r="H715">
        <f t="shared" si="38"/>
        <v>1</v>
      </c>
    </row>
    <row r="716" spans="1:8">
      <c r="A716" s="4" t="s">
        <v>956</v>
      </c>
      <c r="B716" s="8" t="s">
        <v>950</v>
      </c>
      <c r="C716" s="16"/>
      <c r="D716" s="8"/>
      <c r="E716">
        <f t="shared" si="36"/>
        <v>1</v>
      </c>
      <c r="F716">
        <f t="shared" si="37"/>
        <v>0</v>
      </c>
      <c r="G716" t="s">
        <v>10</v>
      </c>
      <c r="H716">
        <f t="shared" si="38"/>
        <v>1</v>
      </c>
    </row>
    <row r="717" spans="1:8">
      <c r="A717" s="4" t="s">
        <v>957</v>
      </c>
      <c r="B717" s="8" t="s">
        <v>950</v>
      </c>
      <c r="C717" s="16"/>
      <c r="D717" s="8"/>
      <c r="E717">
        <f t="shared" si="36"/>
        <v>1</v>
      </c>
      <c r="F717">
        <f t="shared" si="37"/>
        <v>0</v>
      </c>
      <c r="G717" t="s">
        <v>10</v>
      </c>
      <c r="H717">
        <f t="shared" si="38"/>
        <v>1</v>
      </c>
    </row>
    <row r="718" spans="1:8">
      <c r="A718" s="4" t="s">
        <v>958</v>
      </c>
      <c r="B718" s="8" t="s">
        <v>950</v>
      </c>
      <c r="C718" s="16"/>
      <c r="D718" s="8"/>
      <c r="E718">
        <f t="shared" si="36"/>
        <v>1</v>
      </c>
      <c r="F718">
        <f t="shared" si="37"/>
        <v>0</v>
      </c>
      <c r="G718" t="s">
        <v>10</v>
      </c>
      <c r="H718">
        <f t="shared" si="38"/>
        <v>1</v>
      </c>
    </row>
    <row r="719" spans="1:8">
      <c r="A719" s="4" t="s">
        <v>959</v>
      </c>
      <c r="B719" s="8" t="s">
        <v>950</v>
      </c>
      <c r="C719" s="16"/>
      <c r="D719" s="8"/>
      <c r="E719">
        <f t="shared" si="36"/>
        <v>1</v>
      </c>
      <c r="F719">
        <f t="shared" si="37"/>
        <v>0</v>
      </c>
      <c r="G719" t="s">
        <v>10</v>
      </c>
      <c r="H719">
        <f t="shared" si="38"/>
        <v>1</v>
      </c>
    </row>
    <row r="720" spans="1:8">
      <c r="A720" s="4" t="s">
        <v>960</v>
      </c>
      <c r="B720" s="8" t="s">
        <v>950</v>
      </c>
      <c r="C720" s="16"/>
      <c r="D720" s="8"/>
      <c r="E720">
        <f t="shared" si="36"/>
        <v>1</v>
      </c>
      <c r="F720">
        <f t="shared" si="37"/>
        <v>0</v>
      </c>
      <c r="G720" t="s">
        <v>10</v>
      </c>
      <c r="H720">
        <f t="shared" si="38"/>
        <v>1</v>
      </c>
    </row>
    <row r="721" spans="1:8">
      <c r="A721" s="4" t="s">
        <v>961</v>
      </c>
      <c r="B721" s="8" t="s">
        <v>950</v>
      </c>
      <c r="C721" s="16"/>
      <c r="D721" s="8"/>
      <c r="E721">
        <f t="shared" si="36"/>
        <v>1</v>
      </c>
      <c r="F721">
        <f t="shared" si="37"/>
        <v>0</v>
      </c>
      <c r="G721" t="s">
        <v>10</v>
      </c>
      <c r="H721">
        <f t="shared" si="38"/>
        <v>1</v>
      </c>
    </row>
    <row r="722" spans="1:8">
      <c r="A722" s="4" t="s">
        <v>962</v>
      </c>
      <c r="B722" s="8" t="s">
        <v>950</v>
      </c>
      <c r="C722" s="16"/>
      <c r="D722" s="8"/>
      <c r="E722">
        <f t="shared" si="36"/>
        <v>1</v>
      </c>
      <c r="F722">
        <f t="shared" si="37"/>
        <v>0</v>
      </c>
      <c r="G722" t="s">
        <v>10</v>
      </c>
      <c r="H722">
        <f t="shared" si="38"/>
        <v>1</v>
      </c>
    </row>
    <row r="723" spans="1:8">
      <c r="A723" s="4" t="s">
        <v>963</v>
      </c>
      <c r="B723" s="8" t="s">
        <v>950</v>
      </c>
      <c r="C723" s="16"/>
      <c r="D723" s="8"/>
      <c r="E723">
        <f t="shared" si="36"/>
        <v>1</v>
      </c>
      <c r="F723">
        <f t="shared" si="37"/>
        <v>0</v>
      </c>
      <c r="G723" t="s">
        <v>10</v>
      </c>
      <c r="H723">
        <f t="shared" si="38"/>
        <v>1</v>
      </c>
    </row>
    <row r="724" spans="1:8">
      <c r="A724" s="4" t="s">
        <v>964</v>
      </c>
      <c r="B724" s="8" t="s">
        <v>950</v>
      </c>
      <c r="C724" s="16"/>
      <c r="D724" s="8"/>
      <c r="E724">
        <f t="shared" si="36"/>
        <v>1</v>
      </c>
      <c r="F724">
        <f t="shared" si="37"/>
        <v>0</v>
      </c>
      <c r="G724" t="s">
        <v>10</v>
      </c>
      <c r="H724">
        <f t="shared" si="38"/>
        <v>1</v>
      </c>
    </row>
    <row r="725" spans="1:8">
      <c r="A725" s="4" t="s">
        <v>965</v>
      </c>
      <c r="B725" s="8" t="s">
        <v>950</v>
      </c>
      <c r="C725" s="16"/>
      <c r="D725" s="8"/>
      <c r="E725">
        <f t="shared" si="36"/>
        <v>1</v>
      </c>
      <c r="F725">
        <f t="shared" si="37"/>
        <v>0</v>
      </c>
      <c r="G725" t="s">
        <v>10</v>
      </c>
      <c r="H725">
        <f t="shared" si="38"/>
        <v>1</v>
      </c>
    </row>
    <row r="726" spans="1:8">
      <c r="A726" s="4" t="s">
        <v>966</v>
      </c>
      <c r="B726" s="8" t="s">
        <v>950</v>
      </c>
      <c r="C726" s="16"/>
      <c r="D726" s="8"/>
      <c r="E726">
        <f t="shared" si="36"/>
        <v>1</v>
      </c>
      <c r="F726">
        <f t="shared" si="37"/>
        <v>0</v>
      </c>
      <c r="G726" t="s">
        <v>10</v>
      </c>
      <c r="H726">
        <f t="shared" si="38"/>
        <v>1</v>
      </c>
    </row>
    <row r="727" spans="1:8">
      <c r="A727" s="4" t="s">
        <v>967</v>
      </c>
      <c r="B727" s="8" t="s">
        <v>950</v>
      </c>
      <c r="C727" s="16"/>
      <c r="D727" s="8"/>
      <c r="E727">
        <f t="shared" si="36"/>
        <v>1</v>
      </c>
      <c r="F727">
        <f t="shared" si="37"/>
        <v>0</v>
      </c>
      <c r="G727" t="s">
        <v>10</v>
      </c>
      <c r="H727">
        <f t="shared" si="38"/>
        <v>1</v>
      </c>
    </row>
    <row r="728" spans="1:8">
      <c r="A728" s="4" t="s">
        <v>968</v>
      </c>
      <c r="B728" s="8" t="s">
        <v>950</v>
      </c>
      <c r="C728" s="16"/>
      <c r="D728" s="8"/>
      <c r="E728">
        <f t="shared" si="36"/>
        <v>1</v>
      </c>
      <c r="F728">
        <f t="shared" si="37"/>
        <v>0</v>
      </c>
      <c r="G728" t="s">
        <v>10</v>
      </c>
      <c r="H728">
        <f t="shared" si="38"/>
        <v>1</v>
      </c>
    </row>
    <row r="729" spans="1:8">
      <c r="A729" s="4" t="s">
        <v>969</v>
      </c>
      <c r="B729" s="8" t="s">
        <v>950</v>
      </c>
      <c r="C729" s="16"/>
      <c r="D729" s="8"/>
      <c r="E729">
        <f t="shared" si="36"/>
        <v>1</v>
      </c>
      <c r="F729">
        <f t="shared" si="37"/>
        <v>0</v>
      </c>
      <c r="G729" t="s">
        <v>10</v>
      </c>
      <c r="H729">
        <f t="shared" si="38"/>
        <v>1</v>
      </c>
    </row>
    <row r="730" spans="1:8">
      <c r="A730" s="4" t="s">
        <v>970</v>
      </c>
      <c r="B730" s="8" t="s">
        <v>950</v>
      </c>
      <c r="C730" s="16"/>
      <c r="D730" s="8"/>
      <c r="E730">
        <f t="shared" si="36"/>
        <v>1</v>
      </c>
      <c r="F730">
        <f t="shared" si="37"/>
        <v>0</v>
      </c>
      <c r="G730" t="s">
        <v>10</v>
      </c>
      <c r="H730">
        <f t="shared" si="38"/>
        <v>1</v>
      </c>
    </row>
    <row r="731" spans="1:8">
      <c r="A731" s="4" t="s">
        <v>971</v>
      </c>
      <c r="B731" s="8" t="s">
        <v>950</v>
      </c>
      <c r="C731" s="16"/>
      <c r="D731" s="8"/>
      <c r="E731">
        <f t="shared" si="36"/>
        <v>1</v>
      </c>
      <c r="F731">
        <f t="shared" si="37"/>
        <v>0</v>
      </c>
      <c r="G731" t="s">
        <v>10</v>
      </c>
      <c r="H731">
        <f t="shared" si="38"/>
        <v>1</v>
      </c>
    </row>
    <row r="732" spans="1:8">
      <c r="A732" s="4" t="s">
        <v>972</v>
      </c>
      <c r="B732" s="8" t="s">
        <v>950</v>
      </c>
      <c r="C732" s="16"/>
      <c r="D732" s="8"/>
      <c r="E732">
        <f t="shared" si="36"/>
        <v>1</v>
      </c>
      <c r="F732">
        <f t="shared" si="37"/>
        <v>0</v>
      </c>
      <c r="G732" t="s">
        <v>10</v>
      </c>
      <c r="H732">
        <f t="shared" si="38"/>
        <v>1</v>
      </c>
    </row>
    <row r="733" spans="1:8">
      <c r="A733" s="4" t="s">
        <v>973</v>
      </c>
      <c r="B733" s="8" t="s">
        <v>950</v>
      </c>
      <c r="C733" s="16"/>
      <c r="D733" s="8"/>
      <c r="E733">
        <f t="shared" si="36"/>
        <v>1</v>
      </c>
      <c r="F733">
        <f t="shared" si="37"/>
        <v>0</v>
      </c>
      <c r="G733" t="s">
        <v>10</v>
      </c>
      <c r="H733">
        <f t="shared" si="38"/>
        <v>1</v>
      </c>
    </row>
    <row r="734" spans="1:8">
      <c r="A734" s="4" t="s">
        <v>974</v>
      </c>
      <c r="B734" s="8" t="s">
        <v>384</v>
      </c>
      <c r="C734" s="16"/>
      <c r="D734" s="8"/>
      <c r="E734">
        <f t="shared" si="36"/>
        <v>1</v>
      </c>
      <c r="F734">
        <f t="shared" si="37"/>
        <v>1</v>
      </c>
      <c r="G734" t="s">
        <v>162</v>
      </c>
      <c r="H734">
        <f t="shared" si="38"/>
        <v>1</v>
      </c>
    </row>
    <row r="735" spans="1:8">
      <c r="A735" s="4" t="s">
        <v>975</v>
      </c>
      <c r="B735" s="8" t="s">
        <v>950</v>
      </c>
      <c r="C735" s="16"/>
      <c r="D735" s="8"/>
      <c r="E735">
        <f t="shared" si="36"/>
        <v>1</v>
      </c>
      <c r="F735">
        <f t="shared" si="37"/>
        <v>0</v>
      </c>
      <c r="G735" t="s">
        <v>10</v>
      </c>
      <c r="H735">
        <f t="shared" si="38"/>
        <v>1</v>
      </c>
    </row>
    <row r="736" spans="1:8">
      <c r="A736" s="4" t="s">
        <v>976</v>
      </c>
      <c r="B736" s="8" t="s">
        <v>950</v>
      </c>
      <c r="C736" s="16"/>
      <c r="D736" s="8"/>
      <c r="E736">
        <f t="shared" si="36"/>
        <v>1</v>
      </c>
      <c r="F736">
        <f t="shared" si="37"/>
        <v>0</v>
      </c>
      <c r="G736" t="s">
        <v>10</v>
      </c>
      <c r="H736">
        <f t="shared" si="38"/>
        <v>1</v>
      </c>
    </row>
    <row r="737" spans="1:8">
      <c r="A737" s="4" t="s">
        <v>977</v>
      </c>
      <c r="B737" s="8" t="s">
        <v>950</v>
      </c>
      <c r="C737" s="16"/>
      <c r="D737" s="8"/>
      <c r="E737">
        <f t="shared" si="36"/>
        <v>1</v>
      </c>
      <c r="F737">
        <f t="shared" si="37"/>
        <v>0</v>
      </c>
      <c r="G737" t="s">
        <v>10</v>
      </c>
      <c r="H737">
        <f t="shared" si="38"/>
        <v>1</v>
      </c>
    </row>
    <row r="738" spans="1:8">
      <c r="A738" s="4" t="s">
        <v>978</v>
      </c>
      <c r="B738" s="8" t="s">
        <v>950</v>
      </c>
      <c r="C738" s="16"/>
      <c r="D738" s="8"/>
      <c r="E738">
        <f t="shared" si="36"/>
        <v>1</v>
      </c>
      <c r="F738">
        <f t="shared" si="37"/>
        <v>0</v>
      </c>
      <c r="G738" t="s">
        <v>10</v>
      </c>
      <c r="H738">
        <f t="shared" si="38"/>
        <v>1</v>
      </c>
    </row>
    <row r="739" spans="1:8">
      <c r="A739" s="4" t="s">
        <v>979</v>
      </c>
      <c r="B739" s="8" t="s">
        <v>950</v>
      </c>
      <c r="C739" s="16"/>
      <c r="D739" s="8"/>
      <c r="E739">
        <f t="shared" si="36"/>
        <v>1</v>
      </c>
      <c r="F739">
        <f t="shared" si="37"/>
        <v>0</v>
      </c>
      <c r="G739" t="s">
        <v>10</v>
      </c>
      <c r="H739">
        <f t="shared" si="38"/>
        <v>1</v>
      </c>
    </row>
    <row r="740" spans="1:8">
      <c r="A740" s="4" t="s">
        <v>980</v>
      </c>
      <c r="B740" s="8" t="s">
        <v>981</v>
      </c>
      <c r="C740" s="16"/>
      <c r="D740" s="8"/>
      <c r="E740">
        <f t="shared" si="36"/>
        <v>1</v>
      </c>
      <c r="F740">
        <f t="shared" si="37"/>
        <v>0</v>
      </c>
      <c r="G740" t="s">
        <v>144</v>
      </c>
      <c r="H740">
        <f t="shared" si="38"/>
        <v>1</v>
      </c>
    </row>
    <row r="741" spans="1:8">
      <c r="A741" s="4" t="s">
        <v>982</v>
      </c>
      <c r="B741" s="8" t="s">
        <v>25</v>
      </c>
      <c r="C741" s="16"/>
      <c r="D741" s="8"/>
      <c r="E741">
        <f t="shared" si="36"/>
        <v>1</v>
      </c>
      <c r="F741">
        <f t="shared" si="37"/>
        <v>0</v>
      </c>
      <c r="G741" t="s">
        <v>203</v>
      </c>
      <c r="H741">
        <f t="shared" si="38"/>
        <v>0</v>
      </c>
    </row>
    <row r="742" spans="1:8">
      <c r="A742" s="4" t="s">
        <v>983</v>
      </c>
      <c r="B742" s="8" t="s">
        <v>384</v>
      </c>
      <c r="C742" s="16"/>
      <c r="D742" s="8"/>
      <c r="E742">
        <f t="shared" si="36"/>
        <v>1</v>
      </c>
      <c r="F742">
        <f t="shared" si="37"/>
        <v>1</v>
      </c>
      <c r="G742" t="s">
        <v>29</v>
      </c>
      <c r="H742">
        <f t="shared" si="38"/>
        <v>1</v>
      </c>
    </row>
    <row r="743" spans="1:8">
      <c r="A743" s="4" t="s">
        <v>984</v>
      </c>
      <c r="B743" s="8" t="s">
        <v>384</v>
      </c>
      <c r="C743" s="16"/>
      <c r="D743" s="8"/>
      <c r="E743">
        <f t="shared" si="36"/>
        <v>1</v>
      </c>
      <c r="F743">
        <f t="shared" si="37"/>
        <v>1</v>
      </c>
      <c r="G743" t="s">
        <v>77</v>
      </c>
      <c r="H743">
        <f t="shared" si="38"/>
        <v>1</v>
      </c>
    </row>
    <row r="744" spans="1:8">
      <c r="A744" s="4" t="s">
        <v>985</v>
      </c>
      <c r="B744" s="8" t="s">
        <v>384</v>
      </c>
      <c r="C744" s="16"/>
      <c r="D744" s="8"/>
      <c r="E744">
        <f t="shared" si="36"/>
        <v>1</v>
      </c>
      <c r="F744">
        <f t="shared" si="37"/>
        <v>1</v>
      </c>
      <c r="G744" t="s">
        <v>986</v>
      </c>
      <c r="H744">
        <f t="shared" si="38"/>
        <v>0</v>
      </c>
    </row>
    <row r="745" spans="1:8">
      <c r="A745" s="4" t="s">
        <v>987</v>
      </c>
      <c r="B745" s="8" t="s">
        <v>9</v>
      </c>
      <c r="C745" s="16"/>
      <c r="D745" s="8"/>
      <c r="E745">
        <f t="shared" si="36"/>
        <v>1</v>
      </c>
      <c r="F745">
        <f t="shared" si="37"/>
        <v>3</v>
      </c>
      <c r="G745" t="s">
        <v>10</v>
      </c>
      <c r="H745">
        <f t="shared" si="38"/>
        <v>1</v>
      </c>
    </row>
    <row r="746" spans="1:8">
      <c r="A746" s="4" t="s">
        <v>988</v>
      </c>
      <c r="B746" s="8" t="s">
        <v>201</v>
      </c>
      <c r="C746" s="16" t="s">
        <v>989</v>
      </c>
      <c r="D746" s="8"/>
      <c r="E746">
        <f t="shared" si="36"/>
        <v>1</v>
      </c>
      <c r="F746">
        <f t="shared" si="37"/>
        <v>0</v>
      </c>
      <c r="G746" t="s">
        <v>162</v>
      </c>
      <c r="H746">
        <f t="shared" si="38"/>
        <v>1</v>
      </c>
    </row>
    <row r="747" spans="1:8">
      <c r="A747" s="4" t="s">
        <v>990</v>
      </c>
      <c r="B747" s="8" t="s">
        <v>25</v>
      </c>
      <c r="C747" s="16"/>
      <c r="D747" s="8"/>
      <c r="E747">
        <f t="shared" si="36"/>
        <v>1</v>
      </c>
      <c r="F747">
        <f t="shared" si="37"/>
        <v>0</v>
      </c>
      <c r="G747" t="s">
        <v>203</v>
      </c>
      <c r="H747">
        <f t="shared" si="38"/>
        <v>0</v>
      </c>
    </row>
    <row r="748" spans="1:8">
      <c r="A748" s="4" t="s">
        <v>991</v>
      </c>
      <c r="B748" s="8" t="s">
        <v>201</v>
      </c>
      <c r="C748" s="16"/>
      <c r="D748" s="8"/>
      <c r="E748">
        <f t="shared" si="36"/>
        <v>1</v>
      </c>
      <c r="F748">
        <f t="shared" si="37"/>
        <v>0</v>
      </c>
      <c r="G748" t="s">
        <v>162</v>
      </c>
      <c r="H748">
        <f t="shared" si="38"/>
        <v>1</v>
      </c>
    </row>
    <row r="749" spans="1:8">
      <c r="A749" s="4" t="s">
        <v>992</v>
      </c>
      <c r="B749" s="8" t="s">
        <v>384</v>
      </c>
      <c r="C749" s="16"/>
      <c r="D749" s="8"/>
      <c r="E749">
        <f t="shared" si="36"/>
        <v>1</v>
      </c>
      <c r="F749">
        <f t="shared" si="37"/>
        <v>1</v>
      </c>
      <c r="G749" t="s">
        <v>43</v>
      </c>
      <c r="H749">
        <f t="shared" si="38"/>
        <v>1</v>
      </c>
    </row>
    <row r="750" spans="1:8">
      <c r="A750" s="4" t="s">
        <v>993</v>
      </c>
      <c r="B750" s="8" t="s">
        <v>384</v>
      </c>
      <c r="C750" s="16"/>
      <c r="D750" s="8"/>
      <c r="E750">
        <f t="shared" si="36"/>
        <v>1</v>
      </c>
      <c r="F750">
        <f t="shared" si="37"/>
        <v>1</v>
      </c>
      <c r="G750" t="s">
        <v>77</v>
      </c>
      <c r="H750">
        <f t="shared" si="38"/>
        <v>1</v>
      </c>
    </row>
    <row r="751" spans="1:8">
      <c r="A751" s="4" t="s">
        <v>994</v>
      </c>
      <c r="B751" s="8" t="s">
        <v>384</v>
      </c>
      <c r="C751" s="16"/>
      <c r="D751" s="8"/>
      <c r="E751">
        <f t="shared" si="36"/>
        <v>1</v>
      </c>
      <c r="F751">
        <f t="shared" si="37"/>
        <v>1</v>
      </c>
      <c r="G751" t="s">
        <v>995</v>
      </c>
      <c r="H751">
        <f t="shared" si="38"/>
        <v>0</v>
      </c>
    </row>
    <row r="752" spans="1:8">
      <c r="A752" s="4" t="s">
        <v>996</v>
      </c>
      <c r="B752" s="8" t="s">
        <v>13</v>
      </c>
      <c r="C752" s="16"/>
      <c r="D752" s="8"/>
      <c r="E752">
        <f t="shared" si="36"/>
        <v>1</v>
      </c>
      <c r="F752">
        <f t="shared" si="37"/>
        <v>0</v>
      </c>
      <c r="G752" t="s">
        <v>997</v>
      </c>
      <c r="H752">
        <f t="shared" si="38"/>
        <v>0</v>
      </c>
    </row>
    <row r="753" spans="1:8">
      <c r="A753" s="4" t="s">
        <v>998</v>
      </c>
      <c r="B753" s="8" t="s">
        <v>34</v>
      </c>
      <c r="C753" s="16"/>
      <c r="D753" s="8"/>
      <c r="E753">
        <f t="shared" si="36"/>
        <v>1</v>
      </c>
      <c r="F753">
        <f t="shared" si="37"/>
        <v>0</v>
      </c>
      <c r="G753" t="s">
        <v>35</v>
      </c>
      <c r="H753">
        <f t="shared" si="38"/>
        <v>1</v>
      </c>
    </row>
    <row r="754" spans="1:8">
      <c r="A754" s="4" t="s">
        <v>999</v>
      </c>
      <c r="B754" s="8" t="s">
        <v>328</v>
      </c>
      <c r="C754" s="16"/>
      <c r="D754" s="8"/>
      <c r="E754">
        <f t="shared" si="36"/>
        <v>1</v>
      </c>
      <c r="F754">
        <f t="shared" si="37"/>
        <v>0</v>
      </c>
      <c r="G754" t="s">
        <v>51</v>
      </c>
      <c r="H754">
        <f t="shared" si="38"/>
        <v>1</v>
      </c>
    </row>
    <row r="755" spans="1:8">
      <c r="A755" s="4" t="s">
        <v>1000</v>
      </c>
      <c r="B755" s="8" t="s">
        <v>416</v>
      </c>
      <c r="C755" s="16"/>
      <c r="D755" s="8"/>
      <c r="E755">
        <f t="shared" si="36"/>
        <v>1</v>
      </c>
      <c r="F755">
        <f t="shared" si="37"/>
        <v>1</v>
      </c>
      <c r="G755" t="s">
        <v>338</v>
      </c>
      <c r="H755">
        <f t="shared" si="38"/>
        <v>0</v>
      </c>
    </row>
    <row r="756" spans="1:8">
      <c r="A756" s="4" t="s">
        <v>1001</v>
      </c>
      <c r="B756" s="8" t="s">
        <v>418</v>
      </c>
      <c r="C756" s="16"/>
      <c r="D756" s="8"/>
      <c r="E756">
        <f t="shared" si="36"/>
        <v>1</v>
      </c>
      <c r="F756">
        <f t="shared" si="37"/>
        <v>0</v>
      </c>
      <c r="G756" t="s">
        <v>1002</v>
      </c>
      <c r="H756">
        <f t="shared" si="38"/>
        <v>0</v>
      </c>
    </row>
    <row r="757" spans="1:8">
      <c r="A757" s="4" t="s">
        <v>1003</v>
      </c>
      <c r="B757" s="8" t="s">
        <v>418</v>
      </c>
      <c r="C757" s="16"/>
      <c r="D757" s="8"/>
      <c r="E757">
        <f t="shared" si="36"/>
        <v>1</v>
      </c>
      <c r="F757">
        <f t="shared" si="37"/>
        <v>0</v>
      </c>
      <c r="G757" t="s">
        <v>1004</v>
      </c>
      <c r="H757">
        <f t="shared" si="38"/>
        <v>0</v>
      </c>
    </row>
    <row r="758" spans="1:8">
      <c r="A758" s="4" t="s">
        <v>1005</v>
      </c>
      <c r="B758" s="8" t="s">
        <v>418</v>
      </c>
      <c r="C758" s="16"/>
      <c r="D758" s="8"/>
      <c r="E758">
        <f t="shared" si="36"/>
        <v>1</v>
      </c>
      <c r="F758">
        <f t="shared" si="37"/>
        <v>0</v>
      </c>
      <c r="G758" t="s">
        <v>118</v>
      </c>
      <c r="H758">
        <f t="shared" si="38"/>
        <v>1</v>
      </c>
    </row>
    <row r="759" spans="1:8">
      <c r="A759" s="4" t="s">
        <v>1006</v>
      </c>
      <c r="B759" s="8" t="s">
        <v>423</v>
      </c>
      <c r="C759" s="16"/>
      <c r="D759" s="8"/>
      <c r="E759">
        <f t="shared" si="36"/>
        <v>1</v>
      </c>
      <c r="F759">
        <f t="shared" si="37"/>
        <v>0</v>
      </c>
      <c r="G759" t="s">
        <v>1007</v>
      </c>
      <c r="H759">
        <f t="shared" si="38"/>
        <v>0</v>
      </c>
    </row>
    <row r="760" spans="1:8">
      <c r="A760" s="4" t="s">
        <v>1008</v>
      </c>
      <c r="B760" s="8" t="s">
        <v>426</v>
      </c>
      <c r="C760" s="16"/>
      <c r="D760" s="8"/>
      <c r="E760">
        <f t="shared" si="36"/>
        <v>1</v>
      </c>
      <c r="F760">
        <f t="shared" si="37"/>
        <v>0</v>
      </c>
      <c r="G760" t="s">
        <v>1002</v>
      </c>
      <c r="H760">
        <f t="shared" si="38"/>
        <v>0</v>
      </c>
    </row>
    <row r="761" spans="1:8">
      <c r="A761" s="4" t="s">
        <v>1009</v>
      </c>
      <c r="B761" s="8" t="s">
        <v>418</v>
      </c>
      <c r="C761" s="16"/>
      <c r="D761" s="8"/>
      <c r="E761">
        <f t="shared" si="36"/>
        <v>1</v>
      </c>
      <c r="F761">
        <f t="shared" si="37"/>
        <v>0</v>
      </c>
      <c r="G761" t="s">
        <v>1002</v>
      </c>
      <c r="H761">
        <f t="shared" si="38"/>
        <v>0</v>
      </c>
    </row>
    <row r="762" spans="1:8">
      <c r="A762" s="4" t="s">
        <v>1010</v>
      </c>
      <c r="B762" s="8" t="s">
        <v>426</v>
      </c>
      <c r="C762" s="16"/>
      <c r="D762" s="8"/>
      <c r="E762">
        <f t="shared" si="36"/>
        <v>1</v>
      </c>
      <c r="F762">
        <f t="shared" si="37"/>
        <v>0</v>
      </c>
      <c r="G762" t="s">
        <v>1004</v>
      </c>
      <c r="H762">
        <f t="shared" si="38"/>
        <v>0</v>
      </c>
    </row>
    <row r="763" spans="1:8">
      <c r="A763" s="4" t="s">
        <v>1011</v>
      </c>
      <c r="B763" s="8" t="s">
        <v>426</v>
      </c>
      <c r="C763" s="16"/>
      <c r="D763" s="8"/>
      <c r="E763">
        <f t="shared" si="36"/>
        <v>1</v>
      </c>
      <c r="F763">
        <f t="shared" si="37"/>
        <v>0</v>
      </c>
      <c r="G763" t="s">
        <v>118</v>
      </c>
      <c r="H763">
        <f t="shared" si="38"/>
        <v>1</v>
      </c>
    </row>
    <row r="764" spans="1:8">
      <c r="A764" s="4" t="s">
        <v>1012</v>
      </c>
      <c r="B764" s="8" t="s">
        <v>384</v>
      </c>
      <c r="C764" s="16"/>
      <c r="D764" s="8"/>
      <c r="E764">
        <f t="shared" si="36"/>
        <v>1</v>
      </c>
      <c r="F764">
        <f t="shared" si="37"/>
        <v>1</v>
      </c>
      <c r="G764" t="s">
        <v>77</v>
      </c>
      <c r="H764">
        <f t="shared" si="38"/>
        <v>1</v>
      </c>
    </row>
    <row r="765" spans="1:8">
      <c r="A765" s="4" t="s">
        <v>1013</v>
      </c>
      <c r="B765" s="8" t="s">
        <v>17</v>
      </c>
      <c r="C765" s="16" t="s">
        <v>1014</v>
      </c>
      <c r="D765" s="8"/>
      <c r="E765">
        <f t="shared" si="36"/>
        <v>1</v>
      </c>
      <c r="F765">
        <f t="shared" si="37"/>
        <v>0</v>
      </c>
      <c r="G765" t="s">
        <v>18</v>
      </c>
      <c r="H765">
        <f t="shared" si="38"/>
        <v>1</v>
      </c>
    </row>
    <row r="766" spans="1:8">
      <c r="A766" s="4" t="s">
        <v>1015</v>
      </c>
      <c r="B766" s="8" t="s">
        <v>17</v>
      </c>
      <c r="D766" s="8"/>
      <c r="E766">
        <f t="shared" si="36"/>
        <v>1</v>
      </c>
      <c r="F766">
        <f t="shared" si="37"/>
        <v>0</v>
      </c>
      <c r="G766" t="s">
        <v>18</v>
      </c>
      <c r="H766">
        <f t="shared" si="38"/>
        <v>1</v>
      </c>
    </row>
    <row r="767" spans="1:8">
      <c r="A767" s="4" t="s">
        <v>1016</v>
      </c>
      <c r="B767" s="8" t="s">
        <v>17</v>
      </c>
      <c r="C767" s="16" t="s">
        <v>1017</v>
      </c>
      <c r="D767" s="8"/>
      <c r="E767">
        <f t="shared" si="36"/>
        <v>1</v>
      </c>
      <c r="F767">
        <f t="shared" si="37"/>
        <v>0</v>
      </c>
      <c r="G767" t="s">
        <v>18</v>
      </c>
      <c r="H767">
        <f t="shared" si="38"/>
        <v>1</v>
      </c>
    </row>
    <row r="768" spans="1:8">
      <c r="A768" s="4" t="s">
        <v>1018</v>
      </c>
      <c r="B768" s="8" t="s">
        <v>17</v>
      </c>
      <c r="C768" s="16"/>
      <c r="D768" s="8"/>
      <c r="E768">
        <f t="shared" si="36"/>
        <v>1</v>
      </c>
      <c r="F768">
        <f t="shared" si="37"/>
        <v>0</v>
      </c>
      <c r="G768" t="s">
        <v>18</v>
      </c>
      <c r="H768">
        <f t="shared" si="38"/>
        <v>1</v>
      </c>
    </row>
    <row r="769" spans="1:8">
      <c r="A769" s="4" t="s">
        <v>1019</v>
      </c>
      <c r="B769" s="8" t="s">
        <v>17</v>
      </c>
      <c r="C769" s="16"/>
      <c r="D769" s="8"/>
      <c r="E769">
        <f t="shared" si="36"/>
        <v>1</v>
      </c>
      <c r="F769">
        <f t="shared" si="37"/>
        <v>0</v>
      </c>
      <c r="G769" t="s">
        <v>18</v>
      </c>
      <c r="H769">
        <f t="shared" si="38"/>
        <v>1</v>
      </c>
    </row>
    <row r="770" spans="1:8">
      <c r="A770" s="4" t="s">
        <v>1020</v>
      </c>
      <c r="B770" s="8" t="s">
        <v>17</v>
      </c>
      <c r="C770" s="16" t="s">
        <v>1021</v>
      </c>
      <c r="D770" s="8"/>
      <c r="E770">
        <f t="shared" ref="E770:E839" si="39">COUNTIF(K$2:K$65,B770)</f>
        <v>1</v>
      </c>
      <c r="F770">
        <f t="shared" ref="F770:F836" si="40">COUNTIF(O$5:O$29,B770)</f>
        <v>0</v>
      </c>
      <c r="G770" t="s">
        <v>18</v>
      </c>
      <c r="H770">
        <f t="shared" ref="H770:H833" si="41">COUNTIF(J$2:J$65,G770)</f>
        <v>1</v>
      </c>
    </row>
    <row r="771" spans="1:8">
      <c r="A771" s="4" t="s">
        <v>1022</v>
      </c>
      <c r="B771" s="8" t="s">
        <v>1023</v>
      </c>
      <c r="C771" s="16" t="s">
        <v>1024</v>
      </c>
      <c r="D771" s="8"/>
      <c r="E771">
        <f t="shared" si="39"/>
        <v>0</v>
      </c>
      <c r="F771">
        <f t="shared" si="40"/>
        <v>0</v>
      </c>
      <c r="G771" t="s">
        <v>18</v>
      </c>
      <c r="H771">
        <f t="shared" si="41"/>
        <v>1</v>
      </c>
    </row>
    <row r="772" spans="1:8">
      <c r="A772" s="4" t="s">
        <v>1025</v>
      </c>
      <c r="B772" s="8" t="s">
        <v>17</v>
      </c>
      <c r="C772" s="16" t="s">
        <v>1026</v>
      </c>
      <c r="D772" s="8"/>
      <c r="E772">
        <f t="shared" si="39"/>
        <v>1</v>
      </c>
      <c r="F772">
        <f t="shared" si="40"/>
        <v>0</v>
      </c>
      <c r="G772" t="s">
        <v>18</v>
      </c>
      <c r="H772">
        <f t="shared" si="41"/>
        <v>1</v>
      </c>
    </row>
    <row r="773" spans="1:8">
      <c r="A773" s="4" t="s">
        <v>1027</v>
      </c>
      <c r="B773" s="8" t="s">
        <v>17</v>
      </c>
      <c r="C773" s="16"/>
      <c r="D773" s="8"/>
      <c r="E773">
        <f t="shared" si="39"/>
        <v>1</v>
      </c>
      <c r="F773">
        <f t="shared" si="40"/>
        <v>0</v>
      </c>
      <c r="G773" t="s">
        <v>18</v>
      </c>
      <c r="H773">
        <f t="shared" si="41"/>
        <v>1</v>
      </c>
    </row>
    <row r="774" spans="1:8">
      <c r="A774" s="4" t="s">
        <v>1028</v>
      </c>
      <c r="B774" s="8" t="s">
        <v>17</v>
      </c>
      <c r="C774" s="16"/>
      <c r="D774" s="8"/>
      <c r="E774">
        <f t="shared" si="39"/>
        <v>1</v>
      </c>
      <c r="F774">
        <f t="shared" si="40"/>
        <v>0</v>
      </c>
      <c r="G774" t="s">
        <v>18</v>
      </c>
      <c r="H774">
        <f t="shared" si="41"/>
        <v>1</v>
      </c>
    </row>
    <row r="775" spans="1:8">
      <c r="A775" s="4" t="s">
        <v>1029</v>
      </c>
      <c r="B775" s="8" t="s">
        <v>17</v>
      </c>
      <c r="C775" s="16"/>
      <c r="D775" s="8"/>
      <c r="E775">
        <f t="shared" si="39"/>
        <v>1</v>
      </c>
      <c r="F775">
        <f t="shared" si="40"/>
        <v>0</v>
      </c>
      <c r="G775" t="s">
        <v>18</v>
      </c>
      <c r="H775">
        <f t="shared" si="41"/>
        <v>1</v>
      </c>
    </row>
    <row r="776" spans="1:8">
      <c r="A776" s="4" t="s">
        <v>1030</v>
      </c>
      <c r="B776" s="8" t="s">
        <v>170</v>
      </c>
      <c r="C776" s="16"/>
      <c r="D776" s="8"/>
      <c r="E776">
        <f t="shared" si="39"/>
        <v>1</v>
      </c>
      <c r="F776">
        <f t="shared" si="40"/>
        <v>1</v>
      </c>
      <c r="G776" t="s">
        <v>43</v>
      </c>
      <c r="H776">
        <f t="shared" si="41"/>
        <v>1</v>
      </c>
    </row>
    <row r="777" spans="1:8">
      <c r="A777" s="4" t="s">
        <v>1031</v>
      </c>
      <c r="B777" s="8" t="s">
        <v>13</v>
      </c>
      <c r="C777" s="16"/>
      <c r="D777" s="8"/>
      <c r="E777">
        <f t="shared" si="39"/>
        <v>1</v>
      </c>
      <c r="F777">
        <f t="shared" si="40"/>
        <v>0</v>
      </c>
      <c r="G777" t="s">
        <v>14</v>
      </c>
      <c r="H777">
        <f t="shared" si="41"/>
        <v>1</v>
      </c>
    </row>
    <row r="778" spans="1:8">
      <c r="A778" s="4" t="s">
        <v>1032</v>
      </c>
      <c r="B778" s="8" t="s">
        <v>328</v>
      </c>
      <c r="C778" s="16"/>
      <c r="D778" s="8"/>
      <c r="E778">
        <f t="shared" si="39"/>
        <v>1</v>
      </c>
      <c r="F778">
        <f t="shared" si="40"/>
        <v>0</v>
      </c>
      <c r="G778" t="s">
        <v>149</v>
      </c>
      <c r="H778">
        <f t="shared" si="41"/>
        <v>1</v>
      </c>
    </row>
    <row r="779" spans="1:8">
      <c r="A779" s="4" t="s">
        <v>1033</v>
      </c>
      <c r="B779" s="8" t="s">
        <v>34</v>
      </c>
      <c r="C779" s="16"/>
      <c r="D779" s="8"/>
      <c r="E779">
        <f t="shared" si="39"/>
        <v>1</v>
      </c>
      <c r="F779">
        <f t="shared" si="40"/>
        <v>0</v>
      </c>
      <c r="G779" t="s">
        <v>35</v>
      </c>
      <c r="H779">
        <f t="shared" si="41"/>
        <v>1</v>
      </c>
    </row>
    <row r="780" spans="1:8">
      <c r="A780" s="4" t="s">
        <v>1034</v>
      </c>
      <c r="B780" s="8" t="s">
        <v>384</v>
      </c>
      <c r="C780" s="16"/>
      <c r="D780" s="8"/>
      <c r="E780">
        <f t="shared" si="39"/>
        <v>1</v>
      </c>
      <c r="F780">
        <f t="shared" si="40"/>
        <v>1</v>
      </c>
      <c r="G780" t="s">
        <v>77</v>
      </c>
      <c r="H780">
        <f t="shared" si="41"/>
        <v>1</v>
      </c>
    </row>
    <row r="781" spans="1:8">
      <c r="A781" s="4" t="s">
        <v>1035</v>
      </c>
      <c r="B781" s="8" t="s">
        <v>384</v>
      </c>
      <c r="C781" s="16"/>
      <c r="D781" s="8"/>
      <c r="E781">
        <f t="shared" si="39"/>
        <v>1</v>
      </c>
      <c r="F781">
        <f t="shared" si="40"/>
        <v>1</v>
      </c>
      <c r="G781" t="s">
        <v>77</v>
      </c>
      <c r="H781">
        <f t="shared" si="41"/>
        <v>1</v>
      </c>
    </row>
    <row r="782" spans="1:8">
      <c r="A782" s="4" t="s">
        <v>1036</v>
      </c>
      <c r="B782" s="8" t="s">
        <v>9</v>
      </c>
      <c r="C782" s="16"/>
      <c r="D782" s="8"/>
      <c r="E782">
        <f t="shared" si="39"/>
        <v>1</v>
      </c>
      <c r="F782">
        <f t="shared" si="40"/>
        <v>3</v>
      </c>
      <c r="G782" t="s">
        <v>10</v>
      </c>
      <c r="H782">
        <f t="shared" si="41"/>
        <v>1</v>
      </c>
    </row>
    <row r="783" spans="1:8">
      <c r="A783" s="4" t="s">
        <v>1037</v>
      </c>
      <c r="B783" s="8" t="s">
        <v>13</v>
      </c>
      <c r="C783" s="16"/>
      <c r="D783" s="8"/>
      <c r="E783">
        <f t="shared" si="39"/>
        <v>1</v>
      </c>
      <c r="F783">
        <f t="shared" si="40"/>
        <v>0</v>
      </c>
      <c r="G783" t="s">
        <v>14</v>
      </c>
      <c r="H783">
        <f t="shared" si="41"/>
        <v>1</v>
      </c>
    </row>
    <row r="784" spans="1:8">
      <c r="A784" s="4" t="s">
        <v>1038</v>
      </c>
      <c r="B784" s="8" t="s">
        <v>384</v>
      </c>
      <c r="C784" s="16"/>
      <c r="D784" s="8"/>
      <c r="E784">
        <f t="shared" si="39"/>
        <v>1</v>
      </c>
      <c r="F784">
        <f t="shared" si="40"/>
        <v>1</v>
      </c>
      <c r="G784" t="s">
        <v>77</v>
      </c>
      <c r="H784">
        <f t="shared" si="41"/>
        <v>1</v>
      </c>
    </row>
    <row r="785" spans="1:8">
      <c r="A785" s="4" t="s">
        <v>1039</v>
      </c>
      <c r="B785" s="8" t="s">
        <v>38</v>
      </c>
      <c r="C785" s="16"/>
      <c r="D785" s="8"/>
      <c r="E785">
        <f t="shared" si="39"/>
        <v>1</v>
      </c>
      <c r="F785">
        <f t="shared" si="40"/>
        <v>0</v>
      </c>
      <c r="G785" t="s">
        <v>39</v>
      </c>
      <c r="H785">
        <f t="shared" si="41"/>
        <v>1</v>
      </c>
    </row>
    <row r="786" spans="1:8">
      <c r="A786" s="4" t="s">
        <v>1040</v>
      </c>
      <c r="B786" s="8" t="s">
        <v>379</v>
      </c>
      <c r="C786" s="16" t="s">
        <v>1041</v>
      </c>
      <c r="D786" s="8"/>
      <c r="E786">
        <f t="shared" si="39"/>
        <v>1</v>
      </c>
      <c r="F786">
        <f t="shared" si="40"/>
        <v>0</v>
      </c>
      <c r="G786" t="s">
        <v>107</v>
      </c>
      <c r="H786">
        <f t="shared" si="41"/>
        <v>1</v>
      </c>
    </row>
    <row r="787" spans="1:8">
      <c r="A787" s="4" t="s">
        <v>1042</v>
      </c>
      <c r="B787" s="8" t="s">
        <v>381</v>
      </c>
      <c r="C787" s="16"/>
      <c r="D787" s="8"/>
      <c r="E787">
        <f t="shared" si="39"/>
        <v>1</v>
      </c>
      <c r="F787">
        <f t="shared" si="40"/>
        <v>0</v>
      </c>
      <c r="G787" t="s">
        <v>107</v>
      </c>
      <c r="H787">
        <f t="shared" si="41"/>
        <v>1</v>
      </c>
    </row>
    <row r="788" spans="1:8">
      <c r="A788" s="4" t="s">
        <v>1043</v>
      </c>
      <c r="B788" s="8" t="s">
        <v>381</v>
      </c>
      <c r="C788" s="16"/>
      <c r="D788" s="8"/>
      <c r="E788">
        <f t="shared" si="39"/>
        <v>1</v>
      </c>
      <c r="F788">
        <f t="shared" si="40"/>
        <v>0</v>
      </c>
      <c r="G788" t="s">
        <v>109</v>
      </c>
      <c r="H788">
        <f t="shared" si="41"/>
        <v>1</v>
      </c>
    </row>
    <row r="789" spans="1:8">
      <c r="A789" s="4" t="s">
        <v>1044</v>
      </c>
      <c r="B789" s="8" t="s">
        <v>9</v>
      </c>
      <c r="C789" s="16"/>
      <c r="D789" s="8"/>
      <c r="E789">
        <f t="shared" si="39"/>
        <v>1</v>
      </c>
      <c r="F789">
        <f t="shared" si="40"/>
        <v>3</v>
      </c>
      <c r="G789" t="s">
        <v>10</v>
      </c>
      <c r="H789">
        <f t="shared" si="41"/>
        <v>1</v>
      </c>
    </row>
    <row r="790" spans="1:8">
      <c r="A790" s="4" t="s">
        <v>1045</v>
      </c>
      <c r="B790" s="8" t="s">
        <v>50</v>
      </c>
      <c r="C790" s="16"/>
      <c r="D790" s="8"/>
      <c r="E790">
        <f t="shared" si="39"/>
        <v>1</v>
      </c>
      <c r="F790">
        <f t="shared" si="40"/>
        <v>0</v>
      </c>
      <c r="G790" t="s">
        <v>51</v>
      </c>
      <c r="H790">
        <f t="shared" si="41"/>
        <v>1</v>
      </c>
    </row>
    <row r="791" spans="1:8">
      <c r="A791" s="4" t="s">
        <v>1046</v>
      </c>
      <c r="B791" s="8" t="s">
        <v>56</v>
      </c>
      <c r="C791" s="16"/>
      <c r="D791" s="8"/>
      <c r="E791">
        <f t="shared" si="39"/>
        <v>1</v>
      </c>
      <c r="F791">
        <f t="shared" si="40"/>
        <v>1</v>
      </c>
      <c r="G791" t="s">
        <v>53</v>
      </c>
      <c r="H791">
        <f t="shared" si="41"/>
        <v>1</v>
      </c>
    </row>
    <row r="792" spans="1:8">
      <c r="A792" s="4" t="s">
        <v>1047</v>
      </c>
      <c r="B792" s="8" t="s">
        <v>34</v>
      </c>
      <c r="C792" s="16" t="s">
        <v>1048</v>
      </c>
      <c r="D792" s="8"/>
      <c r="E792">
        <f t="shared" si="39"/>
        <v>1</v>
      </c>
      <c r="F792">
        <f t="shared" si="40"/>
        <v>0</v>
      </c>
      <c r="G792" t="s">
        <v>35</v>
      </c>
      <c r="H792">
        <f t="shared" si="41"/>
        <v>1</v>
      </c>
    </row>
    <row r="793" spans="1:8">
      <c r="A793" s="4" t="s">
        <v>1049</v>
      </c>
      <c r="B793" s="8" t="s">
        <v>34</v>
      </c>
      <c r="C793" s="16"/>
      <c r="D793" s="8"/>
      <c r="E793">
        <f t="shared" si="39"/>
        <v>1</v>
      </c>
      <c r="F793">
        <f t="shared" si="40"/>
        <v>0</v>
      </c>
      <c r="G793" t="s">
        <v>35</v>
      </c>
      <c r="H793">
        <f t="shared" si="41"/>
        <v>1</v>
      </c>
    </row>
    <row r="794" spans="1:8">
      <c r="A794" s="4" t="s">
        <v>1050</v>
      </c>
      <c r="B794" s="8" t="s">
        <v>34</v>
      </c>
      <c r="C794" s="16"/>
      <c r="D794" s="8"/>
      <c r="E794">
        <f t="shared" si="39"/>
        <v>1</v>
      </c>
      <c r="F794">
        <f t="shared" si="40"/>
        <v>0</v>
      </c>
      <c r="G794" t="s">
        <v>35</v>
      </c>
      <c r="H794">
        <f t="shared" si="41"/>
        <v>1</v>
      </c>
    </row>
    <row r="795" spans="1:8">
      <c r="A795" s="4" t="s">
        <v>1051</v>
      </c>
      <c r="B795" s="8" t="s">
        <v>170</v>
      </c>
      <c r="C795" s="16"/>
      <c r="D795" s="8"/>
      <c r="E795">
        <f t="shared" si="39"/>
        <v>1</v>
      </c>
      <c r="F795">
        <f t="shared" si="40"/>
        <v>1</v>
      </c>
      <c r="G795" t="s">
        <v>43</v>
      </c>
      <c r="H795">
        <f t="shared" si="41"/>
        <v>1</v>
      </c>
    </row>
    <row r="796" spans="1:8">
      <c r="A796" s="4" t="s">
        <v>1052</v>
      </c>
      <c r="B796" s="8" t="s">
        <v>50</v>
      </c>
      <c r="C796" s="16"/>
      <c r="D796" s="8"/>
      <c r="E796">
        <f t="shared" si="39"/>
        <v>1</v>
      </c>
      <c r="F796">
        <f t="shared" si="40"/>
        <v>0</v>
      </c>
      <c r="G796" t="s">
        <v>51</v>
      </c>
      <c r="H796">
        <f t="shared" si="41"/>
        <v>1</v>
      </c>
    </row>
    <row r="797" spans="1:8">
      <c r="A797" s="4" t="s">
        <v>1053</v>
      </c>
      <c r="B797" s="8" t="s">
        <v>56</v>
      </c>
      <c r="C797" s="16"/>
      <c r="D797" s="8"/>
      <c r="E797">
        <f t="shared" si="39"/>
        <v>1</v>
      </c>
      <c r="F797">
        <f t="shared" si="40"/>
        <v>1</v>
      </c>
      <c r="G797" t="s">
        <v>53</v>
      </c>
      <c r="H797">
        <f t="shared" si="41"/>
        <v>1</v>
      </c>
    </row>
    <row r="798" spans="1:8">
      <c r="A798" s="4" t="s">
        <v>1054</v>
      </c>
      <c r="B798" s="8" t="s">
        <v>56</v>
      </c>
      <c r="C798" s="16"/>
      <c r="D798" s="8"/>
      <c r="E798">
        <f t="shared" si="39"/>
        <v>1</v>
      </c>
      <c r="F798">
        <f t="shared" si="40"/>
        <v>1</v>
      </c>
      <c r="G798" t="s">
        <v>53</v>
      </c>
      <c r="H798">
        <f t="shared" si="41"/>
        <v>1</v>
      </c>
    </row>
    <row r="799" spans="1:8">
      <c r="A799" s="4" t="s">
        <v>1055</v>
      </c>
      <c r="B799" s="8" t="s">
        <v>56</v>
      </c>
      <c r="C799" s="16"/>
      <c r="D799" s="8"/>
      <c r="E799">
        <f t="shared" si="39"/>
        <v>1</v>
      </c>
      <c r="F799">
        <f t="shared" si="40"/>
        <v>1</v>
      </c>
      <c r="G799" t="s">
        <v>53</v>
      </c>
      <c r="H799">
        <f t="shared" si="41"/>
        <v>1</v>
      </c>
    </row>
    <row r="800" spans="1:8">
      <c r="A800" s="4" t="s">
        <v>1056</v>
      </c>
      <c r="B800" s="8" t="s">
        <v>223</v>
      </c>
      <c r="C800" s="16"/>
      <c r="D800" s="8"/>
      <c r="E800">
        <f t="shared" si="39"/>
        <v>1</v>
      </c>
      <c r="F800">
        <f t="shared" si="40"/>
        <v>0</v>
      </c>
      <c r="G800" t="s">
        <v>53</v>
      </c>
      <c r="H800">
        <f t="shared" si="41"/>
        <v>1</v>
      </c>
    </row>
    <row r="801" spans="1:8">
      <c r="A801" s="4" t="s">
        <v>1057</v>
      </c>
      <c r="B801" s="8" t="s">
        <v>223</v>
      </c>
      <c r="C801" s="16"/>
      <c r="D801" s="8"/>
      <c r="E801">
        <f t="shared" si="39"/>
        <v>1</v>
      </c>
      <c r="F801">
        <f t="shared" si="40"/>
        <v>0</v>
      </c>
      <c r="G801" t="s">
        <v>53</v>
      </c>
      <c r="H801">
        <f t="shared" si="41"/>
        <v>1</v>
      </c>
    </row>
    <row r="802" spans="1:8">
      <c r="A802" s="4" t="s">
        <v>1058</v>
      </c>
      <c r="B802" s="8" t="s">
        <v>56</v>
      </c>
      <c r="C802" s="16"/>
      <c r="D802" s="8"/>
      <c r="E802">
        <f t="shared" si="39"/>
        <v>1</v>
      </c>
      <c r="F802">
        <f t="shared" si="40"/>
        <v>1</v>
      </c>
      <c r="G802" t="s">
        <v>53</v>
      </c>
      <c r="H802">
        <f t="shared" si="41"/>
        <v>1</v>
      </c>
    </row>
    <row r="803" spans="1:8">
      <c r="A803" s="4" t="s">
        <v>1059</v>
      </c>
      <c r="B803" s="8" t="s">
        <v>56</v>
      </c>
      <c r="C803" s="16"/>
      <c r="D803" s="8"/>
      <c r="E803">
        <f t="shared" si="39"/>
        <v>1</v>
      </c>
      <c r="F803">
        <f t="shared" si="40"/>
        <v>1</v>
      </c>
      <c r="G803" t="s">
        <v>53</v>
      </c>
      <c r="H803">
        <f t="shared" si="41"/>
        <v>1</v>
      </c>
    </row>
    <row r="804" spans="1:8">
      <c r="A804" s="4" t="s">
        <v>1060</v>
      </c>
      <c r="B804" s="8" t="s">
        <v>9</v>
      </c>
      <c r="C804" s="16"/>
      <c r="D804" s="8"/>
      <c r="E804">
        <f t="shared" si="39"/>
        <v>1</v>
      </c>
      <c r="F804">
        <f t="shared" si="40"/>
        <v>3</v>
      </c>
      <c r="G804" t="s">
        <v>10</v>
      </c>
      <c r="H804">
        <f t="shared" si="41"/>
        <v>1</v>
      </c>
    </row>
    <row r="805" spans="1:8">
      <c r="A805" s="4" t="s">
        <v>1061</v>
      </c>
      <c r="B805" s="8" t="s">
        <v>381</v>
      </c>
      <c r="C805" s="16"/>
      <c r="D805" s="8"/>
      <c r="E805">
        <f t="shared" si="39"/>
        <v>1</v>
      </c>
      <c r="F805">
        <f t="shared" si="40"/>
        <v>0</v>
      </c>
      <c r="G805" t="s">
        <v>650</v>
      </c>
      <c r="H805">
        <f t="shared" si="41"/>
        <v>0</v>
      </c>
    </row>
    <row r="806" spans="1:8">
      <c r="A806" s="4" t="s">
        <v>1062</v>
      </c>
      <c r="B806" s="8" t="s">
        <v>50</v>
      </c>
      <c r="C806" s="16"/>
      <c r="D806" s="8"/>
      <c r="E806">
        <f t="shared" si="39"/>
        <v>1</v>
      </c>
      <c r="F806">
        <f t="shared" si="40"/>
        <v>0</v>
      </c>
      <c r="G806" t="s">
        <v>51</v>
      </c>
      <c r="H806">
        <f t="shared" si="41"/>
        <v>1</v>
      </c>
    </row>
    <row r="807" spans="1:8">
      <c r="A807" s="4" t="s">
        <v>1063</v>
      </c>
      <c r="B807" s="8" t="s">
        <v>56</v>
      </c>
      <c r="C807" s="16"/>
      <c r="D807" s="8"/>
      <c r="E807">
        <f t="shared" si="39"/>
        <v>1</v>
      </c>
      <c r="F807">
        <f t="shared" si="40"/>
        <v>1</v>
      </c>
      <c r="G807" t="s">
        <v>53</v>
      </c>
      <c r="H807">
        <f t="shared" si="41"/>
        <v>1</v>
      </c>
    </row>
    <row r="808" spans="1:8">
      <c r="A808" s="4" t="s">
        <v>1064</v>
      </c>
      <c r="B808" s="8" t="s">
        <v>56</v>
      </c>
      <c r="C808" s="16"/>
      <c r="D808" s="8"/>
      <c r="E808">
        <f t="shared" si="39"/>
        <v>1</v>
      </c>
      <c r="F808">
        <f t="shared" si="40"/>
        <v>1</v>
      </c>
      <c r="G808" t="s">
        <v>53</v>
      </c>
      <c r="H808">
        <f t="shared" si="41"/>
        <v>1</v>
      </c>
    </row>
    <row r="809" spans="1:8">
      <c r="A809" s="4" t="s">
        <v>1065</v>
      </c>
      <c r="B809" s="8" t="s">
        <v>56</v>
      </c>
      <c r="C809" s="16"/>
      <c r="D809" s="8"/>
      <c r="E809">
        <f t="shared" si="39"/>
        <v>1</v>
      </c>
      <c r="F809">
        <f t="shared" si="40"/>
        <v>1</v>
      </c>
      <c r="G809" t="s">
        <v>53</v>
      </c>
      <c r="H809">
        <f t="shared" si="41"/>
        <v>1</v>
      </c>
    </row>
    <row r="810" spans="1:8">
      <c r="A810" s="4" t="s">
        <v>1066</v>
      </c>
      <c r="B810" s="8" t="s">
        <v>223</v>
      </c>
      <c r="C810" s="16"/>
      <c r="D810" s="8"/>
      <c r="E810">
        <f t="shared" si="39"/>
        <v>1</v>
      </c>
      <c r="F810">
        <f t="shared" si="40"/>
        <v>0</v>
      </c>
      <c r="G810" t="s">
        <v>53</v>
      </c>
      <c r="H810">
        <f t="shared" si="41"/>
        <v>1</v>
      </c>
    </row>
    <row r="811" spans="1:8">
      <c r="A811" s="4" t="s">
        <v>1067</v>
      </c>
      <c r="B811" s="8" t="s">
        <v>223</v>
      </c>
      <c r="C811" s="16"/>
      <c r="D811" s="8"/>
      <c r="E811">
        <f t="shared" si="39"/>
        <v>1</v>
      </c>
      <c r="F811">
        <f t="shared" si="40"/>
        <v>0</v>
      </c>
      <c r="G811" t="s">
        <v>53</v>
      </c>
      <c r="H811">
        <f t="shared" si="41"/>
        <v>1</v>
      </c>
    </row>
    <row r="812" spans="1:8">
      <c r="A812" s="4" t="s">
        <v>1068</v>
      </c>
      <c r="B812" s="8" t="s">
        <v>56</v>
      </c>
      <c r="C812" s="16"/>
      <c r="D812" s="8"/>
      <c r="E812">
        <f t="shared" si="39"/>
        <v>1</v>
      </c>
      <c r="F812">
        <f t="shared" si="40"/>
        <v>1</v>
      </c>
      <c r="G812" t="s">
        <v>53</v>
      </c>
      <c r="H812">
        <f t="shared" si="41"/>
        <v>1</v>
      </c>
    </row>
    <row r="813" spans="1:8">
      <c r="A813" s="4" t="s">
        <v>1069</v>
      </c>
      <c r="B813" s="8" t="s">
        <v>56</v>
      </c>
      <c r="C813" s="16"/>
      <c r="D813" s="8"/>
      <c r="E813">
        <f t="shared" si="39"/>
        <v>1</v>
      </c>
      <c r="F813">
        <f t="shared" si="40"/>
        <v>1</v>
      </c>
      <c r="G813" t="s">
        <v>53</v>
      </c>
      <c r="H813">
        <f t="shared" si="41"/>
        <v>1</v>
      </c>
    </row>
    <row r="814" spans="1:8">
      <c r="A814" s="4" t="s">
        <v>1070</v>
      </c>
      <c r="B814" s="8" t="s">
        <v>9</v>
      </c>
      <c r="C814" s="16"/>
      <c r="D814" s="8"/>
      <c r="E814">
        <f t="shared" si="39"/>
        <v>1</v>
      </c>
      <c r="F814">
        <f t="shared" si="40"/>
        <v>3</v>
      </c>
      <c r="G814" t="s">
        <v>10</v>
      </c>
      <c r="H814">
        <f t="shared" si="41"/>
        <v>1</v>
      </c>
    </row>
    <row r="815" spans="1:8">
      <c r="A815" s="4" t="s">
        <v>1071</v>
      </c>
      <c r="B815" s="8" t="s">
        <v>71</v>
      </c>
      <c r="C815" s="16"/>
      <c r="D815" s="8"/>
      <c r="E815">
        <f t="shared" si="39"/>
        <v>1</v>
      </c>
      <c r="F815">
        <f t="shared" si="40"/>
        <v>0</v>
      </c>
      <c r="G815" t="s">
        <v>72</v>
      </c>
      <c r="H815">
        <f t="shared" si="41"/>
        <v>1</v>
      </c>
    </row>
    <row r="816" spans="1:8">
      <c r="A816" s="4" t="s">
        <v>1072</v>
      </c>
      <c r="B816" s="23" t="s">
        <v>197</v>
      </c>
      <c r="C816" s="16" t="s">
        <v>1073</v>
      </c>
      <c r="D816" s="8"/>
      <c r="E816">
        <f t="shared" si="39"/>
        <v>0</v>
      </c>
      <c r="F816">
        <f t="shared" si="40"/>
        <v>0</v>
      </c>
      <c r="G816" t="s">
        <v>650</v>
      </c>
      <c r="H816">
        <f t="shared" si="41"/>
        <v>0</v>
      </c>
    </row>
    <row r="817" spans="1:8">
      <c r="A817" s="4" t="s">
        <v>1074</v>
      </c>
      <c r="B817" s="8" t="s">
        <v>13</v>
      </c>
      <c r="C817" s="16"/>
      <c r="D817" s="8"/>
      <c r="E817">
        <f t="shared" si="39"/>
        <v>1</v>
      </c>
      <c r="F817">
        <f t="shared" si="40"/>
        <v>0</v>
      </c>
      <c r="G817" t="s">
        <v>14</v>
      </c>
      <c r="H817">
        <f t="shared" si="41"/>
        <v>1</v>
      </c>
    </row>
    <row r="818" spans="1:8">
      <c r="A818" s="4" t="s">
        <v>1075</v>
      </c>
      <c r="B818" s="8" t="s">
        <v>381</v>
      </c>
      <c r="C818" s="16"/>
      <c r="D818" s="8"/>
      <c r="E818">
        <f t="shared" si="39"/>
        <v>1</v>
      </c>
      <c r="F818">
        <f t="shared" si="40"/>
        <v>0</v>
      </c>
      <c r="G818" t="s">
        <v>1076</v>
      </c>
      <c r="H818">
        <f t="shared" si="41"/>
        <v>0</v>
      </c>
    </row>
    <row r="819" spans="1:8">
      <c r="A819" s="4" t="s">
        <v>1077</v>
      </c>
      <c r="B819" s="8" t="s">
        <v>38</v>
      </c>
      <c r="C819" s="16" t="s">
        <v>1078</v>
      </c>
      <c r="D819" s="8"/>
      <c r="E819">
        <f t="shared" si="39"/>
        <v>1</v>
      </c>
      <c r="F819">
        <f t="shared" si="40"/>
        <v>0</v>
      </c>
      <c r="G819" t="s">
        <v>39</v>
      </c>
      <c r="H819">
        <f t="shared" si="41"/>
        <v>1</v>
      </c>
    </row>
    <row r="820" spans="1:8">
      <c r="A820" s="4" t="s">
        <v>1079</v>
      </c>
      <c r="B820" s="8" t="s">
        <v>79</v>
      </c>
      <c r="C820" s="16"/>
      <c r="D820" s="8"/>
      <c r="E820">
        <f t="shared" si="39"/>
        <v>1</v>
      </c>
      <c r="F820">
        <f t="shared" si="40"/>
        <v>0</v>
      </c>
      <c r="G820" t="s">
        <v>160</v>
      </c>
      <c r="H820">
        <f t="shared" si="41"/>
        <v>1</v>
      </c>
    </row>
    <row r="821" spans="1:8">
      <c r="A821" s="4" t="s">
        <v>1080</v>
      </c>
      <c r="B821" s="8" t="s">
        <v>84</v>
      </c>
      <c r="C821" s="16"/>
      <c r="D821" s="8"/>
      <c r="E821">
        <f t="shared" si="39"/>
        <v>1</v>
      </c>
      <c r="F821">
        <f t="shared" si="40"/>
        <v>0</v>
      </c>
      <c r="G821" t="s">
        <v>160</v>
      </c>
      <c r="H821">
        <f t="shared" si="41"/>
        <v>1</v>
      </c>
    </row>
    <row r="822" spans="1:8">
      <c r="A822" s="4" t="s">
        <v>1081</v>
      </c>
      <c r="B822" s="8" t="s">
        <v>106</v>
      </c>
      <c r="C822" s="16"/>
      <c r="D822" s="8"/>
      <c r="E822">
        <f t="shared" si="39"/>
        <v>1</v>
      </c>
      <c r="F822">
        <f t="shared" si="40"/>
        <v>0</v>
      </c>
      <c r="G822" t="s">
        <v>160</v>
      </c>
      <c r="H822">
        <f t="shared" si="41"/>
        <v>1</v>
      </c>
    </row>
    <row r="823" spans="1:8">
      <c r="A823" s="4" t="s">
        <v>1082</v>
      </c>
      <c r="B823" s="8" t="s">
        <v>13</v>
      </c>
      <c r="C823" s="16"/>
      <c r="D823" s="8"/>
      <c r="E823">
        <f t="shared" si="39"/>
        <v>1</v>
      </c>
      <c r="F823">
        <f t="shared" si="40"/>
        <v>0</v>
      </c>
      <c r="G823" t="s">
        <v>401</v>
      </c>
      <c r="H823">
        <f t="shared" si="41"/>
        <v>0</v>
      </c>
    </row>
    <row r="824" spans="1:8">
      <c r="A824" s="4" t="s">
        <v>1083</v>
      </c>
      <c r="B824" s="8" t="s">
        <v>381</v>
      </c>
      <c r="C824" s="16"/>
      <c r="D824" s="8"/>
      <c r="E824">
        <f t="shared" si="39"/>
        <v>1</v>
      </c>
      <c r="F824">
        <f t="shared" si="40"/>
        <v>0</v>
      </c>
      <c r="G824" t="s">
        <v>109</v>
      </c>
      <c r="H824">
        <f t="shared" si="41"/>
        <v>1</v>
      </c>
    </row>
    <row r="825" spans="1:8">
      <c r="A825" s="4" t="s">
        <v>1084</v>
      </c>
      <c r="B825" s="8" t="s">
        <v>13</v>
      </c>
      <c r="C825" s="16"/>
      <c r="D825" s="8"/>
      <c r="E825">
        <f t="shared" si="39"/>
        <v>1</v>
      </c>
      <c r="F825">
        <f t="shared" si="40"/>
        <v>0</v>
      </c>
      <c r="G825" t="s">
        <v>1085</v>
      </c>
      <c r="H825">
        <f t="shared" si="41"/>
        <v>0</v>
      </c>
    </row>
    <row r="826" spans="1:8">
      <c r="A826" s="4" t="s">
        <v>1086</v>
      </c>
      <c r="B826" s="8" t="s">
        <v>379</v>
      </c>
      <c r="C826" s="16"/>
      <c r="D826" s="8"/>
      <c r="E826">
        <f t="shared" si="39"/>
        <v>1</v>
      </c>
      <c r="F826">
        <f t="shared" si="40"/>
        <v>0</v>
      </c>
      <c r="G826" t="s">
        <v>107</v>
      </c>
      <c r="H826">
        <f t="shared" si="41"/>
        <v>1</v>
      </c>
    </row>
    <row r="827" spans="1:8">
      <c r="A827" s="4" t="s">
        <v>1087</v>
      </c>
      <c r="B827" s="8" t="s">
        <v>201</v>
      </c>
      <c r="C827" s="16"/>
      <c r="D827" s="8"/>
      <c r="E827">
        <f t="shared" si="39"/>
        <v>1</v>
      </c>
      <c r="F827">
        <f t="shared" si="40"/>
        <v>0</v>
      </c>
      <c r="G827" t="s">
        <v>162</v>
      </c>
      <c r="H827">
        <f t="shared" si="41"/>
        <v>1</v>
      </c>
    </row>
    <row r="828" spans="1:8">
      <c r="A828" s="4" t="s">
        <v>1088</v>
      </c>
      <c r="B828" s="8" t="s">
        <v>9</v>
      </c>
      <c r="C828" s="16"/>
      <c r="D828" s="8"/>
      <c r="E828">
        <f t="shared" si="39"/>
        <v>1</v>
      </c>
      <c r="F828">
        <f t="shared" si="40"/>
        <v>3</v>
      </c>
      <c r="G828" t="s">
        <v>10</v>
      </c>
      <c r="H828">
        <f t="shared" si="41"/>
        <v>1</v>
      </c>
    </row>
    <row r="829" spans="1:8">
      <c r="A829" s="4" t="s">
        <v>1089</v>
      </c>
      <c r="B829" s="8" t="s">
        <v>179</v>
      </c>
      <c r="C829" s="16"/>
      <c r="D829" s="8"/>
      <c r="E829">
        <f t="shared" si="39"/>
        <v>1</v>
      </c>
      <c r="F829">
        <f t="shared" si="40"/>
        <v>0</v>
      </c>
      <c r="G829" t="s">
        <v>44</v>
      </c>
      <c r="H829">
        <f t="shared" si="41"/>
        <v>1</v>
      </c>
    </row>
    <row r="830" spans="1:8">
      <c r="A830" s="4" t="s">
        <v>1090</v>
      </c>
      <c r="B830" s="8" t="s">
        <v>179</v>
      </c>
      <c r="C830" s="16"/>
      <c r="D830" s="8"/>
      <c r="E830">
        <f t="shared" si="39"/>
        <v>1</v>
      </c>
      <c r="F830">
        <f t="shared" si="40"/>
        <v>0</v>
      </c>
      <c r="G830" t="s">
        <v>44</v>
      </c>
      <c r="H830">
        <f t="shared" si="41"/>
        <v>1</v>
      </c>
    </row>
    <row r="831" spans="1:8">
      <c r="A831" s="4" t="s">
        <v>1091</v>
      </c>
      <c r="B831" s="8" t="s">
        <v>179</v>
      </c>
      <c r="C831" s="16"/>
      <c r="D831" s="8"/>
      <c r="E831">
        <f t="shared" si="39"/>
        <v>1</v>
      </c>
      <c r="F831">
        <f t="shared" si="40"/>
        <v>0</v>
      </c>
      <c r="G831" t="s">
        <v>44</v>
      </c>
      <c r="H831">
        <f t="shared" si="41"/>
        <v>1</v>
      </c>
    </row>
    <row r="832" spans="1:8">
      <c r="A832" s="4" t="s">
        <v>1092</v>
      </c>
      <c r="B832" s="8" t="s">
        <v>201</v>
      </c>
      <c r="C832" s="16"/>
      <c r="D832" s="8"/>
      <c r="E832">
        <f t="shared" si="39"/>
        <v>1</v>
      </c>
      <c r="F832">
        <f t="shared" si="40"/>
        <v>0</v>
      </c>
      <c r="G832" t="s">
        <v>162</v>
      </c>
      <c r="H832">
        <f t="shared" si="41"/>
        <v>1</v>
      </c>
    </row>
    <row r="833" spans="1:8">
      <c r="A833" s="4" t="s">
        <v>1093</v>
      </c>
      <c r="B833" s="8" t="s">
        <v>201</v>
      </c>
      <c r="C833" s="16"/>
      <c r="D833" s="8"/>
      <c r="E833">
        <f t="shared" si="39"/>
        <v>1</v>
      </c>
      <c r="F833">
        <f t="shared" si="40"/>
        <v>0</v>
      </c>
      <c r="G833" t="s">
        <v>162</v>
      </c>
      <c r="H833">
        <f t="shared" si="41"/>
        <v>1</v>
      </c>
    </row>
    <row r="834" spans="1:8">
      <c r="A834" s="4" t="s">
        <v>1094</v>
      </c>
      <c r="B834" s="8" t="s">
        <v>201</v>
      </c>
      <c r="C834" s="16"/>
      <c r="D834" s="8"/>
      <c r="E834">
        <f t="shared" si="39"/>
        <v>1</v>
      </c>
      <c r="F834">
        <f t="shared" si="40"/>
        <v>0</v>
      </c>
      <c r="G834" t="s">
        <v>162</v>
      </c>
      <c r="H834">
        <f t="shared" ref="H834:H836" si="42">COUNTIF(J$2:J$65,G834)</f>
        <v>1</v>
      </c>
    </row>
    <row r="835" spans="1:8">
      <c r="A835" s="4" t="s">
        <v>1095</v>
      </c>
      <c r="B835" s="8" t="s">
        <v>201</v>
      </c>
      <c r="C835" s="16"/>
      <c r="D835" s="8"/>
      <c r="E835">
        <f t="shared" si="39"/>
        <v>1</v>
      </c>
      <c r="F835">
        <f t="shared" si="40"/>
        <v>0</v>
      </c>
      <c r="G835" t="s">
        <v>162</v>
      </c>
      <c r="H835">
        <f t="shared" si="42"/>
        <v>1</v>
      </c>
    </row>
    <row r="836" spans="1:8">
      <c r="A836" s="4" t="s">
        <v>1096</v>
      </c>
      <c r="B836" s="8" t="s">
        <v>201</v>
      </c>
      <c r="C836" s="16"/>
      <c r="D836" s="8"/>
      <c r="E836">
        <f t="shared" si="39"/>
        <v>1</v>
      </c>
      <c r="F836">
        <f t="shared" si="40"/>
        <v>0</v>
      </c>
      <c r="G836" t="s">
        <v>162</v>
      </c>
      <c r="H836">
        <f t="shared" si="42"/>
        <v>1</v>
      </c>
    </row>
    <row r="837" spans="1:5">
      <c r="A837" s="9" t="s">
        <v>1097</v>
      </c>
      <c r="B837" s="10" t="s">
        <v>142</v>
      </c>
      <c r="C837" s="25"/>
      <c r="E837">
        <f t="shared" si="39"/>
        <v>1</v>
      </c>
    </row>
    <row r="838" spans="1:5">
      <c r="A838" s="26" t="s">
        <v>1098</v>
      </c>
      <c r="B838" s="26" t="s">
        <v>527</v>
      </c>
      <c r="C838" s="26" t="s">
        <v>1099</v>
      </c>
      <c r="E838">
        <f t="shared" si="39"/>
        <v>0</v>
      </c>
    </row>
    <row r="839" spans="1:5">
      <c r="A839" s="26" t="s">
        <v>1100</v>
      </c>
      <c r="B839" s="26" t="s">
        <v>527</v>
      </c>
      <c r="C839" s="26" t="s">
        <v>1101</v>
      </c>
      <c r="E839">
        <f t="shared" si="39"/>
        <v>0</v>
      </c>
    </row>
    <row r="840" spans="1:3">
      <c r="A840" s="27" t="s">
        <v>1102</v>
      </c>
      <c r="B840" s="27" t="s">
        <v>1103</v>
      </c>
      <c r="C840" s="27" t="s">
        <v>1104</v>
      </c>
    </row>
    <row r="841" spans="1:3">
      <c r="A841" s="27" t="s">
        <v>1105</v>
      </c>
      <c r="B841" s="27" t="s">
        <v>1106</v>
      </c>
      <c r="C841" s="27" t="s">
        <v>1107</v>
      </c>
    </row>
    <row r="842" spans="1:3">
      <c r="A842" s="27" t="s">
        <v>1108</v>
      </c>
      <c r="B842" s="27" t="s">
        <v>1109</v>
      </c>
      <c r="C842" s="27" t="s">
        <v>1110</v>
      </c>
    </row>
    <row r="843" spans="1:3">
      <c r="A843" s="27" t="s">
        <v>1111</v>
      </c>
      <c r="B843" s="27" t="s">
        <v>1109</v>
      </c>
      <c r="C843" s="27" t="s">
        <v>1112</v>
      </c>
    </row>
    <row r="844" spans="1:3">
      <c r="A844" s="27" t="s">
        <v>1113</v>
      </c>
      <c r="B844" s="27" t="s">
        <v>1114</v>
      </c>
      <c r="C844" s="27" t="s">
        <v>1115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8"/>
  <sheetViews>
    <sheetView workbookViewId="0">
      <selection activeCell="B1" sqref="A$1:B$1048576"/>
    </sheetView>
  </sheetViews>
  <sheetFormatPr defaultColWidth="9" defaultRowHeight="14.5"/>
  <cols>
    <col min="1" max="1" width="70.1775700934579" customWidth="1"/>
    <col min="2" max="2" width="45.7289719626168" customWidth="1"/>
    <col min="3" max="3" width="48.6355140186916" customWidth="1"/>
    <col min="4" max="4" width="4.72897196261682" customWidth="1"/>
    <col min="5" max="5" width="30.3644859813084" customWidth="1"/>
    <col min="6" max="6" width="22.7289719626168" customWidth="1"/>
    <col min="7" max="7" width="19.5420560747664" customWidth="1"/>
    <col min="8" max="8" width="32" customWidth="1"/>
    <col min="10" max="10" width="43.5420560747664" customWidth="1"/>
    <col min="12" max="12" width="13.9065420560748" customWidth="1"/>
  </cols>
  <sheetData>
    <row r="1" spans="1:12">
      <c r="A1" s="1" t="s">
        <v>0</v>
      </c>
      <c r="B1" s="2" t="s">
        <v>1116</v>
      </c>
      <c r="C1" s="2" t="s">
        <v>1117</v>
      </c>
      <c r="D1" s="3"/>
      <c r="E1" s="3"/>
      <c r="F1" t="s">
        <v>1118</v>
      </c>
      <c r="G1" t="s">
        <v>1119</v>
      </c>
      <c r="H1" t="s">
        <v>1120</v>
      </c>
      <c r="L1" t="s">
        <v>1121</v>
      </c>
    </row>
    <row r="2" spans="1:12">
      <c r="A2" s="4" t="s">
        <v>8</v>
      </c>
      <c r="B2" s="5" t="s">
        <v>9</v>
      </c>
      <c r="C2" t="str">
        <f>VLOOKUP(A2,E$2:J$838,6)</f>
        <v>ddhub:LengthQuantity</v>
      </c>
      <c r="D2">
        <f>IF(B2=C2,1,0)</f>
        <v>1</v>
      </c>
      <c r="E2" t="str">
        <f>"ddhub:"&amp;F2</f>
        <v>ddhub:Aangstroem</v>
      </c>
      <c r="F2" t="s">
        <v>1122</v>
      </c>
      <c r="G2" t="s">
        <v>10</v>
      </c>
      <c r="H2" t="s">
        <v>1123</v>
      </c>
      <c r="J2" t="str">
        <f>"ddhub:"&amp;G2</f>
        <v>ddhub:LengthQuantity</v>
      </c>
      <c r="K2">
        <f>IF(B2=J2,1,0)</f>
        <v>1</v>
      </c>
      <c r="L2" t="str">
        <f>IF(D2=K2,".","?")</f>
        <v>.</v>
      </c>
    </row>
    <row r="3" spans="1:12">
      <c r="A3" s="4" t="s">
        <v>12</v>
      </c>
      <c r="B3" s="8" t="s">
        <v>13</v>
      </c>
      <c r="C3" t="str">
        <f t="shared" ref="C3:C66" si="0">VLOOKUP(A3,E$2:J$838,6)</f>
        <v>ddhub:ElectricCurrentQuantity</v>
      </c>
      <c r="D3">
        <f t="shared" ref="D3:D66" si="1">IF(B3=C3,1,0)</f>
        <v>1</v>
      </c>
      <c r="E3" t="str">
        <f t="shared" ref="E3:E66" si="2">"ddhub:"&amp;F3</f>
        <v>ddhub:Abampere</v>
      </c>
      <c r="F3" t="s">
        <v>1124</v>
      </c>
      <c r="G3" t="s">
        <v>14</v>
      </c>
      <c r="H3" t="s">
        <v>1125</v>
      </c>
      <c r="J3" t="str">
        <f t="shared" ref="J3:J50" si="3">"ddhub:"&amp;G3</f>
        <v>ddhub:ElectricCurrentQuantity</v>
      </c>
      <c r="K3">
        <f t="shared" ref="K3:K50" si="4">IF(B3=J3,1,0)</f>
        <v>1</v>
      </c>
      <c r="L3" t="str">
        <f t="shared" ref="L3:L66" si="5">IF(D3=K3,".","?")</f>
        <v>.</v>
      </c>
    </row>
    <row r="4" spans="1:12">
      <c r="A4" s="4" t="s">
        <v>16</v>
      </c>
      <c r="B4" s="8" t="s">
        <v>17</v>
      </c>
      <c r="C4" t="str">
        <f t="shared" si="0"/>
        <v>ddhub:AreaQuantity</v>
      </c>
      <c r="D4">
        <f t="shared" si="1"/>
        <v>1</v>
      </c>
      <c r="E4" t="str">
        <f t="shared" si="2"/>
        <v>ddhub:Acre</v>
      </c>
      <c r="F4" t="s">
        <v>1126</v>
      </c>
      <c r="G4" t="s">
        <v>18</v>
      </c>
      <c r="H4" t="s">
        <v>1127</v>
      </c>
      <c r="J4" t="str">
        <f t="shared" si="3"/>
        <v>ddhub:AreaQuantity</v>
      </c>
      <c r="K4">
        <f t="shared" si="4"/>
        <v>1</v>
      </c>
      <c r="L4" t="str">
        <f t="shared" si="5"/>
        <v>.</v>
      </c>
    </row>
    <row r="5" spans="1:12">
      <c r="A5" s="4" t="s">
        <v>20</v>
      </c>
      <c r="B5" s="8" t="s">
        <v>13</v>
      </c>
      <c r="C5" t="str">
        <f t="shared" si="0"/>
        <v>ddhub:ElectricCurrentQuantity</v>
      </c>
      <c r="D5">
        <f t="shared" si="1"/>
        <v>1</v>
      </c>
      <c r="E5" t="str">
        <f t="shared" si="2"/>
        <v>ddhub:Ampere</v>
      </c>
      <c r="F5" t="s">
        <v>1128</v>
      </c>
      <c r="G5" t="s">
        <v>14</v>
      </c>
      <c r="H5" t="s">
        <v>1129</v>
      </c>
      <c r="J5" t="str">
        <f t="shared" si="3"/>
        <v>ddhub:ElectricCurrentQuantity</v>
      </c>
      <c r="K5">
        <f t="shared" si="4"/>
        <v>1</v>
      </c>
      <c r="L5" t="str">
        <f t="shared" si="5"/>
        <v>.</v>
      </c>
    </row>
    <row r="6" spans="1:12">
      <c r="A6" s="4" t="s">
        <v>24</v>
      </c>
      <c r="B6" s="8" t="s">
        <v>25</v>
      </c>
      <c r="C6" t="str">
        <f t="shared" si="0"/>
        <v>ddhub:PlaneAngleQuantity</v>
      </c>
      <c r="D6">
        <f t="shared" si="1"/>
        <v>1</v>
      </c>
      <c r="E6" t="str">
        <f t="shared" si="2"/>
        <v>ddhub:ArcMinute</v>
      </c>
      <c r="F6" t="s">
        <v>1130</v>
      </c>
      <c r="G6" t="s">
        <v>26</v>
      </c>
      <c r="H6" t="s">
        <v>1131</v>
      </c>
      <c r="J6" t="str">
        <f t="shared" si="3"/>
        <v>ddhub:PlaneAngleQuantity</v>
      </c>
      <c r="K6">
        <f t="shared" si="4"/>
        <v>1</v>
      </c>
      <c r="L6" t="str">
        <f t="shared" si="5"/>
        <v>.</v>
      </c>
    </row>
    <row r="7" spans="1:12">
      <c r="A7" s="4" t="s">
        <v>28</v>
      </c>
      <c r="B7" s="8" t="s">
        <v>25</v>
      </c>
      <c r="C7" t="str">
        <f t="shared" si="0"/>
        <v>ddhub:PlaneAngleQuantity</v>
      </c>
      <c r="D7">
        <f t="shared" si="1"/>
        <v>1</v>
      </c>
      <c r="E7" t="str">
        <f t="shared" si="2"/>
        <v>ddhub:ArcSecond</v>
      </c>
      <c r="F7" t="s">
        <v>1132</v>
      </c>
      <c r="G7" t="s">
        <v>26</v>
      </c>
      <c r="H7" t="s">
        <v>1133</v>
      </c>
      <c r="J7" t="str">
        <f t="shared" si="3"/>
        <v>ddhub:PlaneAngleQuantity</v>
      </c>
      <c r="K7">
        <f t="shared" si="4"/>
        <v>1</v>
      </c>
      <c r="L7" t="str">
        <f t="shared" si="5"/>
        <v>.</v>
      </c>
    </row>
    <row r="8" spans="1:12">
      <c r="A8" s="4" t="s">
        <v>30</v>
      </c>
      <c r="B8" s="5" t="s">
        <v>9</v>
      </c>
      <c r="C8" t="str">
        <f t="shared" si="0"/>
        <v>ddhub:LengthQuantity</v>
      </c>
      <c r="D8">
        <f t="shared" si="1"/>
        <v>1</v>
      </c>
      <c r="E8" t="str">
        <f t="shared" si="2"/>
        <v>ddhub:AstronomicalUnit</v>
      </c>
      <c r="F8" t="s">
        <v>1134</v>
      </c>
      <c r="G8" t="s">
        <v>10</v>
      </c>
      <c r="H8" t="s">
        <v>1135</v>
      </c>
      <c r="J8" t="str">
        <f t="shared" si="3"/>
        <v>ddhub:LengthQuantity</v>
      </c>
      <c r="K8">
        <f t="shared" si="4"/>
        <v>1</v>
      </c>
      <c r="L8" t="str">
        <f t="shared" si="5"/>
        <v>.</v>
      </c>
    </row>
    <row r="9" spans="1:12">
      <c r="A9" s="4" t="s">
        <v>33</v>
      </c>
      <c r="B9" s="8" t="s">
        <v>34</v>
      </c>
      <c r="C9" t="str">
        <f t="shared" si="0"/>
        <v>ddhub:MassQuantity</v>
      </c>
      <c r="D9">
        <f t="shared" si="1"/>
        <v>1</v>
      </c>
      <c r="E9" t="str">
        <f t="shared" si="2"/>
        <v>ddhub:AtomMassUnit</v>
      </c>
      <c r="F9" t="s">
        <v>1136</v>
      </c>
      <c r="G9" t="s">
        <v>35</v>
      </c>
      <c r="H9" t="s">
        <v>1137</v>
      </c>
      <c r="J9" t="str">
        <f t="shared" si="3"/>
        <v>ddhub:MassQuantity</v>
      </c>
      <c r="K9">
        <f t="shared" si="4"/>
        <v>1</v>
      </c>
      <c r="L9" t="str">
        <f t="shared" si="5"/>
        <v>.</v>
      </c>
    </row>
    <row r="10" spans="1:12">
      <c r="A10" s="4" t="s">
        <v>37</v>
      </c>
      <c r="B10" s="8" t="s">
        <v>38</v>
      </c>
      <c r="C10" t="str">
        <f t="shared" si="0"/>
        <v>ddhub:PowerQuantity</v>
      </c>
      <c r="D10">
        <f t="shared" si="1"/>
        <v>1</v>
      </c>
      <c r="E10" t="str">
        <f t="shared" si="2"/>
        <v>ddhub:Attowatt</v>
      </c>
      <c r="F10" t="s">
        <v>1138</v>
      </c>
      <c r="G10" t="s">
        <v>39</v>
      </c>
      <c r="H10" t="s">
        <v>1139</v>
      </c>
      <c r="J10" t="str">
        <f t="shared" si="3"/>
        <v>ddhub:PowerQuantity</v>
      </c>
      <c r="K10">
        <f t="shared" si="4"/>
        <v>1</v>
      </c>
      <c r="L10" t="str">
        <f t="shared" si="5"/>
        <v>.</v>
      </c>
    </row>
    <row r="11" spans="1:12">
      <c r="A11" s="4" t="s">
        <v>41</v>
      </c>
      <c r="B11" s="5" t="s">
        <v>170</v>
      </c>
      <c r="C11" t="str">
        <f t="shared" si="0"/>
        <v>ddhub:PressureQuantity</v>
      </c>
      <c r="D11">
        <f t="shared" si="1"/>
        <v>1</v>
      </c>
      <c r="E11" t="str">
        <f t="shared" si="2"/>
        <v>ddhub:Bar</v>
      </c>
      <c r="F11" t="s">
        <v>1140</v>
      </c>
      <c r="G11" t="s">
        <v>43</v>
      </c>
      <c r="H11" t="s">
        <v>1141</v>
      </c>
      <c r="J11" t="str">
        <f t="shared" si="3"/>
        <v>ddhub:PressureQuantity</v>
      </c>
      <c r="K11">
        <f t="shared" si="4"/>
        <v>1</v>
      </c>
      <c r="L11" t="str">
        <f t="shared" si="5"/>
        <v>.</v>
      </c>
    </row>
    <row r="12" spans="1:12">
      <c r="A12" s="4" t="s">
        <v>45</v>
      </c>
      <c r="B12" s="8" t="s">
        <v>46</v>
      </c>
      <c r="C12" t="str">
        <f t="shared" si="0"/>
        <v>ddhub:PressureGradientPerLengthQuantity</v>
      </c>
      <c r="D12">
        <f t="shared" si="1"/>
        <v>1</v>
      </c>
      <c r="E12" t="str">
        <f t="shared" si="2"/>
        <v>ddhub:BarPerMetre</v>
      </c>
      <c r="F12" t="s">
        <v>1142</v>
      </c>
      <c r="G12" t="s">
        <v>47</v>
      </c>
      <c r="H12" t="s">
        <v>1143</v>
      </c>
      <c r="J12" t="str">
        <f t="shared" si="3"/>
        <v>ddhub:PressureGradientPerLengthQuantity</v>
      </c>
      <c r="K12">
        <f t="shared" si="4"/>
        <v>1</v>
      </c>
      <c r="L12" t="str">
        <f t="shared" si="5"/>
        <v>.</v>
      </c>
    </row>
    <row r="13" spans="1:12">
      <c r="A13" s="4" t="s">
        <v>49</v>
      </c>
      <c r="B13" s="8" t="s">
        <v>50</v>
      </c>
      <c r="C13" t="str">
        <f t="shared" si="0"/>
        <v>ddhub:VolumeQuantity</v>
      </c>
      <c r="D13">
        <f t="shared" si="1"/>
        <v>1</v>
      </c>
      <c r="E13" t="str">
        <f t="shared" si="2"/>
        <v>ddhub:Barrel</v>
      </c>
      <c r="F13" t="s">
        <v>1144</v>
      </c>
      <c r="G13" t="s">
        <v>51</v>
      </c>
      <c r="H13" t="s">
        <v>1145</v>
      </c>
      <c r="J13" t="str">
        <f t="shared" si="3"/>
        <v>ddhub:VolumeQuantity</v>
      </c>
      <c r="K13">
        <f t="shared" si="4"/>
        <v>1</v>
      </c>
      <c r="L13" t="str">
        <f t="shared" si="5"/>
        <v>.</v>
      </c>
    </row>
    <row r="14" spans="1:12">
      <c r="A14" s="4" t="s">
        <v>55</v>
      </c>
      <c r="B14" s="5" t="s">
        <v>56</v>
      </c>
      <c r="C14" t="str">
        <f t="shared" si="0"/>
        <v>ddhub:VolumetricFlowRateQuantity</v>
      </c>
      <c r="D14">
        <f t="shared" si="1"/>
        <v>1</v>
      </c>
      <c r="E14" t="str">
        <f t="shared" si="2"/>
        <v>ddhub:BarrelPerDay</v>
      </c>
      <c r="F14" t="s">
        <v>1146</v>
      </c>
      <c r="G14" t="s">
        <v>53</v>
      </c>
      <c r="H14" t="s">
        <v>1147</v>
      </c>
      <c r="J14" t="str">
        <f t="shared" si="3"/>
        <v>ddhub:VolumetricFlowRateQuantity</v>
      </c>
      <c r="K14">
        <f t="shared" si="4"/>
        <v>1</v>
      </c>
      <c r="L14" t="str">
        <f t="shared" si="5"/>
        <v>.</v>
      </c>
    </row>
    <row r="15" spans="1:12">
      <c r="A15" s="4" t="s">
        <v>57</v>
      </c>
      <c r="B15" s="5" t="s">
        <v>56</v>
      </c>
      <c r="C15" t="str">
        <f t="shared" si="0"/>
        <v>ddhub:VolumetricFlowRateQuantity</v>
      </c>
      <c r="D15">
        <f t="shared" si="1"/>
        <v>1</v>
      </c>
      <c r="E15" t="str">
        <f t="shared" si="2"/>
        <v>ddhub:BarrelPerHour</v>
      </c>
      <c r="F15" t="s">
        <v>1148</v>
      </c>
      <c r="G15" t="s">
        <v>53</v>
      </c>
      <c r="H15" t="s">
        <v>1147</v>
      </c>
      <c r="J15" t="str">
        <f t="shared" si="3"/>
        <v>ddhub:VolumetricFlowRateQuantity</v>
      </c>
      <c r="K15">
        <f t="shared" si="4"/>
        <v>1</v>
      </c>
      <c r="L15" t="str">
        <f t="shared" si="5"/>
        <v>.</v>
      </c>
    </row>
    <row r="16" spans="1:12">
      <c r="A16" s="4" t="s">
        <v>59</v>
      </c>
      <c r="B16" s="5" t="s">
        <v>56</v>
      </c>
      <c r="C16" t="str">
        <f t="shared" si="0"/>
        <v>ddhub:VolumetricFlowRateQuantity</v>
      </c>
      <c r="D16">
        <f t="shared" si="1"/>
        <v>1</v>
      </c>
      <c r="E16" t="str">
        <f t="shared" si="2"/>
        <v>ddhub:BarrelPerMinute</v>
      </c>
      <c r="F16" t="s">
        <v>1149</v>
      </c>
      <c r="G16" t="s">
        <v>53</v>
      </c>
      <c r="H16" t="s">
        <v>1147</v>
      </c>
      <c r="J16" t="str">
        <f t="shared" si="3"/>
        <v>ddhub:VolumetricFlowRateQuantity</v>
      </c>
      <c r="K16">
        <f t="shared" si="4"/>
        <v>1</v>
      </c>
      <c r="L16" t="str">
        <f t="shared" si="5"/>
        <v>.</v>
      </c>
    </row>
    <row r="17" spans="1:12">
      <c r="A17" s="4" t="s">
        <v>63</v>
      </c>
      <c r="B17" s="5" t="s">
        <v>56</v>
      </c>
      <c r="C17" t="str">
        <f t="shared" si="0"/>
        <v>ddhub:VolumetricFlowRateQuantity</v>
      </c>
      <c r="D17">
        <f t="shared" si="1"/>
        <v>1</v>
      </c>
      <c r="E17" t="str">
        <f t="shared" si="2"/>
        <v>ddhub:BarrelPerSecond</v>
      </c>
      <c r="F17" t="s">
        <v>1150</v>
      </c>
      <c r="G17" t="s">
        <v>53</v>
      </c>
      <c r="H17" t="s">
        <v>1147</v>
      </c>
      <c r="J17" t="str">
        <f t="shared" si="3"/>
        <v>ddhub:VolumetricFlowRateQuantity</v>
      </c>
      <c r="K17">
        <f t="shared" si="4"/>
        <v>1</v>
      </c>
      <c r="L17" t="str">
        <f t="shared" si="5"/>
        <v>.</v>
      </c>
    </row>
    <row r="18" spans="1:12">
      <c r="A18" s="4" t="s">
        <v>66</v>
      </c>
      <c r="B18" s="5" t="s">
        <v>56</v>
      </c>
      <c r="C18" t="str">
        <f t="shared" si="0"/>
        <v>ddhub:VolumetricFlowRateQuantity</v>
      </c>
      <c r="D18">
        <f t="shared" si="1"/>
        <v>1</v>
      </c>
      <c r="E18" t="str">
        <f t="shared" si="2"/>
        <v>ddhub:BarrelPerYear</v>
      </c>
      <c r="F18" t="s">
        <v>1151</v>
      </c>
      <c r="G18" t="s">
        <v>53</v>
      </c>
      <c r="H18" t="s">
        <v>1147</v>
      </c>
      <c r="J18" t="str">
        <f t="shared" si="3"/>
        <v>ddhub:VolumetricFlowRateQuantity</v>
      </c>
      <c r="K18">
        <f t="shared" si="4"/>
        <v>1</v>
      </c>
      <c r="L18" t="str">
        <f t="shared" si="5"/>
        <v>.</v>
      </c>
    </row>
    <row r="19" spans="1:12">
      <c r="A19" s="4" t="s">
        <v>70</v>
      </c>
      <c r="B19" s="8" t="s">
        <v>71</v>
      </c>
      <c r="C19" t="str">
        <f t="shared" si="0"/>
        <v>zzz:TBD</v>
      </c>
      <c r="D19">
        <f t="shared" si="1"/>
        <v>0</v>
      </c>
      <c r="E19" t="str">
        <f t="shared" si="2"/>
        <v>ddhub:BerlinerLichteinheit</v>
      </c>
      <c r="F19" t="s">
        <v>1152</v>
      </c>
      <c r="G19" t="s">
        <v>1153</v>
      </c>
      <c r="H19" t="s">
        <v>1154</v>
      </c>
      <c r="J19" s="8" t="s">
        <v>334</v>
      </c>
      <c r="K19">
        <f t="shared" si="4"/>
        <v>0</v>
      </c>
      <c r="L19" t="str">
        <f t="shared" si="5"/>
        <v>.</v>
      </c>
    </row>
    <row r="20" spans="1:12">
      <c r="A20" s="4" t="s">
        <v>74</v>
      </c>
      <c r="B20" s="8" t="s">
        <v>13</v>
      </c>
      <c r="C20" t="str">
        <f t="shared" si="0"/>
        <v>ddhub:ElectricCurrentQuantity</v>
      </c>
      <c r="D20">
        <f t="shared" si="1"/>
        <v>1</v>
      </c>
      <c r="E20" t="str">
        <f t="shared" si="2"/>
        <v>ddhub:Biot</v>
      </c>
      <c r="F20" t="s">
        <v>1155</v>
      </c>
      <c r="G20" t="s">
        <v>14</v>
      </c>
      <c r="H20" t="s">
        <v>1156</v>
      </c>
      <c r="J20" t="str">
        <f t="shared" si="3"/>
        <v>ddhub:ElectricCurrentQuantity</v>
      </c>
      <c r="K20">
        <f t="shared" si="4"/>
        <v>1</v>
      </c>
      <c r="L20" t="str">
        <f t="shared" si="5"/>
        <v>.</v>
      </c>
    </row>
    <row r="21" spans="1:12">
      <c r="A21" s="4" t="s">
        <v>75</v>
      </c>
      <c r="B21" s="8" t="s">
        <v>76</v>
      </c>
      <c r="C21" t="str">
        <f t="shared" si="0"/>
        <v>ddhub:EnergyQuantity</v>
      </c>
      <c r="D21">
        <f t="shared" si="1"/>
        <v>1</v>
      </c>
      <c r="E21" t="str">
        <f t="shared" si="2"/>
        <v>ddhub:BritishThermalUnit</v>
      </c>
      <c r="F21" t="s">
        <v>1157</v>
      </c>
      <c r="G21" t="s">
        <v>67</v>
      </c>
      <c r="H21" t="s">
        <v>1158</v>
      </c>
      <c r="J21" t="str">
        <f t="shared" si="3"/>
        <v>ddhub:EnergyQuantity</v>
      </c>
      <c r="K21">
        <f t="shared" si="4"/>
        <v>1</v>
      </c>
      <c r="L21" t="str">
        <f t="shared" si="5"/>
        <v>.</v>
      </c>
    </row>
    <row r="22" spans="1:12">
      <c r="A22" s="4" t="s">
        <v>78</v>
      </c>
      <c r="B22" s="8" t="s">
        <v>334</v>
      </c>
      <c r="C22" t="str">
        <f t="shared" si="0"/>
        <v>ddhub:ThermalConductivityQuantity</v>
      </c>
      <c r="D22">
        <f t="shared" si="1"/>
        <v>0</v>
      </c>
      <c r="E22" t="str">
        <f t="shared" si="2"/>
        <v>ddhub:BritishThermalUnitInchPerHourSquareFootDegreeFahrenheit</v>
      </c>
      <c r="F22" t="s">
        <v>1159</v>
      </c>
      <c r="G22" t="s">
        <v>160</v>
      </c>
      <c r="H22" t="s">
        <v>1160</v>
      </c>
      <c r="J22" t="str">
        <f t="shared" si="3"/>
        <v>ddhub:ThermalConductivityQuantity</v>
      </c>
      <c r="K22">
        <f t="shared" si="4"/>
        <v>0</v>
      </c>
      <c r="L22" t="str">
        <f t="shared" si="5"/>
        <v>.</v>
      </c>
    </row>
    <row r="23" spans="1:12">
      <c r="A23" s="4" t="s">
        <v>83</v>
      </c>
      <c r="B23" s="8" t="s">
        <v>334</v>
      </c>
      <c r="C23" t="str">
        <f t="shared" si="0"/>
        <v>zzz:TBD</v>
      </c>
      <c r="D23">
        <f t="shared" si="1"/>
        <v>1</v>
      </c>
      <c r="E23" t="str">
        <f t="shared" si="2"/>
        <v>ddhub:BritishThermalUnitInchPerHourSquareFootDegreeFahrenheitSquared</v>
      </c>
      <c r="F23" t="s">
        <v>1161</v>
      </c>
      <c r="G23" t="s">
        <v>1153</v>
      </c>
      <c r="H23" t="s">
        <v>1162</v>
      </c>
      <c r="J23" s="8" t="s">
        <v>334</v>
      </c>
      <c r="K23">
        <f t="shared" si="4"/>
        <v>1</v>
      </c>
      <c r="L23" t="str">
        <f t="shared" si="5"/>
        <v>.</v>
      </c>
    </row>
    <row r="24" spans="1:12">
      <c r="A24" s="4" t="s">
        <v>88</v>
      </c>
      <c r="B24" s="8" t="s">
        <v>89</v>
      </c>
      <c r="C24" t="str">
        <f t="shared" si="0"/>
        <v>ddhub:EnergyDensityQuantity</v>
      </c>
      <c r="D24">
        <f t="shared" si="1"/>
        <v>1</v>
      </c>
      <c r="E24" t="str">
        <f t="shared" si="2"/>
        <v>ddhub:BritishThermalUnitPerCubicFoot</v>
      </c>
      <c r="F24" t="s">
        <v>1163</v>
      </c>
      <c r="G24" t="s">
        <v>64</v>
      </c>
      <c r="H24" t="s">
        <v>1164</v>
      </c>
      <c r="J24" t="str">
        <f t="shared" si="3"/>
        <v>ddhub:EnergyDensityQuantity</v>
      </c>
      <c r="K24">
        <f t="shared" si="4"/>
        <v>1</v>
      </c>
      <c r="L24" t="str">
        <f t="shared" si="5"/>
        <v>.</v>
      </c>
    </row>
    <row r="25" spans="1:12">
      <c r="A25" s="4" t="s">
        <v>92</v>
      </c>
      <c r="B25" s="8" t="s">
        <v>89</v>
      </c>
      <c r="C25" t="str">
        <f t="shared" si="0"/>
        <v>ddhub:EnergyDensityQuantity</v>
      </c>
      <c r="D25">
        <f t="shared" si="1"/>
        <v>1</v>
      </c>
      <c r="E25" t="str">
        <f t="shared" si="2"/>
        <v>ddhub:BritishThermalUnitPerCubicInch</v>
      </c>
      <c r="F25" t="s">
        <v>1165</v>
      </c>
      <c r="G25" t="s">
        <v>64</v>
      </c>
      <c r="H25" t="s">
        <v>1164</v>
      </c>
      <c r="J25" t="str">
        <f t="shared" si="3"/>
        <v>ddhub:EnergyDensityQuantity</v>
      </c>
      <c r="K25">
        <f t="shared" si="4"/>
        <v>1</v>
      </c>
      <c r="L25" t="str">
        <f t="shared" si="5"/>
        <v>.</v>
      </c>
    </row>
    <row r="26" spans="1:12">
      <c r="A26" s="4" t="s">
        <v>96</v>
      </c>
      <c r="B26" s="8" t="s">
        <v>89</v>
      </c>
      <c r="C26" t="str">
        <f t="shared" si="0"/>
        <v>ddhub:EnergyDensityQuantity</v>
      </c>
      <c r="D26">
        <f t="shared" si="1"/>
        <v>1</v>
      </c>
      <c r="E26" t="str">
        <f t="shared" si="2"/>
        <v>ddhub:BritishThermalUnitPerCubicMetre</v>
      </c>
      <c r="F26" t="s">
        <v>1166</v>
      </c>
      <c r="G26" t="s">
        <v>64</v>
      </c>
      <c r="H26" t="s">
        <v>1164</v>
      </c>
      <c r="J26" t="str">
        <f t="shared" si="3"/>
        <v>ddhub:EnergyDensityQuantity</v>
      </c>
      <c r="K26">
        <f t="shared" si="4"/>
        <v>1</v>
      </c>
      <c r="L26" t="str">
        <f t="shared" si="5"/>
        <v>.</v>
      </c>
    </row>
    <row r="27" spans="1:12">
      <c r="A27" s="4" t="s">
        <v>98</v>
      </c>
      <c r="B27" s="8" t="s">
        <v>89</v>
      </c>
      <c r="C27" t="str">
        <f t="shared" si="0"/>
        <v>ddhub:EnergyDensityQuantity</v>
      </c>
      <c r="D27">
        <f t="shared" si="1"/>
        <v>1</v>
      </c>
      <c r="E27" t="str">
        <f t="shared" si="2"/>
        <v>ddhub:BritishThermalUnitPerGallonUk</v>
      </c>
      <c r="F27" t="s">
        <v>1167</v>
      </c>
      <c r="G27" t="s">
        <v>64</v>
      </c>
      <c r="H27" t="s">
        <v>1164</v>
      </c>
      <c r="J27" t="str">
        <f t="shared" si="3"/>
        <v>ddhub:EnergyDensityQuantity</v>
      </c>
      <c r="K27">
        <f t="shared" si="4"/>
        <v>1</v>
      </c>
      <c r="L27" t="str">
        <f t="shared" si="5"/>
        <v>.</v>
      </c>
    </row>
    <row r="28" spans="1:12">
      <c r="A28" s="4" t="s">
        <v>100</v>
      </c>
      <c r="B28" s="8" t="s">
        <v>76</v>
      </c>
      <c r="C28" t="str">
        <f t="shared" si="0"/>
        <v>ddhub:EnergyDensityQuantity</v>
      </c>
      <c r="D28">
        <f t="shared" si="1"/>
        <v>0</v>
      </c>
      <c r="E28" t="str">
        <f t="shared" si="2"/>
        <v>ddhub:BritishThermalUnitPerGallonUs</v>
      </c>
      <c r="F28" t="s">
        <v>1168</v>
      </c>
      <c r="G28" t="s">
        <v>64</v>
      </c>
      <c r="H28" t="s">
        <v>1164</v>
      </c>
      <c r="J28" t="str">
        <f t="shared" si="3"/>
        <v>ddhub:EnergyDensityQuantity</v>
      </c>
      <c r="K28">
        <f t="shared" si="4"/>
        <v>0</v>
      </c>
      <c r="L28" t="str">
        <f t="shared" si="5"/>
        <v>.</v>
      </c>
    </row>
    <row r="29" spans="1:12">
      <c r="A29" s="4" t="s">
        <v>102</v>
      </c>
      <c r="B29" s="8" t="s">
        <v>334</v>
      </c>
      <c r="C29" t="str">
        <f t="shared" si="0"/>
        <v>ddhub:ThermalConductivityQuantity</v>
      </c>
      <c r="D29">
        <f t="shared" si="1"/>
        <v>0</v>
      </c>
      <c r="E29" t="str">
        <f t="shared" si="2"/>
        <v>ddhub:BritishThermalUnitPerHourFootDegreeFahrenheit</v>
      </c>
      <c r="F29" t="s">
        <v>1169</v>
      </c>
      <c r="G29" t="s">
        <v>160</v>
      </c>
      <c r="H29" t="s">
        <v>1160</v>
      </c>
      <c r="J29" t="str">
        <f t="shared" si="3"/>
        <v>ddhub:ThermalConductivityQuantity</v>
      </c>
      <c r="K29">
        <f t="shared" si="4"/>
        <v>0</v>
      </c>
      <c r="L29" t="str">
        <f t="shared" si="5"/>
        <v>.</v>
      </c>
    </row>
    <row r="30" spans="1:12">
      <c r="A30" s="4" t="s">
        <v>104</v>
      </c>
      <c r="B30" s="8" t="s">
        <v>334</v>
      </c>
      <c r="C30" t="str">
        <f t="shared" si="0"/>
        <v>zzz:TBD</v>
      </c>
      <c r="D30">
        <f t="shared" si="1"/>
        <v>1</v>
      </c>
      <c r="E30" t="str">
        <f t="shared" si="2"/>
        <v>ddhub:BritishThermalUnitPerHourFootDegreeFahrenheitSquared</v>
      </c>
      <c r="F30" t="s">
        <v>1170</v>
      </c>
      <c r="G30" t="s">
        <v>1153</v>
      </c>
      <c r="H30" t="s">
        <v>1162</v>
      </c>
      <c r="J30" s="8" t="s">
        <v>334</v>
      </c>
      <c r="K30">
        <f t="shared" si="4"/>
        <v>1</v>
      </c>
      <c r="L30" t="str">
        <f t="shared" si="5"/>
        <v>.</v>
      </c>
    </row>
    <row r="31" spans="1:12">
      <c r="A31" s="4" t="s">
        <v>105</v>
      </c>
      <c r="B31" s="8" t="s">
        <v>334</v>
      </c>
      <c r="C31" t="str">
        <f t="shared" si="0"/>
        <v>ddhub:HeatTransferCoefficientQuantity</v>
      </c>
      <c r="D31">
        <f t="shared" si="1"/>
        <v>0</v>
      </c>
      <c r="E31" t="str">
        <f t="shared" si="2"/>
        <v>ddhub:BritishThermalUnitPerHourPerSquareFootPerDegreeFahrenheit</v>
      </c>
      <c r="F31" t="s">
        <v>1171</v>
      </c>
      <c r="G31" t="s">
        <v>90</v>
      </c>
      <c r="H31" t="s">
        <v>1172</v>
      </c>
      <c r="J31" t="str">
        <f t="shared" si="3"/>
        <v>ddhub:HeatTransferCoefficientQuantity</v>
      </c>
      <c r="K31">
        <f t="shared" si="4"/>
        <v>0</v>
      </c>
      <c r="L31" t="str">
        <f t="shared" si="5"/>
        <v>.</v>
      </c>
    </row>
    <row r="32" spans="1:12">
      <c r="A32" s="4" t="s">
        <v>108</v>
      </c>
      <c r="B32" s="8" t="s">
        <v>89</v>
      </c>
      <c r="C32" t="str">
        <f t="shared" si="0"/>
        <v>ddhub:EnergyDensityQuantity</v>
      </c>
      <c r="D32">
        <f t="shared" si="1"/>
        <v>1</v>
      </c>
      <c r="E32" t="str">
        <f t="shared" si="2"/>
        <v>ddhub:BritishThermalUnitPerLitre</v>
      </c>
      <c r="F32" t="s">
        <v>1173</v>
      </c>
      <c r="G32" t="s">
        <v>64</v>
      </c>
      <c r="H32" t="s">
        <v>1164</v>
      </c>
      <c r="J32" t="str">
        <f t="shared" si="3"/>
        <v>ddhub:EnergyDensityQuantity</v>
      </c>
      <c r="K32">
        <f t="shared" si="4"/>
        <v>1</v>
      </c>
      <c r="L32" t="str">
        <f t="shared" si="5"/>
        <v>.</v>
      </c>
    </row>
    <row r="33" spans="1:12">
      <c r="A33" s="4" t="s">
        <v>110</v>
      </c>
      <c r="B33" s="8" t="s">
        <v>334</v>
      </c>
      <c r="C33" t="str">
        <f t="shared" si="0"/>
        <v>ddhub:IsobaricSpecificHeatCapacityQuantity</v>
      </c>
      <c r="D33">
        <f t="shared" si="1"/>
        <v>0</v>
      </c>
      <c r="E33" t="str">
        <f t="shared" si="2"/>
        <v>ddhub:BritishThermalUnitPerPoundDegreeFahrenheit</v>
      </c>
      <c r="F33" t="s">
        <v>1174</v>
      </c>
      <c r="G33" t="s">
        <v>101</v>
      </c>
      <c r="H33" t="s">
        <v>1175</v>
      </c>
      <c r="J33" t="str">
        <f t="shared" si="3"/>
        <v>ddhub:IsobaricSpecificHeatCapacityQuantity</v>
      </c>
      <c r="K33">
        <f t="shared" si="4"/>
        <v>0</v>
      </c>
      <c r="L33" t="str">
        <f t="shared" si="5"/>
        <v>.</v>
      </c>
    </row>
    <row r="34" spans="1:12">
      <c r="A34" s="4" t="s">
        <v>113</v>
      </c>
      <c r="B34" s="8" t="s">
        <v>334</v>
      </c>
      <c r="C34" t="str">
        <f t="shared" si="0"/>
        <v>zzz:TBD</v>
      </c>
      <c r="D34">
        <f t="shared" si="1"/>
        <v>1</v>
      </c>
      <c r="E34" t="str">
        <f t="shared" si="2"/>
        <v>ddhub:BritishThermalUnitPerPoundSquaredDegreeFahrenheit</v>
      </c>
      <c r="F34" t="s">
        <v>1176</v>
      </c>
      <c r="G34" t="s">
        <v>1153</v>
      </c>
      <c r="H34" t="s">
        <v>1177</v>
      </c>
      <c r="J34" s="8" t="s">
        <v>334</v>
      </c>
      <c r="K34">
        <f t="shared" si="4"/>
        <v>1</v>
      </c>
      <c r="L34" t="str">
        <f t="shared" si="5"/>
        <v>.</v>
      </c>
    </row>
    <row r="35" spans="1:12">
      <c r="A35" s="4" t="s">
        <v>116</v>
      </c>
      <c r="B35" s="8" t="s">
        <v>76</v>
      </c>
      <c r="C35" t="str">
        <f t="shared" si="0"/>
        <v>ddhub:EnergyQuantity</v>
      </c>
      <c r="D35">
        <f t="shared" si="1"/>
        <v>1</v>
      </c>
      <c r="E35" t="str">
        <f t="shared" si="2"/>
        <v>ddhub:Calorie</v>
      </c>
      <c r="F35" t="s">
        <v>1178</v>
      </c>
      <c r="G35" t="s">
        <v>67</v>
      </c>
      <c r="H35" t="s">
        <v>1179</v>
      </c>
      <c r="J35" t="str">
        <f t="shared" si="3"/>
        <v>ddhub:EnergyQuantity</v>
      </c>
      <c r="K35">
        <f t="shared" si="4"/>
        <v>1</v>
      </c>
      <c r="L35" t="str">
        <f t="shared" si="5"/>
        <v>.</v>
      </c>
    </row>
    <row r="36" spans="1:12">
      <c r="A36" s="4" t="s">
        <v>117</v>
      </c>
      <c r="B36" s="8" t="s">
        <v>334</v>
      </c>
      <c r="C36" t="str">
        <f t="shared" si="0"/>
        <v>ddhub:ThermalConductivityQuantity</v>
      </c>
      <c r="D36">
        <f t="shared" si="1"/>
        <v>0</v>
      </c>
      <c r="E36" t="str">
        <f t="shared" si="2"/>
        <v>ddhub:CaloriePerCentimetreSecondDegreeCelsius</v>
      </c>
      <c r="F36" t="s">
        <v>1180</v>
      </c>
      <c r="G36" t="s">
        <v>160</v>
      </c>
      <c r="H36" t="s">
        <v>1181</v>
      </c>
      <c r="J36" t="str">
        <f t="shared" si="3"/>
        <v>ddhub:ThermalConductivityQuantity</v>
      </c>
      <c r="K36">
        <f t="shared" si="4"/>
        <v>0</v>
      </c>
      <c r="L36" t="str">
        <f t="shared" si="5"/>
        <v>.</v>
      </c>
    </row>
    <row r="37" spans="1:12">
      <c r="A37" s="4" t="s">
        <v>119</v>
      </c>
      <c r="B37" s="8" t="s">
        <v>334</v>
      </c>
      <c r="C37" t="str">
        <f t="shared" si="0"/>
        <v>zzz:TBD</v>
      </c>
      <c r="D37">
        <f t="shared" si="1"/>
        <v>1</v>
      </c>
      <c r="E37" t="str">
        <f t="shared" si="2"/>
        <v>ddhub:CaloriePerCentimetreSecondDegreeCelsiusSquared</v>
      </c>
      <c r="F37" t="s">
        <v>1182</v>
      </c>
      <c r="G37" t="s">
        <v>1153</v>
      </c>
      <c r="H37" t="s">
        <v>1162</v>
      </c>
      <c r="J37" s="8" t="s">
        <v>334</v>
      </c>
      <c r="K37">
        <f t="shared" si="4"/>
        <v>1</v>
      </c>
      <c r="L37" t="str">
        <f t="shared" si="5"/>
        <v>.</v>
      </c>
    </row>
    <row r="38" spans="1:12">
      <c r="A38" s="4" t="s">
        <v>121</v>
      </c>
      <c r="B38" s="8" t="s">
        <v>89</v>
      </c>
      <c r="C38" t="str">
        <f t="shared" si="0"/>
        <v>ddhub:EnergyDensityQuantity</v>
      </c>
      <c r="D38">
        <f t="shared" si="1"/>
        <v>1</v>
      </c>
      <c r="E38" t="str">
        <f t="shared" si="2"/>
        <v>ddhub:CaloriePerCubicFoot</v>
      </c>
      <c r="F38" t="s">
        <v>1183</v>
      </c>
      <c r="G38" t="s">
        <v>64</v>
      </c>
      <c r="H38" t="s">
        <v>1164</v>
      </c>
      <c r="J38" t="str">
        <f t="shared" si="3"/>
        <v>ddhub:EnergyDensityQuantity</v>
      </c>
      <c r="K38">
        <f t="shared" si="4"/>
        <v>1</v>
      </c>
      <c r="L38" t="str">
        <f t="shared" si="5"/>
        <v>.</v>
      </c>
    </row>
    <row r="39" spans="1:12">
      <c r="A39" s="4" t="s">
        <v>122</v>
      </c>
      <c r="B39" s="8" t="s">
        <v>89</v>
      </c>
      <c r="C39" t="str">
        <f t="shared" si="0"/>
        <v>ddhub:EnergyDensityQuantity</v>
      </c>
      <c r="D39">
        <f t="shared" si="1"/>
        <v>1</v>
      </c>
      <c r="E39" t="str">
        <f t="shared" si="2"/>
        <v>ddhub:CaloriePerCubicInch</v>
      </c>
      <c r="F39" t="s">
        <v>1184</v>
      </c>
      <c r="G39" t="s">
        <v>64</v>
      </c>
      <c r="H39" t="s">
        <v>1164</v>
      </c>
      <c r="J39" t="str">
        <f t="shared" si="3"/>
        <v>ddhub:EnergyDensityQuantity</v>
      </c>
      <c r="K39">
        <f t="shared" si="4"/>
        <v>1</v>
      </c>
      <c r="L39" t="str">
        <f t="shared" si="5"/>
        <v>.</v>
      </c>
    </row>
    <row r="40" spans="1:12">
      <c r="A40" s="4" t="s">
        <v>124</v>
      </c>
      <c r="B40" s="8" t="s">
        <v>89</v>
      </c>
      <c r="C40" t="str">
        <f t="shared" si="0"/>
        <v>ddhub:EnergyDensityQuantity</v>
      </c>
      <c r="D40">
        <f t="shared" si="1"/>
        <v>1</v>
      </c>
      <c r="E40" t="str">
        <f t="shared" si="2"/>
        <v>ddhub:CaloriePerCubicMetre</v>
      </c>
      <c r="F40" t="s">
        <v>1185</v>
      </c>
      <c r="G40" t="s">
        <v>64</v>
      </c>
      <c r="H40" t="s">
        <v>1164</v>
      </c>
      <c r="J40" t="str">
        <f t="shared" si="3"/>
        <v>ddhub:EnergyDensityQuantity</v>
      </c>
      <c r="K40">
        <f t="shared" si="4"/>
        <v>1</v>
      </c>
      <c r="L40" t="str">
        <f t="shared" si="5"/>
        <v>.</v>
      </c>
    </row>
    <row r="41" spans="1:12">
      <c r="A41" s="4" t="s">
        <v>126</v>
      </c>
      <c r="B41" s="8" t="s">
        <v>76</v>
      </c>
      <c r="C41" t="str">
        <f t="shared" si="0"/>
        <v>ddhub:EnergyDensityQuantity</v>
      </c>
      <c r="D41">
        <f t="shared" si="1"/>
        <v>0</v>
      </c>
      <c r="E41" t="str">
        <f t="shared" si="2"/>
        <v>ddhub:CaloriePerGallonUk</v>
      </c>
      <c r="F41" t="s">
        <v>1186</v>
      </c>
      <c r="G41" t="s">
        <v>64</v>
      </c>
      <c r="H41" t="s">
        <v>1164</v>
      </c>
      <c r="J41" t="str">
        <f t="shared" si="3"/>
        <v>ddhub:EnergyDensityQuantity</v>
      </c>
      <c r="K41">
        <f t="shared" si="4"/>
        <v>0</v>
      </c>
      <c r="L41" t="str">
        <f t="shared" si="5"/>
        <v>.</v>
      </c>
    </row>
    <row r="42" spans="1:12">
      <c r="A42" s="4" t="s">
        <v>127</v>
      </c>
      <c r="B42" s="8" t="s">
        <v>89</v>
      </c>
      <c r="C42" t="str">
        <f t="shared" si="0"/>
        <v>ddhub:EnergyDensityQuantity</v>
      </c>
      <c r="D42">
        <f t="shared" si="1"/>
        <v>1</v>
      </c>
      <c r="E42" t="str">
        <f t="shared" si="2"/>
        <v>ddhub:CaloriePerGallonUs</v>
      </c>
      <c r="F42" t="s">
        <v>1187</v>
      </c>
      <c r="G42" t="s">
        <v>64</v>
      </c>
      <c r="H42" t="s">
        <v>1164</v>
      </c>
      <c r="J42" t="str">
        <f t="shared" si="3"/>
        <v>ddhub:EnergyDensityQuantity</v>
      </c>
      <c r="K42">
        <f t="shared" si="4"/>
        <v>1</v>
      </c>
      <c r="L42" t="str">
        <f t="shared" si="5"/>
        <v>.</v>
      </c>
    </row>
    <row r="43" spans="1:12">
      <c r="A43" s="4" t="s">
        <v>129</v>
      </c>
      <c r="B43" s="8" t="s">
        <v>334</v>
      </c>
      <c r="C43" t="str">
        <f t="shared" si="0"/>
        <v>ddhub:IsobaricSpecificHeatCapacityQuantity</v>
      </c>
      <c r="D43">
        <f t="shared" si="1"/>
        <v>0</v>
      </c>
      <c r="E43" t="str">
        <f t="shared" si="2"/>
        <v>ddhub:CaloriePerGramDegreeCelsius</v>
      </c>
      <c r="F43" t="s">
        <v>1188</v>
      </c>
      <c r="G43" t="s">
        <v>101</v>
      </c>
      <c r="H43" t="s">
        <v>1175</v>
      </c>
      <c r="J43" t="str">
        <f t="shared" si="3"/>
        <v>ddhub:IsobaricSpecificHeatCapacityQuantity</v>
      </c>
      <c r="K43">
        <f t="shared" si="4"/>
        <v>0</v>
      </c>
      <c r="L43" t="str">
        <f t="shared" si="5"/>
        <v>.</v>
      </c>
    </row>
    <row r="44" spans="1:12">
      <c r="A44" s="4" t="s">
        <v>131</v>
      </c>
      <c r="B44" s="8" t="s">
        <v>334</v>
      </c>
      <c r="C44" t="str">
        <f t="shared" si="0"/>
        <v>zzz:TBD</v>
      </c>
      <c r="D44">
        <f t="shared" si="1"/>
        <v>1</v>
      </c>
      <c r="E44" t="str">
        <f t="shared" si="2"/>
        <v>ddhub:CaloriePerGramDegreeSquaredCelsius</v>
      </c>
      <c r="F44" t="s">
        <v>1189</v>
      </c>
      <c r="G44" t="s">
        <v>1153</v>
      </c>
      <c r="H44" t="s">
        <v>1177</v>
      </c>
      <c r="J44" s="8" t="s">
        <v>334</v>
      </c>
      <c r="K44">
        <f t="shared" si="4"/>
        <v>1</v>
      </c>
      <c r="L44" t="str">
        <f t="shared" si="5"/>
        <v>.</v>
      </c>
    </row>
    <row r="45" spans="1:12">
      <c r="A45" s="4" t="s">
        <v>132</v>
      </c>
      <c r="B45" s="8" t="s">
        <v>89</v>
      </c>
      <c r="C45" t="str">
        <f t="shared" si="0"/>
        <v>ddhub:EnergyDensityQuantity</v>
      </c>
      <c r="D45">
        <f t="shared" si="1"/>
        <v>1</v>
      </c>
      <c r="E45" t="str">
        <f t="shared" si="2"/>
        <v>ddhub:CaloriePerLitre</v>
      </c>
      <c r="F45" t="s">
        <v>1190</v>
      </c>
      <c r="G45" t="s">
        <v>64</v>
      </c>
      <c r="H45" t="s">
        <v>1164</v>
      </c>
      <c r="J45" t="str">
        <f t="shared" si="3"/>
        <v>ddhub:EnergyDensityQuantity</v>
      </c>
      <c r="K45">
        <f t="shared" si="4"/>
        <v>1</v>
      </c>
      <c r="L45" t="str">
        <f t="shared" si="5"/>
        <v>.</v>
      </c>
    </row>
    <row r="46" spans="1:12">
      <c r="A46" s="4" t="s">
        <v>134</v>
      </c>
      <c r="B46" s="8" t="s">
        <v>334</v>
      </c>
      <c r="C46" t="str">
        <f t="shared" si="0"/>
        <v>ddhub:ThermalConductivityQuantity</v>
      </c>
      <c r="D46">
        <f t="shared" si="1"/>
        <v>0</v>
      </c>
      <c r="E46" t="str">
        <f t="shared" si="2"/>
        <v>ddhub:CaloriePerMetreSecondDegreeCelsius</v>
      </c>
      <c r="F46" t="s">
        <v>1191</v>
      </c>
      <c r="G46" t="s">
        <v>160</v>
      </c>
      <c r="H46" t="s">
        <v>1181</v>
      </c>
      <c r="J46" t="str">
        <f t="shared" si="3"/>
        <v>ddhub:ThermalConductivityQuantity</v>
      </c>
      <c r="K46">
        <f t="shared" si="4"/>
        <v>0</v>
      </c>
      <c r="L46" t="str">
        <f t="shared" si="5"/>
        <v>.</v>
      </c>
    </row>
    <row r="47" spans="1:12">
      <c r="A47" s="4" t="s">
        <v>135</v>
      </c>
      <c r="B47" s="8" t="s">
        <v>334</v>
      </c>
      <c r="C47" t="str">
        <f t="shared" si="0"/>
        <v>zzz:TBD</v>
      </c>
      <c r="D47">
        <f t="shared" si="1"/>
        <v>1</v>
      </c>
      <c r="E47" t="str">
        <f t="shared" si="2"/>
        <v>ddhub:CaloriePerMetreSecondDegreeCelsiusSquared</v>
      </c>
      <c r="F47" t="s">
        <v>1192</v>
      </c>
      <c r="G47" t="s">
        <v>1153</v>
      </c>
      <c r="H47" t="s">
        <v>1162</v>
      </c>
      <c r="J47" s="8" t="s">
        <v>334</v>
      </c>
      <c r="K47">
        <f t="shared" si="4"/>
        <v>1</v>
      </c>
      <c r="L47" t="str">
        <f t="shared" si="5"/>
        <v>.</v>
      </c>
    </row>
    <row r="48" spans="1:12">
      <c r="A48" s="4" t="s">
        <v>137</v>
      </c>
      <c r="B48" s="8" t="s">
        <v>71</v>
      </c>
      <c r="C48" t="str">
        <f t="shared" si="0"/>
        <v>ddhub:LuminousIntensityQuantity</v>
      </c>
      <c r="D48">
        <f t="shared" si="1"/>
        <v>1</v>
      </c>
      <c r="E48" t="str">
        <f t="shared" si="2"/>
        <v>ddhub:Candela</v>
      </c>
      <c r="F48" t="s">
        <v>1193</v>
      </c>
      <c r="G48" t="s">
        <v>72</v>
      </c>
      <c r="H48" t="s">
        <v>1194</v>
      </c>
      <c r="J48" t="str">
        <f t="shared" si="3"/>
        <v>ddhub:LuminousIntensityQuantity</v>
      </c>
      <c r="K48">
        <f t="shared" si="4"/>
        <v>1</v>
      </c>
      <c r="L48" t="str">
        <f t="shared" si="5"/>
        <v>.</v>
      </c>
    </row>
    <row r="49" spans="1:12">
      <c r="A49" s="4" t="s">
        <v>139</v>
      </c>
      <c r="B49" s="8" t="s">
        <v>71</v>
      </c>
      <c r="C49" t="str">
        <f t="shared" si="0"/>
        <v>ddhub:LuminousIntensityQuantity</v>
      </c>
      <c r="D49">
        <f t="shared" si="1"/>
        <v>1</v>
      </c>
      <c r="E49" t="str">
        <f t="shared" si="2"/>
        <v>ddhub:Carcel</v>
      </c>
      <c r="F49" t="s">
        <v>1195</v>
      </c>
      <c r="G49" t="s">
        <v>72</v>
      </c>
      <c r="H49" t="s">
        <v>1196</v>
      </c>
      <c r="J49" t="str">
        <f t="shared" si="3"/>
        <v>ddhub:LuminousIntensityQuantity</v>
      </c>
      <c r="K49">
        <f t="shared" si="4"/>
        <v>1</v>
      </c>
      <c r="L49" t="str">
        <f t="shared" si="5"/>
        <v>.</v>
      </c>
    </row>
    <row r="50" spans="1:12">
      <c r="A50" s="4" t="s">
        <v>141</v>
      </c>
      <c r="B50" s="8" t="s">
        <v>142</v>
      </c>
      <c r="C50" t="str">
        <f t="shared" si="0"/>
        <v>ddhub:TemperatureQuantity</v>
      </c>
      <c r="D50">
        <f t="shared" si="1"/>
        <v>1</v>
      </c>
      <c r="E50" t="str">
        <f t="shared" si="2"/>
        <v>ddhub:Celsius</v>
      </c>
      <c r="F50" t="s">
        <v>1197</v>
      </c>
      <c r="G50" t="s">
        <v>144</v>
      </c>
      <c r="H50" t="s">
        <v>1198</v>
      </c>
      <c r="J50" t="str">
        <f t="shared" si="3"/>
        <v>ddhub:TemperatureQuantity</v>
      </c>
      <c r="K50">
        <f t="shared" si="4"/>
        <v>1</v>
      </c>
      <c r="L50" t="str">
        <f t="shared" si="5"/>
        <v>.</v>
      </c>
    </row>
    <row r="51" spans="1:12">
      <c r="A51" s="4" t="s">
        <v>146</v>
      </c>
      <c r="B51" s="8" t="s">
        <v>84</v>
      </c>
      <c r="C51" t="str">
        <f t="shared" si="0"/>
        <v>ddhub:TemperatureGradientPerLengthQuantity</v>
      </c>
      <c r="D51">
        <f t="shared" si="1"/>
        <v>0</v>
      </c>
      <c r="E51" t="str">
        <f t="shared" si="2"/>
        <v>ddhub:CelsiusPer100Foot</v>
      </c>
      <c r="F51" t="s">
        <v>1199</v>
      </c>
      <c r="G51" t="s">
        <v>154</v>
      </c>
      <c r="H51" t="s">
        <v>1200</v>
      </c>
      <c r="J51" t="str">
        <f t="shared" ref="J51:J100" si="6">"ddhub:"&amp;G51</f>
        <v>ddhub:TemperatureGradientPerLengthQuantity</v>
      </c>
      <c r="K51">
        <f t="shared" ref="K51:K100" si="7">IF(B51=J51,1,0)</f>
        <v>0</v>
      </c>
      <c r="L51" t="str">
        <f t="shared" si="5"/>
        <v>.</v>
      </c>
    </row>
    <row r="52" spans="1:12">
      <c r="A52" s="4" t="s">
        <v>150</v>
      </c>
      <c r="B52" s="8" t="s">
        <v>147</v>
      </c>
      <c r="C52" t="str">
        <f t="shared" si="0"/>
        <v>ddhub:TemperatureGradientPerLengthQuantity</v>
      </c>
      <c r="D52">
        <f t="shared" si="1"/>
        <v>1</v>
      </c>
      <c r="E52" t="str">
        <f t="shared" si="2"/>
        <v>ddhub:CelsiusPer100Metre</v>
      </c>
      <c r="F52" t="s">
        <v>1201</v>
      </c>
      <c r="G52" t="s">
        <v>154</v>
      </c>
      <c r="H52" t="s">
        <v>1200</v>
      </c>
      <c r="J52" t="str">
        <f t="shared" si="6"/>
        <v>ddhub:TemperatureGradientPerLengthQuantity</v>
      </c>
      <c r="K52">
        <f t="shared" si="7"/>
        <v>1</v>
      </c>
      <c r="L52" t="str">
        <f t="shared" si="5"/>
        <v>.</v>
      </c>
    </row>
    <row r="53" spans="1:12">
      <c r="A53" s="4" t="s">
        <v>153</v>
      </c>
      <c r="B53" s="8" t="s">
        <v>147</v>
      </c>
      <c r="C53" t="str">
        <f t="shared" si="0"/>
        <v>ddhub:TemperatureGradientPerLengthQuantity</v>
      </c>
      <c r="D53">
        <f t="shared" si="1"/>
        <v>1</v>
      </c>
      <c r="E53" t="str">
        <f t="shared" si="2"/>
        <v>ddhub:CelsiusPer10Metre</v>
      </c>
      <c r="F53" t="s">
        <v>1202</v>
      </c>
      <c r="G53" t="s">
        <v>154</v>
      </c>
      <c r="H53" t="s">
        <v>1200</v>
      </c>
      <c r="J53" t="str">
        <f t="shared" si="6"/>
        <v>ddhub:TemperatureGradientPerLengthQuantity</v>
      </c>
      <c r="K53">
        <f t="shared" si="7"/>
        <v>1</v>
      </c>
      <c r="L53" t="str">
        <f t="shared" si="5"/>
        <v>.</v>
      </c>
    </row>
    <row r="54" spans="1:12">
      <c r="A54" s="4" t="s">
        <v>155</v>
      </c>
      <c r="B54" s="8" t="s">
        <v>147</v>
      </c>
      <c r="C54" t="str">
        <f t="shared" si="0"/>
        <v>ddhub:TemperatureGradientPerLengthQuantity</v>
      </c>
      <c r="D54">
        <f t="shared" si="1"/>
        <v>1</v>
      </c>
      <c r="E54" t="str">
        <f t="shared" si="2"/>
        <v>ddhub:CelsiusPer30Foot</v>
      </c>
      <c r="F54" t="s">
        <v>1203</v>
      </c>
      <c r="G54" t="s">
        <v>154</v>
      </c>
      <c r="H54" t="s">
        <v>1200</v>
      </c>
      <c r="J54" t="str">
        <f t="shared" si="6"/>
        <v>ddhub:TemperatureGradientPerLengthQuantity</v>
      </c>
      <c r="K54">
        <f t="shared" si="7"/>
        <v>1</v>
      </c>
      <c r="L54" t="str">
        <f t="shared" si="5"/>
        <v>.</v>
      </c>
    </row>
    <row r="55" spans="1:12">
      <c r="A55" s="4" t="s">
        <v>156</v>
      </c>
      <c r="B55" s="8" t="s">
        <v>147</v>
      </c>
      <c r="C55" t="str">
        <f t="shared" si="0"/>
        <v>ddhub:TemperatureGradientPerLengthQuantity</v>
      </c>
      <c r="D55">
        <f t="shared" si="1"/>
        <v>1</v>
      </c>
      <c r="E55" t="str">
        <f t="shared" si="2"/>
        <v>ddhub:CelsiusPer30Metre</v>
      </c>
      <c r="F55" t="s">
        <v>1204</v>
      </c>
      <c r="G55" t="s">
        <v>154</v>
      </c>
      <c r="H55" t="s">
        <v>1200</v>
      </c>
      <c r="J55" t="str">
        <f t="shared" si="6"/>
        <v>ddhub:TemperatureGradientPerLengthQuantity</v>
      </c>
      <c r="K55">
        <f t="shared" si="7"/>
        <v>1</v>
      </c>
      <c r="L55" t="str">
        <f t="shared" si="5"/>
        <v>.</v>
      </c>
    </row>
    <row r="56" spans="1:12">
      <c r="A56" s="4" t="s">
        <v>158</v>
      </c>
      <c r="B56" s="8" t="s">
        <v>147</v>
      </c>
      <c r="C56" t="str">
        <f t="shared" si="0"/>
        <v>ddhub:TemperatureGradientPerLengthQuantity</v>
      </c>
      <c r="D56">
        <f t="shared" si="1"/>
        <v>1</v>
      </c>
      <c r="E56" t="str">
        <f t="shared" si="2"/>
        <v>ddhub:CelsiusPerFoot</v>
      </c>
      <c r="F56" t="s">
        <v>1205</v>
      </c>
      <c r="G56" t="s">
        <v>154</v>
      </c>
      <c r="H56" t="s">
        <v>1200</v>
      </c>
      <c r="J56" t="str">
        <f t="shared" si="6"/>
        <v>ddhub:TemperatureGradientPerLengthQuantity</v>
      </c>
      <c r="K56">
        <f t="shared" si="7"/>
        <v>1</v>
      </c>
      <c r="L56" t="str">
        <f t="shared" si="5"/>
        <v>.</v>
      </c>
    </row>
    <row r="57" spans="1:12">
      <c r="A57" s="4" t="s">
        <v>159</v>
      </c>
      <c r="B57" s="8" t="s">
        <v>147</v>
      </c>
      <c r="C57" t="str">
        <f t="shared" si="0"/>
        <v>ddhub:TemperatureGradientPerLengthQuantity</v>
      </c>
      <c r="D57">
        <f t="shared" si="1"/>
        <v>1</v>
      </c>
      <c r="E57" t="str">
        <f t="shared" si="2"/>
        <v>ddhub:CelsiusPerMetre</v>
      </c>
      <c r="F57" t="s">
        <v>1206</v>
      </c>
      <c r="G57" t="s">
        <v>154</v>
      </c>
      <c r="H57" t="s">
        <v>1200</v>
      </c>
      <c r="J57" t="str">
        <f t="shared" si="6"/>
        <v>ddhub:TemperatureGradientPerLengthQuantity</v>
      </c>
      <c r="K57">
        <f t="shared" si="7"/>
        <v>1</v>
      </c>
      <c r="L57" t="str">
        <f t="shared" si="5"/>
        <v>.</v>
      </c>
    </row>
    <row r="58" spans="1:12">
      <c r="A58" s="4" t="s">
        <v>161</v>
      </c>
      <c r="B58" s="8" t="s">
        <v>13</v>
      </c>
      <c r="C58" t="str">
        <f t="shared" si="0"/>
        <v>ddhub:ElectricCurrentQuantity</v>
      </c>
      <c r="D58">
        <f t="shared" si="1"/>
        <v>1</v>
      </c>
      <c r="E58" t="str">
        <f t="shared" si="2"/>
        <v>ddhub:Centiampere</v>
      </c>
      <c r="F58" t="s">
        <v>1207</v>
      </c>
      <c r="G58" t="s">
        <v>14</v>
      </c>
      <c r="H58" t="s">
        <v>1208</v>
      </c>
      <c r="J58" t="str">
        <f t="shared" si="6"/>
        <v>ddhub:ElectricCurrentQuantity</v>
      </c>
      <c r="K58">
        <f t="shared" si="7"/>
        <v>1</v>
      </c>
      <c r="L58" t="str">
        <f t="shared" si="5"/>
        <v>.</v>
      </c>
    </row>
    <row r="59" spans="1:12">
      <c r="A59" s="4" t="s">
        <v>163</v>
      </c>
      <c r="B59" s="8" t="s">
        <v>34</v>
      </c>
      <c r="C59" t="str">
        <f t="shared" si="0"/>
        <v>ddhub:MassQuantity</v>
      </c>
      <c r="D59">
        <f t="shared" si="1"/>
        <v>1</v>
      </c>
      <c r="E59" t="str">
        <f t="shared" si="2"/>
        <v>ddhub:Centigram</v>
      </c>
      <c r="F59" t="s">
        <v>1209</v>
      </c>
      <c r="G59" t="s">
        <v>35</v>
      </c>
      <c r="H59" t="s">
        <v>1210</v>
      </c>
      <c r="J59" t="str">
        <f t="shared" si="6"/>
        <v>ddhub:MassQuantity</v>
      </c>
      <c r="K59">
        <f t="shared" si="7"/>
        <v>1</v>
      </c>
      <c r="L59" t="str">
        <f t="shared" si="5"/>
        <v>.</v>
      </c>
    </row>
    <row r="60" spans="1:12">
      <c r="A60" s="4" t="s">
        <v>165</v>
      </c>
      <c r="B60" s="8" t="s">
        <v>50</v>
      </c>
      <c r="C60" t="str">
        <f t="shared" si="0"/>
        <v>ddhub:VolumeQuantity</v>
      </c>
      <c r="D60">
        <f t="shared" si="1"/>
        <v>1</v>
      </c>
      <c r="E60" t="str">
        <f t="shared" si="2"/>
        <v>ddhub:Centilitre</v>
      </c>
      <c r="F60" t="s">
        <v>1211</v>
      </c>
      <c r="G60" t="s">
        <v>51</v>
      </c>
      <c r="H60" t="s">
        <v>1212</v>
      </c>
      <c r="J60" t="str">
        <f t="shared" si="6"/>
        <v>ddhub:VolumeQuantity</v>
      </c>
      <c r="K60">
        <f t="shared" si="7"/>
        <v>1</v>
      </c>
      <c r="L60" t="str">
        <f t="shared" si="5"/>
        <v>.</v>
      </c>
    </row>
    <row r="61" spans="1:12">
      <c r="A61" s="4" t="s">
        <v>167</v>
      </c>
      <c r="B61" s="5" t="s">
        <v>9</v>
      </c>
      <c r="C61" t="str">
        <f t="shared" si="0"/>
        <v>ddhub:LengthQuantity</v>
      </c>
      <c r="D61">
        <f t="shared" si="1"/>
        <v>1</v>
      </c>
      <c r="E61" t="str">
        <f t="shared" si="2"/>
        <v>ddhub:Centimetre</v>
      </c>
      <c r="F61" t="s">
        <v>1213</v>
      </c>
      <c r="G61" t="s">
        <v>10</v>
      </c>
      <c r="H61" t="s">
        <v>1214</v>
      </c>
      <c r="J61" t="str">
        <f t="shared" si="6"/>
        <v>ddhub:LengthQuantity</v>
      </c>
      <c r="K61">
        <f t="shared" si="7"/>
        <v>1</v>
      </c>
      <c r="L61" t="str">
        <f t="shared" si="5"/>
        <v>.</v>
      </c>
    </row>
    <row r="62" spans="1:12">
      <c r="A62" s="4" t="s">
        <v>169</v>
      </c>
      <c r="B62" s="5" t="s">
        <v>170</v>
      </c>
      <c r="C62" t="str">
        <f t="shared" si="0"/>
        <v>ddhub:PressureQuantity</v>
      </c>
      <c r="D62">
        <f t="shared" si="1"/>
        <v>1</v>
      </c>
      <c r="E62" t="str">
        <f t="shared" si="2"/>
        <v>ddhub:CentimetreMercuryAtZeroDegreeCelsius</v>
      </c>
      <c r="F62" t="s">
        <v>1215</v>
      </c>
      <c r="G62" t="s">
        <v>43</v>
      </c>
      <c r="H62" t="s">
        <v>1216</v>
      </c>
      <c r="J62" t="str">
        <f t="shared" si="6"/>
        <v>ddhub:PressureQuantity</v>
      </c>
      <c r="K62">
        <f t="shared" si="7"/>
        <v>1</v>
      </c>
      <c r="L62" t="str">
        <f t="shared" si="5"/>
        <v>.</v>
      </c>
    </row>
    <row r="63" spans="1:12">
      <c r="A63" s="4" t="s">
        <v>171</v>
      </c>
      <c r="B63" s="5" t="s">
        <v>172</v>
      </c>
      <c r="C63" t="str">
        <f t="shared" si="0"/>
        <v>ddhub:VelocityQuantity</v>
      </c>
      <c r="D63">
        <f t="shared" si="1"/>
        <v>1</v>
      </c>
      <c r="E63" t="str">
        <f t="shared" si="2"/>
        <v>ddhub:CentimetrePerDay</v>
      </c>
      <c r="F63" t="s">
        <v>1217</v>
      </c>
      <c r="G63" t="s">
        <v>68</v>
      </c>
      <c r="H63" t="s">
        <v>1218</v>
      </c>
      <c r="J63" t="str">
        <f t="shared" si="6"/>
        <v>ddhub:VelocityQuantity</v>
      </c>
      <c r="K63">
        <f t="shared" si="7"/>
        <v>1</v>
      </c>
      <c r="L63" t="str">
        <f t="shared" si="5"/>
        <v>.</v>
      </c>
    </row>
    <row r="64" spans="1:12">
      <c r="A64" s="4" t="s">
        <v>174</v>
      </c>
      <c r="B64" s="5" t="s">
        <v>172</v>
      </c>
      <c r="C64" t="str">
        <f t="shared" si="0"/>
        <v>ddhub:VelocityQuantity</v>
      </c>
      <c r="D64">
        <f t="shared" si="1"/>
        <v>1</v>
      </c>
      <c r="E64" t="str">
        <f t="shared" si="2"/>
        <v>ddhub:CentimetrePerHour</v>
      </c>
      <c r="F64" t="s">
        <v>1219</v>
      </c>
      <c r="G64" t="s">
        <v>68</v>
      </c>
      <c r="H64" t="s">
        <v>1218</v>
      </c>
      <c r="J64" t="str">
        <f t="shared" si="6"/>
        <v>ddhub:VelocityQuantity</v>
      </c>
      <c r="K64">
        <f t="shared" si="7"/>
        <v>1</v>
      </c>
      <c r="L64" t="str">
        <f t="shared" si="5"/>
        <v>.</v>
      </c>
    </row>
    <row r="65" spans="1:12">
      <c r="A65" s="4" t="s">
        <v>175</v>
      </c>
      <c r="B65" s="8" t="s">
        <v>176</v>
      </c>
      <c r="C65" t="str">
        <f t="shared" si="0"/>
        <v>ddhub:AccelerationQuantity</v>
      </c>
      <c r="D65">
        <f t="shared" si="1"/>
        <v>1</v>
      </c>
      <c r="E65" t="str">
        <f t="shared" si="2"/>
        <v>ddhub:CentimetrePerHourPerSecond</v>
      </c>
      <c r="F65" t="s">
        <v>1220</v>
      </c>
      <c r="G65" t="s">
        <v>11</v>
      </c>
      <c r="H65" t="s">
        <v>1221</v>
      </c>
      <c r="J65" t="str">
        <f t="shared" si="6"/>
        <v>ddhub:AccelerationQuantity</v>
      </c>
      <c r="K65">
        <f t="shared" si="7"/>
        <v>1</v>
      </c>
      <c r="L65" t="str">
        <f t="shared" si="5"/>
        <v>.</v>
      </c>
    </row>
    <row r="66" spans="1:12">
      <c r="A66" s="4" t="s">
        <v>178</v>
      </c>
      <c r="B66" s="5" t="s">
        <v>172</v>
      </c>
      <c r="C66" t="str">
        <f t="shared" si="0"/>
        <v>ddhub:DimensionlessQuantity</v>
      </c>
      <c r="D66">
        <f t="shared" si="1"/>
        <v>0</v>
      </c>
      <c r="E66" t="str">
        <f t="shared" si="2"/>
        <v>ddhub:CentimetrePerKilometre</v>
      </c>
      <c r="F66" t="s">
        <v>1222</v>
      </c>
      <c r="G66" t="s">
        <v>44</v>
      </c>
      <c r="H66" t="s">
        <v>1223</v>
      </c>
      <c r="J66" t="str">
        <f t="shared" si="6"/>
        <v>ddhub:DimensionlessQuantity</v>
      </c>
      <c r="K66">
        <f t="shared" si="7"/>
        <v>0</v>
      </c>
      <c r="L66" t="str">
        <f t="shared" si="5"/>
        <v>.</v>
      </c>
    </row>
    <row r="67" spans="1:12">
      <c r="A67" s="4" t="s">
        <v>180</v>
      </c>
      <c r="B67" s="8" t="s">
        <v>332</v>
      </c>
      <c r="C67" t="str">
        <f t="shared" ref="C67:C130" si="8">VLOOKUP(A67,E$2:J$838,6)</f>
        <v>ddhub:DimensionlessQuantity</v>
      </c>
      <c r="D67">
        <f t="shared" ref="D67:D130" si="9">IF(B67=C67,1,0)</f>
        <v>1</v>
      </c>
      <c r="E67" t="str">
        <f t="shared" ref="E67:E130" si="10">"ddhub:"&amp;F67</f>
        <v>ddhub:CentimetrePerMetre</v>
      </c>
      <c r="F67" t="s">
        <v>1224</v>
      </c>
      <c r="G67" t="s">
        <v>44</v>
      </c>
      <c r="H67" t="s">
        <v>1223</v>
      </c>
      <c r="J67" t="str">
        <f t="shared" si="6"/>
        <v>ddhub:DimensionlessQuantity</v>
      </c>
      <c r="K67">
        <f t="shared" si="7"/>
        <v>1</v>
      </c>
      <c r="L67" t="str">
        <f t="shared" ref="L67:L130" si="11">IF(D67=K67,".","?")</f>
        <v>.</v>
      </c>
    </row>
    <row r="68" spans="1:12">
      <c r="A68" s="4" t="s">
        <v>181</v>
      </c>
      <c r="B68" s="5" t="s">
        <v>172</v>
      </c>
      <c r="C68" t="str">
        <f t="shared" si="8"/>
        <v>ddhub:VelocityQuantity</v>
      </c>
      <c r="D68">
        <f t="shared" si="9"/>
        <v>1</v>
      </c>
      <c r="E68" t="str">
        <f t="shared" si="10"/>
        <v>ddhub:CentimetrePerMinute</v>
      </c>
      <c r="F68" t="s">
        <v>1225</v>
      </c>
      <c r="G68" t="s">
        <v>68</v>
      </c>
      <c r="H68" t="s">
        <v>1218</v>
      </c>
      <c r="J68" t="str">
        <f t="shared" si="6"/>
        <v>ddhub:VelocityQuantity</v>
      </c>
      <c r="K68">
        <f t="shared" si="7"/>
        <v>1</v>
      </c>
      <c r="L68" t="str">
        <f t="shared" si="11"/>
        <v>.</v>
      </c>
    </row>
    <row r="69" spans="1:12">
      <c r="A69" s="4" t="s">
        <v>183</v>
      </c>
      <c r="B69" s="8" t="s">
        <v>176</v>
      </c>
      <c r="C69" t="str">
        <f t="shared" si="8"/>
        <v>ddhub:AccelerationQuantity</v>
      </c>
      <c r="D69">
        <f t="shared" si="9"/>
        <v>1</v>
      </c>
      <c r="E69" t="str">
        <f t="shared" si="10"/>
        <v>ddhub:CentimetrePerMinutePerSecond</v>
      </c>
      <c r="F69" t="s">
        <v>1226</v>
      </c>
      <c r="G69" t="s">
        <v>11</v>
      </c>
      <c r="H69" t="s">
        <v>1221</v>
      </c>
      <c r="J69" t="str">
        <f t="shared" si="6"/>
        <v>ddhub:AccelerationQuantity</v>
      </c>
      <c r="K69">
        <f t="shared" si="7"/>
        <v>1</v>
      </c>
      <c r="L69" t="str">
        <f t="shared" si="11"/>
        <v>.</v>
      </c>
    </row>
    <row r="70" spans="1:12">
      <c r="A70" s="4" t="s">
        <v>185</v>
      </c>
      <c r="B70" s="5" t="s">
        <v>172</v>
      </c>
      <c r="C70" t="str">
        <f t="shared" si="8"/>
        <v>ddhub:VelocityQuantity</v>
      </c>
      <c r="D70">
        <f t="shared" si="9"/>
        <v>1</v>
      </c>
      <c r="E70" t="str">
        <f t="shared" si="10"/>
        <v>ddhub:CentimetrePerSecond</v>
      </c>
      <c r="F70" t="s">
        <v>1227</v>
      </c>
      <c r="G70" t="s">
        <v>68</v>
      </c>
      <c r="H70" t="s">
        <v>1218</v>
      </c>
      <c r="J70" t="str">
        <f t="shared" si="6"/>
        <v>ddhub:VelocityQuantity</v>
      </c>
      <c r="K70">
        <f t="shared" si="7"/>
        <v>1</v>
      </c>
      <c r="L70" t="str">
        <f t="shared" si="11"/>
        <v>.</v>
      </c>
    </row>
    <row r="71" spans="1:12">
      <c r="A71" s="4" t="s">
        <v>188</v>
      </c>
      <c r="B71" s="8" t="s">
        <v>176</v>
      </c>
      <c r="C71" t="str">
        <f t="shared" si="8"/>
        <v>ddhub:AccelerationQuantity</v>
      </c>
      <c r="D71">
        <f t="shared" si="9"/>
        <v>1</v>
      </c>
      <c r="E71" t="str">
        <f t="shared" si="10"/>
        <v>ddhub:CentimetrePerSecondSquared</v>
      </c>
      <c r="F71" t="s">
        <v>1228</v>
      </c>
      <c r="G71" t="s">
        <v>11</v>
      </c>
      <c r="H71" t="s">
        <v>1229</v>
      </c>
      <c r="J71" t="str">
        <f t="shared" si="6"/>
        <v>ddhub:AccelerationQuantity</v>
      </c>
      <c r="K71">
        <f t="shared" si="7"/>
        <v>1</v>
      </c>
      <c r="L71" t="str">
        <f t="shared" si="11"/>
        <v>.</v>
      </c>
    </row>
    <row r="72" spans="1:12">
      <c r="A72" s="4" t="s">
        <v>190</v>
      </c>
      <c r="B72" s="5" t="s">
        <v>170</v>
      </c>
      <c r="C72" t="str">
        <f t="shared" si="8"/>
        <v>ddhub:PressureQuantity</v>
      </c>
      <c r="D72">
        <f t="shared" si="9"/>
        <v>1</v>
      </c>
      <c r="E72" t="str">
        <f t="shared" si="10"/>
        <v>ddhub:CentimetreWaterAt4DegreeCelsius</v>
      </c>
      <c r="F72" t="s">
        <v>1230</v>
      </c>
      <c r="G72" t="s">
        <v>43</v>
      </c>
      <c r="H72" t="s">
        <v>1231</v>
      </c>
      <c r="J72" t="str">
        <f t="shared" si="6"/>
        <v>ddhub:PressureQuantity</v>
      </c>
      <c r="K72">
        <f t="shared" si="7"/>
        <v>1</v>
      </c>
      <c r="L72" t="str">
        <f t="shared" si="11"/>
        <v>.</v>
      </c>
    </row>
    <row r="73" spans="1:12">
      <c r="A73" s="4" t="s">
        <v>191</v>
      </c>
      <c r="B73" s="8" t="s">
        <v>192</v>
      </c>
      <c r="C73" t="str">
        <f t="shared" si="8"/>
        <v>ddhub:AmountSubstanceQuantity</v>
      </c>
      <c r="D73">
        <f t="shared" si="9"/>
        <v>1</v>
      </c>
      <c r="E73" t="str">
        <f t="shared" si="10"/>
        <v>ddhub:Centimole</v>
      </c>
      <c r="F73" t="s">
        <v>1232</v>
      </c>
      <c r="G73" t="s">
        <v>15</v>
      </c>
      <c r="H73" t="s">
        <v>1233</v>
      </c>
      <c r="J73" t="str">
        <f t="shared" si="6"/>
        <v>ddhub:AmountSubstanceQuantity</v>
      </c>
      <c r="K73">
        <f t="shared" si="7"/>
        <v>1</v>
      </c>
      <c r="L73" t="str">
        <f t="shared" si="11"/>
        <v>.</v>
      </c>
    </row>
    <row r="74" spans="1:12">
      <c r="A74" s="4" t="s">
        <v>194</v>
      </c>
      <c r="B74" s="8" t="s">
        <v>195</v>
      </c>
      <c r="C74" t="str">
        <f t="shared" si="8"/>
        <v>ddhub:DynamicViscosityQuantity</v>
      </c>
      <c r="D74">
        <f t="shared" si="9"/>
        <v>1</v>
      </c>
      <c r="E74" t="str">
        <f t="shared" si="10"/>
        <v>ddhub:Centipoise</v>
      </c>
      <c r="F74" t="s">
        <v>1234</v>
      </c>
      <c r="G74" t="s">
        <v>48</v>
      </c>
      <c r="H74" t="s">
        <v>1235</v>
      </c>
      <c r="J74" t="str">
        <f t="shared" si="6"/>
        <v>ddhub:DynamicViscosityQuantity</v>
      </c>
      <c r="K74">
        <f t="shared" si="7"/>
        <v>1</v>
      </c>
      <c r="L74" t="str">
        <f t="shared" si="11"/>
        <v>.</v>
      </c>
    </row>
    <row r="75" spans="1:12">
      <c r="A75" s="4" t="s">
        <v>196</v>
      </c>
      <c r="B75" s="8" t="s">
        <v>334</v>
      </c>
      <c r="C75" t="str">
        <f t="shared" si="8"/>
        <v>zzz:TBD</v>
      </c>
      <c r="D75">
        <f t="shared" si="9"/>
        <v>1</v>
      </c>
      <c r="E75" t="str">
        <f t="shared" si="10"/>
        <v>ddhub:Centivolt</v>
      </c>
      <c r="F75" t="s">
        <v>1236</v>
      </c>
      <c r="G75" t="s">
        <v>1153</v>
      </c>
      <c r="H75" t="s">
        <v>1237</v>
      </c>
      <c r="J75" s="8" t="s">
        <v>334</v>
      </c>
      <c r="K75">
        <f t="shared" si="7"/>
        <v>1</v>
      </c>
      <c r="L75" t="str">
        <f t="shared" si="11"/>
        <v>.</v>
      </c>
    </row>
    <row r="76" spans="1:12">
      <c r="A76" s="4" t="s">
        <v>199</v>
      </c>
      <c r="B76" s="8" t="s">
        <v>38</v>
      </c>
      <c r="C76" t="str">
        <f t="shared" si="8"/>
        <v>ddhub:PowerQuantity</v>
      </c>
      <c r="D76">
        <f t="shared" si="9"/>
        <v>1</v>
      </c>
      <c r="E76" t="str">
        <f t="shared" si="10"/>
        <v>ddhub:Centiwatt</v>
      </c>
      <c r="F76" t="s">
        <v>1238</v>
      </c>
      <c r="G76" t="s">
        <v>39</v>
      </c>
      <c r="H76" t="s">
        <v>1239</v>
      </c>
      <c r="J76" t="str">
        <f t="shared" si="6"/>
        <v>ddhub:PowerQuantity</v>
      </c>
      <c r="K76">
        <f t="shared" si="7"/>
        <v>1</v>
      </c>
      <c r="L76" t="str">
        <f t="shared" si="11"/>
        <v>.</v>
      </c>
    </row>
    <row r="77" spans="1:12">
      <c r="A77" s="4" t="s">
        <v>200</v>
      </c>
      <c r="B77" s="8" t="s">
        <v>201</v>
      </c>
      <c r="C77" t="str">
        <f t="shared" si="8"/>
        <v>ddhub:TimeQuantity</v>
      </c>
      <c r="D77">
        <f t="shared" si="9"/>
        <v>1</v>
      </c>
      <c r="E77" t="str">
        <f t="shared" si="10"/>
        <v>ddhub:Century</v>
      </c>
      <c r="F77" t="s">
        <v>1240</v>
      </c>
      <c r="G77" t="s">
        <v>162</v>
      </c>
      <c r="H77" t="s">
        <v>1241</v>
      </c>
      <c r="J77" t="str">
        <f t="shared" si="6"/>
        <v>ddhub:TimeQuantity</v>
      </c>
      <c r="K77">
        <f t="shared" si="7"/>
        <v>1</v>
      </c>
      <c r="L77" t="str">
        <f t="shared" si="11"/>
        <v>.</v>
      </c>
    </row>
    <row r="78" spans="1:12">
      <c r="A78" s="4" t="s">
        <v>202</v>
      </c>
      <c r="B78" s="8" t="s">
        <v>25</v>
      </c>
      <c r="C78" t="str">
        <f t="shared" si="8"/>
        <v>ddhub:PlaneAngleQuantity</v>
      </c>
      <c r="D78">
        <f t="shared" si="9"/>
        <v>1</v>
      </c>
      <c r="E78" t="str">
        <f t="shared" si="10"/>
        <v>ddhub:Circle</v>
      </c>
      <c r="F78" t="s">
        <v>1242</v>
      </c>
      <c r="G78" t="s">
        <v>26</v>
      </c>
      <c r="H78" t="s">
        <v>1243</v>
      </c>
      <c r="J78" t="str">
        <f t="shared" si="6"/>
        <v>ddhub:PlaneAngleQuantity</v>
      </c>
      <c r="K78">
        <f t="shared" si="7"/>
        <v>1</v>
      </c>
      <c r="L78" t="str">
        <f t="shared" si="11"/>
        <v>.</v>
      </c>
    </row>
    <row r="79" spans="1:12">
      <c r="A79" s="4" t="s">
        <v>204</v>
      </c>
      <c r="B79" s="8" t="s">
        <v>13</v>
      </c>
      <c r="C79" t="str">
        <f t="shared" si="8"/>
        <v>ddhub:ElectricCurrentQuantity</v>
      </c>
      <c r="D79">
        <f t="shared" si="9"/>
        <v>1</v>
      </c>
      <c r="E79" t="str">
        <f t="shared" si="10"/>
        <v>ddhub:CoulombPerSecond</v>
      </c>
      <c r="F79" t="s">
        <v>1244</v>
      </c>
      <c r="G79" t="s">
        <v>14</v>
      </c>
      <c r="H79" t="s">
        <v>1245</v>
      </c>
      <c r="J79" t="str">
        <f t="shared" si="6"/>
        <v>ddhub:ElectricCurrentQuantity</v>
      </c>
      <c r="K79">
        <f t="shared" si="7"/>
        <v>1</v>
      </c>
      <c r="L79" t="str">
        <f t="shared" si="11"/>
        <v>.</v>
      </c>
    </row>
    <row r="80" spans="1:12">
      <c r="A80" s="4" t="s">
        <v>205</v>
      </c>
      <c r="B80" s="8" t="s">
        <v>334</v>
      </c>
      <c r="C80" t="str">
        <f t="shared" si="8"/>
        <v>ddhub:ElectricCapacitanceQuantity</v>
      </c>
      <c r="D80">
        <f t="shared" si="9"/>
        <v>0</v>
      </c>
      <c r="E80" t="str">
        <f t="shared" si="10"/>
        <v>ddhub:CoulombPerVolt</v>
      </c>
      <c r="F80" t="s">
        <v>1246</v>
      </c>
      <c r="G80" t="s">
        <v>52</v>
      </c>
      <c r="H80" t="s">
        <v>1247</v>
      </c>
      <c r="J80" t="str">
        <f t="shared" si="6"/>
        <v>ddhub:ElectricCapacitanceQuantity</v>
      </c>
      <c r="K80">
        <f t="shared" si="7"/>
        <v>0</v>
      </c>
      <c r="L80" t="str">
        <f t="shared" si="11"/>
        <v>.</v>
      </c>
    </row>
    <row r="81" spans="1:12">
      <c r="A81" s="4" t="s">
        <v>208</v>
      </c>
      <c r="B81" s="8" t="s">
        <v>50</v>
      </c>
      <c r="C81" t="str">
        <f t="shared" si="8"/>
        <v>ddhub:VolumeQuantity</v>
      </c>
      <c r="D81">
        <f t="shared" si="9"/>
        <v>1</v>
      </c>
      <c r="E81" t="str">
        <f t="shared" si="10"/>
        <v>ddhub:CubicFoot</v>
      </c>
      <c r="F81" t="s">
        <v>1248</v>
      </c>
      <c r="G81" t="s">
        <v>51</v>
      </c>
      <c r="H81" t="s">
        <v>1249</v>
      </c>
      <c r="J81" t="str">
        <f t="shared" si="6"/>
        <v>ddhub:VolumeQuantity</v>
      </c>
      <c r="K81">
        <f t="shared" si="7"/>
        <v>1</v>
      </c>
      <c r="L81" t="str">
        <f t="shared" si="11"/>
        <v>.</v>
      </c>
    </row>
    <row r="82" spans="1:12">
      <c r="A82" s="4" t="s">
        <v>209</v>
      </c>
      <c r="B82" s="5" t="s">
        <v>56</v>
      </c>
      <c r="C82" t="str">
        <f t="shared" si="8"/>
        <v>ddhub:VolumetricFlowRateQuantity</v>
      </c>
      <c r="D82">
        <f t="shared" si="9"/>
        <v>1</v>
      </c>
      <c r="E82" t="str">
        <f t="shared" si="10"/>
        <v>ddhub:CubicFootPerDay</v>
      </c>
      <c r="F82" t="s">
        <v>1250</v>
      </c>
      <c r="G82" t="s">
        <v>53</v>
      </c>
      <c r="H82" t="s">
        <v>1251</v>
      </c>
      <c r="J82" t="str">
        <f t="shared" si="6"/>
        <v>ddhub:VolumetricFlowRateQuantity</v>
      </c>
      <c r="K82">
        <f t="shared" si="7"/>
        <v>1</v>
      </c>
      <c r="L82" t="str">
        <f t="shared" si="11"/>
        <v>.</v>
      </c>
    </row>
    <row r="83" spans="1:12">
      <c r="A83" s="4" t="s">
        <v>211</v>
      </c>
      <c r="B83" s="5" t="s">
        <v>56</v>
      </c>
      <c r="C83" t="str">
        <f t="shared" si="8"/>
        <v>ddhub:VolumetricFlowRateQuantity</v>
      </c>
      <c r="D83">
        <f t="shared" si="9"/>
        <v>1</v>
      </c>
      <c r="E83" t="str">
        <f t="shared" si="10"/>
        <v>ddhub:CubicFootPerHour</v>
      </c>
      <c r="F83" t="s">
        <v>1252</v>
      </c>
      <c r="G83" t="s">
        <v>53</v>
      </c>
      <c r="H83" t="s">
        <v>1251</v>
      </c>
      <c r="J83" t="str">
        <f t="shared" si="6"/>
        <v>ddhub:VolumetricFlowRateQuantity</v>
      </c>
      <c r="K83">
        <f t="shared" si="7"/>
        <v>1</v>
      </c>
      <c r="L83" t="str">
        <f t="shared" si="11"/>
        <v>.</v>
      </c>
    </row>
    <row r="84" spans="1:12">
      <c r="A84" s="4" t="s">
        <v>212</v>
      </c>
      <c r="B84" s="5" t="s">
        <v>56</v>
      </c>
      <c r="C84" t="str">
        <f t="shared" si="8"/>
        <v>ddhub:VolumetricFlowRateQuantity</v>
      </c>
      <c r="D84">
        <f t="shared" si="9"/>
        <v>1</v>
      </c>
      <c r="E84" t="str">
        <f t="shared" si="10"/>
        <v>ddhub:CubicFootPerMinute</v>
      </c>
      <c r="F84" t="s">
        <v>1253</v>
      </c>
      <c r="G84" t="s">
        <v>53</v>
      </c>
      <c r="H84" t="s">
        <v>1251</v>
      </c>
      <c r="J84" t="str">
        <f t="shared" si="6"/>
        <v>ddhub:VolumetricFlowRateQuantity</v>
      </c>
      <c r="K84">
        <f t="shared" si="7"/>
        <v>1</v>
      </c>
      <c r="L84" t="str">
        <f t="shared" si="11"/>
        <v>.</v>
      </c>
    </row>
    <row r="85" spans="1:12">
      <c r="A85" s="4" t="s">
        <v>213</v>
      </c>
      <c r="B85" s="5" t="s">
        <v>56</v>
      </c>
      <c r="C85" t="str">
        <f t="shared" si="8"/>
        <v>ddhub:VolumetricFlowRateQuantity</v>
      </c>
      <c r="D85">
        <f t="shared" si="9"/>
        <v>1</v>
      </c>
      <c r="E85" t="str">
        <f t="shared" si="10"/>
        <v>ddhub:CubicFootPerSecond</v>
      </c>
      <c r="F85" t="s">
        <v>1254</v>
      </c>
      <c r="G85" t="s">
        <v>53</v>
      </c>
      <c r="H85" t="s">
        <v>1251</v>
      </c>
      <c r="J85" t="str">
        <f t="shared" si="6"/>
        <v>ddhub:VolumetricFlowRateQuantity</v>
      </c>
      <c r="K85">
        <f t="shared" si="7"/>
        <v>1</v>
      </c>
      <c r="L85" t="str">
        <f t="shared" si="11"/>
        <v>.</v>
      </c>
    </row>
    <row r="86" spans="1:12">
      <c r="A86" s="4" t="s">
        <v>214</v>
      </c>
      <c r="B86" s="5" t="s">
        <v>56</v>
      </c>
      <c r="C86" t="str">
        <f t="shared" si="8"/>
        <v>ddhub:VolumetricFlowRateQuantity</v>
      </c>
      <c r="D86">
        <f t="shared" si="9"/>
        <v>1</v>
      </c>
      <c r="E86" t="str">
        <f t="shared" si="10"/>
        <v>ddhub:CubicFootPerYear</v>
      </c>
      <c r="F86" t="s">
        <v>1255</v>
      </c>
      <c r="G86" t="s">
        <v>53</v>
      </c>
      <c r="H86" t="s">
        <v>1251</v>
      </c>
      <c r="J86" t="str">
        <f t="shared" si="6"/>
        <v>ddhub:VolumetricFlowRateQuantity</v>
      </c>
      <c r="K86">
        <f t="shared" si="7"/>
        <v>1</v>
      </c>
      <c r="L86" t="str">
        <f t="shared" si="11"/>
        <v>.</v>
      </c>
    </row>
    <row r="87" spans="1:12">
      <c r="A87" s="4" t="s">
        <v>215</v>
      </c>
      <c r="B87" s="8" t="s">
        <v>50</v>
      </c>
      <c r="C87" t="str">
        <f t="shared" si="8"/>
        <v>ddhub:VolumeQuantity</v>
      </c>
      <c r="D87">
        <f t="shared" si="9"/>
        <v>1</v>
      </c>
      <c r="E87" t="str">
        <f t="shared" si="10"/>
        <v>ddhub:CubicInch</v>
      </c>
      <c r="F87" t="s">
        <v>1256</v>
      </c>
      <c r="G87" t="s">
        <v>51</v>
      </c>
      <c r="H87" t="s">
        <v>1249</v>
      </c>
      <c r="J87" t="str">
        <f t="shared" si="6"/>
        <v>ddhub:VolumeQuantity</v>
      </c>
      <c r="K87">
        <f t="shared" si="7"/>
        <v>1</v>
      </c>
      <c r="L87" t="str">
        <f t="shared" si="11"/>
        <v>.</v>
      </c>
    </row>
    <row r="88" spans="1:12">
      <c r="A88" s="4" t="s">
        <v>216</v>
      </c>
      <c r="B88" s="8" t="s">
        <v>50</v>
      </c>
      <c r="C88" t="str">
        <f t="shared" si="8"/>
        <v>ddhub:VolumeQuantity</v>
      </c>
      <c r="D88">
        <f t="shared" si="9"/>
        <v>1</v>
      </c>
      <c r="E88" t="str">
        <f t="shared" si="10"/>
        <v>ddhub:CubicMetre</v>
      </c>
      <c r="F88" t="s">
        <v>1257</v>
      </c>
      <c r="G88" t="s">
        <v>51</v>
      </c>
      <c r="H88" t="s">
        <v>1249</v>
      </c>
      <c r="J88" t="str">
        <f t="shared" si="6"/>
        <v>ddhub:VolumeQuantity</v>
      </c>
      <c r="K88">
        <f t="shared" si="7"/>
        <v>1</v>
      </c>
      <c r="L88" t="str">
        <f t="shared" si="11"/>
        <v>.</v>
      </c>
    </row>
    <row r="89" spans="1:12">
      <c r="A89" s="4" t="s">
        <v>218</v>
      </c>
      <c r="B89" s="5" t="s">
        <v>56</v>
      </c>
      <c r="C89" t="str">
        <f t="shared" si="8"/>
        <v>ddhub:VolumetricFlowRateQuantity</v>
      </c>
      <c r="D89">
        <f t="shared" si="9"/>
        <v>1</v>
      </c>
      <c r="E89" t="str">
        <f t="shared" si="10"/>
        <v>ddhub:CubicMetrePerDay</v>
      </c>
      <c r="F89" t="s">
        <v>1258</v>
      </c>
      <c r="G89" t="s">
        <v>53</v>
      </c>
      <c r="H89" t="s">
        <v>1251</v>
      </c>
      <c r="J89" t="str">
        <f t="shared" si="6"/>
        <v>ddhub:VolumetricFlowRateQuantity</v>
      </c>
      <c r="K89">
        <f t="shared" si="7"/>
        <v>1</v>
      </c>
      <c r="L89" t="str">
        <f t="shared" si="11"/>
        <v>.</v>
      </c>
    </row>
    <row r="90" spans="1:12">
      <c r="A90" s="4" t="s">
        <v>219</v>
      </c>
      <c r="B90" s="5" t="s">
        <v>56</v>
      </c>
      <c r="C90" t="str">
        <f t="shared" si="8"/>
        <v>ddhub:VolumetricFlowRateQuantity</v>
      </c>
      <c r="D90">
        <f t="shared" si="9"/>
        <v>1</v>
      </c>
      <c r="E90" t="str">
        <f t="shared" si="10"/>
        <v>ddhub:CubicMetrePerHour</v>
      </c>
      <c r="F90" t="s">
        <v>1259</v>
      </c>
      <c r="G90" t="s">
        <v>53</v>
      </c>
      <c r="H90" t="s">
        <v>1251</v>
      </c>
      <c r="J90" t="str">
        <f t="shared" si="6"/>
        <v>ddhub:VolumetricFlowRateQuantity</v>
      </c>
      <c r="K90">
        <f t="shared" si="7"/>
        <v>1</v>
      </c>
      <c r="L90" t="str">
        <f t="shared" si="11"/>
        <v>.</v>
      </c>
    </row>
    <row r="91" spans="1:12">
      <c r="A91" s="4" t="s">
        <v>220</v>
      </c>
      <c r="B91" s="5" t="s">
        <v>56</v>
      </c>
      <c r="C91" t="str">
        <f t="shared" si="8"/>
        <v>ddhub:VolumetricFlowRateQuantity</v>
      </c>
      <c r="D91">
        <f t="shared" si="9"/>
        <v>1</v>
      </c>
      <c r="E91" t="str">
        <f t="shared" si="10"/>
        <v>ddhub:CubicMetrePerMinute</v>
      </c>
      <c r="F91" t="s">
        <v>1260</v>
      </c>
      <c r="G91" t="s">
        <v>53</v>
      </c>
      <c r="H91" t="s">
        <v>1251</v>
      </c>
      <c r="J91" t="str">
        <f t="shared" si="6"/>
        <v>ddhub:VolumetricFlowRateQuantity</v>
      </c>
      <c r="K91">
        <f t="shared" si="7"/>
        <v>1</v>
      </c>
      <c r="L91" t="str">
        <f t="shared" si="11"/>
        <v>.</v>
      </c>
    </row>
    <row r="92" spans="1:12">
      <c r="A92" s="4" t="s">
        <v>221</v>
      </c>
      <c r="B92" s="5" t="s">
        <v>56</v>
      </c>
      <c r="C92" t="str">
        <f t="shared" si="8"/>
        <v>ddhub:VolumetricFlowRateQuantity</v>
      </c>
      <c r="D92">
        <f t="shared" si="9"/>
        <v>1</v>
      </c>
      <c r="E92" t="str">
        <f t="shared" si="10"/>
        <v>ddhub:CubicMetrePerSecond</v>
      </c>
      <c r="F92" t="s">
        <v>1261</v>
      </c>
      <c r="G92" t="s">
        <v>53</v>
      </c>
      <c r="H92" t="s">
        <v>1251</v>
      </c>
      <c r="J92" t="str">
        <f t="shared" si="6"/>
        <v>ddhub:VolumetricFlowRateQuantity</v>
      </c>
      <c r="K92">
        <f t="shared" si="7"/>
        <v>1</v>
      </c>
      <c r="L92" t="str">
        <f t="shared" si="11"/>
        <v>.</v>
      </c>
    </row>
    <row r="93" spans="1:12">
      <c r="A93" s="4" t="s">
        <v>222</v>
      </c>
      <c r="B93" s="8" t="s">
        <v>334</v>
      </c>
      <c r="C93" t="str">
        <f t="shared" si="8"/>
        <v>ddhub:VolumetricFlowRateOfChangeQuantity</v>
      </c>
      <c r="D93">
        <f t="shared" si="9"/>
        <v>0</v>
      </c>
      <c r="E93" t="str">
        <f t="shared" si="10"/>
        <v>ddhub:CubicMetrePerSecondSquared</v>
      </c>
      <c r="F93" t="s">
        <v>1262</v>
      </c>
      <c r="G93" t="s">
        <v>173</v>
      </c>
      <c r="H93" t="s">
        <v>1263</v>
      </c>
      <c r="J93" t="str">
        <f t="shared" si="6"/>
        <v>ddhub:VolumetricFlowRateOfChangeQuantity</v>
      </c>
      <c r="K93">
        <f t="shared" si="7"/>
        <v>0</v>
      </c>
      <c r="L93" t="str">
        <f t="shared" si="11"/>
        <v>.</v>
      </c>
    </row>
    <row r="94" spans="1:12">
      <c r="A94" s="4" t="s">
        <v>225</v>
      </c>
      <c r="B94" s="5" t="s">
        <v>56</v>
      </c>
      <c r="C94" t="str">
        <f t="shared" si="8"/>
        <v>ddhub:VolumetricFlowRateQuantity</v>
      </c>
      <c r="D94">
        <f t="shared" si="9"/>
        <v>1</v>
      </c>
      <c r="E94" t="str">
        <f t="shared" si="10"/>
        <v>ddhub:CubicMetrePerYear</v>
      </c>
      <c r="F94" t="s">
        <v>1264</v>
      </c>
      <c r="G94" t="s">
        <v>53</v>
      </c>
      <c r="H94" t="s">
        <v>1251</v>
      </c>
      <c r="J94" t="str">
        <f t="shared" si="6"/>
        <v>ddhub:VolumetricFlowRateQuantity</v>
      </c>
      <c r="K94">
        <f t="shared" si="7"/>
        <v>1</v>
      </c>
      <c r="L94" t="str">
        <f t="shared" si="11"/>
        <v>.</v>
      </c>
    </row>
    <row r="95" spans="1:12">
      <c r="A95" s="4" t="s">
        <v>226</v>
      </c>
      <c r="B95" s="8" t="s">
        <v>334</v>
      </c>
      <c r="C95" t="str">
        <f t="shared" si="8"/>
        <v>ddhub:PorousMediumPermeabilityQuantity</v>
      </c>
      <c r="D95">
        <f t="shared" si="9"/>
        <v>0</v>
      </c>
      <c r="E95" t="str">
        <f t="shared" si="10"/>
        <v>ddhub:Darcy</v>
      </c>
      <c r="F95" t="s">
        <v>1265</v>
      </c>
      <c r="G95" t="s">
        <v>128</v>
      </c>
      <c r="H95" t="s">
        <v>1266</v>
      </c>
      <c r="J95" t="str">
        <f t="shared" si="6"/>
        <v>ddhub:PorousMediumPermeabilityQuantity</v>
      </c>
      <c r="K95">
        <f t="shared" si="7"/>
        <v>0</v>
      </c>
      <c r="L95" t="str">
        <f t="shared" si="11"/>
        <v>.</v>
      </c>
    </row>
    <row r="96" spans="1:12">
      <c r="A96" s="4" t="s">
        <v>229</v>
      </c>
      <c r="B96" s="8" t="s">
        <v>201</v>
      </c>
      <c r="C96" t="str">
        <f t="shared" si="8"/>
        <v>ddhub:TimeQuantity</v>
      </c>
      <c r="D96">
        <f t="shared" si="9"/>
        <v>1</v>
      </c>
      <c r="E96" t="str">
        <f t="shared" si="10"/>
        <v>ddhub:Day</v>
      </c>
      <c r="F96" t="s">
        <v>1267</v>
      </c>
      <c r="G96" t="s">
        <v>162</v>
      </c>
      <c r="H96" t="s">
        <v>1268</v>
      </c>
      <c r="J96" t="str">
        <f t="shared" si="6"/>
        <v>ddhub:TimeQuantity</v>
      </c>
      <c r="K96">
        <f t="shared" si="7"/>
        <v>1</v>
      </c>
      <c r="L96" t="str">
        <f t="shared" si="11"/>
        <v>.</v>
      </c>
    </row>
    <row r="97" spans="1:12">
      <c r="A97" s="4" t="s">
        <v>230</v>
      </c>
      <c r="B97" s="8" t="s">
        <v>201</v>
      </c>
      <c r="C97" t="str">
        <f t="shared" si="8"/>
        <v>ddhub:TimeQuantity</v>
      </c>
      <c r="D97">
        <f t="shared" si="9"/>
        <v>1</v>
      </c>
      <c r="E97" t="str">
        <f t="shared" si="10"/>
        <v>ddhub:Decade</v>
      </c>
      <c r="F97" t="s">
        <v>1269</v>
      </c>
      <c r="G97" t="s">
        <v>162</v>
      </c>
      <c r="H97" t="s">
        <v>1270</v>
      </c>
      <c r="J97" t="str">
        <f t="shared" si="6"/>
        <v>ddhub:TimeQuantity</v>
      </c>
      <c r="K97">
        <f t="shared" si="7"/>
        <v>1</v>
      </c>
      <c r="L97" t="str">
        <f t="shared" si="11"/>
        <v>.</v>
      </c>
    </row>
    <row r="98" spans="1:12">
      <c r="A98" s="4" t="s">
        <v>231</v>
      </c>
      <c r="B98" s="8" t="s">
        <v>34</v>
      </c>
      <c r="C98" t="str">
        <f t="shared" si="8"/>
        <v>ddhub:MassQuantity</v>
      </c>
      <c r="D98">
        <f t="shared" si="9"/>
        <v>1</v>
      </c>
      <c r="E98" t="str">
        <f t="shared" si="10"/>
        <v>ddhub:Decagram</v>
      </c>
      <c r="F98" t="s">
        <v>1271</v>
      </c>
      <c r="G98" t="s">
        <v>35</v>
      </c>
      <c r="H98" t="s">
        <v>1272</v>
      </c>
      <c r="J98" t="str">
        <f t="shared" si="6"/>
        <v>ddhub:MassQuantity</v>
      </c>
      <c r="K98">
        <f t="shared" si="7"/>
        <v>1</v>
      </c>
      <c r="L98" t="str">
        <f t="shared" si="11"/>
        <v>.</v>
      </c>
    </row>
    <row r="99" spans="1:12">
      <c r="A99" s="4" t="s">
        <v>232</v>
      </c>
      <c r="B99" s="5" t="s">
        <v>9</v>
      </c>
      <c r="C99" t="str">
        <f t="shared" si="8"/>
        <v>ddhub:LengthQuantity</v>
      </c>
      <c r="D99">
        <f t="shared" si="9"/>
        <v>1</v>
      </c>
      <c r="E99" t="str">
        <f t="shared" si="10"/>
        <v>ddhub:Decametre</v>
      </c>
      <c r="F99" t="s">
        <v>1273</v>
      </c>
      <c r="G99" t="s">
        <v>10</v>
      </c>
      <c r="H99" t="s">
        <v>1274</v>
      </c>
      <c r="J99" t="str">
        <f t="shared" si="6"/>
        <v>ddhub:LengthQuantity</v>
      </c>
      <c r="K99">
        <f t="shared" si="7"/>
        <v>1</v>
      </c>
      <c r="L99" t="str">
        <f t="shared" si="11"/>
        <v>.</v>
      </c>
    </row>
    <row r="100" spans="1:12">
      <c r="A100" s="4" t="s">
        <v>233</v>
      </c>
      <c r="B100" s="5" t="s">
        <v>1275</v>
      </c>
      <c r="C100" t="str">
        <f t="shared" si="8"/>
        <v>ddhub:ForceQuantity</v>
      </c>
      <c r="D100">
        <f t="shared" si="9"/>
        <v>1</v>
      </c>
      <c r="E100" t="str">
        <f t="shared" si="10"/>
        <v>ddhub:Decanewton</v>
      </c>
      <c r="F100" t="s">
        <v>1276</v>
      </c>
      <c r="G100" t="s">
        <v>61</v>
      </c>
      <c r="H100" t="s">
        <v>1277</v>
      </c>
      <c r="J100" t="str">
        <f t="shared" si="6"/>
        <v>ddhub:ForceQuantity</v>
      </c>
      <c r="K100">
        <f t="shared" si="7"/>
        <v>1</v>
      </c>
      <c r="L100" t="str">
        <f t="shared" si="11"/>
        <v>.</v>
      </c>
    </row>
    <row r="101" spans="1:12">
      <c r="A101" s="4" t="s">
        <v>235</v>
      </c>
      <c r="B101" s="5" t="s">
        <v>236</v>
      </c>
      <c r="C101" t="str">
        <f t="shared" si="8"/>
        <v>ddhub:TorqueQuantity</v>
      </c>
      <c r="D101">
        <f t="shared" si="9"/>
        <v>1</v>
      </c>
      <c r="E101" t="str">
        <f t="shared" si="10"/>
        <v>ddhub:DecanewtonMetre</v>
      </c>
      <c r="F101" s="11" t="s">
        <v>1278</v>
      </c>
      <c r="G101" t="s">
        <v>94</v>
      </c>
      <c r="H101" t="s">
        <v>1279</v>
      </c>
      <c r="J101" t="str">
        <f t="shared" ref="J101:J164" si="12">"ddhub:"&amp;G101</f>
        <v>ddhub:TorqueQuantity</v>
      </c>
      <c r="K101">
        <f t="shared" ref="K101:K164" si="13">IF(B101=J101,1,0)</f>
        <v>1</v>
      </c>
      <c r="L101" t="str">
        <f t="shared" si="11"/>
        <v>.</v>
      </c>
    </row>
    <row r="102" spans="1:12">
      <c r="A102" s="4" t="s">
        <v>237</v>
      </c>
      <c r="B102" s="8" t="s">
        <v>238</v>
      </c>
      <c r="C102" t="str">
        <f t="shared" si="8"/>
        <v>ddhub:TorqueGradientPerLengthQuantity</v>
      </c>
      <c r="D102">
        <f t="shared" si="9"/>
        <v>1</v>
      </c>
      <c r="E102" t="str">
        <f t="shared" si="10"/>
        <v>ddhub:DecanewtonMetrePerCentimetre</v>
      </c>
      <c r="F102" s="12" t="s">
        <v>1280</v>
      </c>
      <c r="G102" t="s">
        <v>164</v>
      </c>
      <c r="H102" t="s">
        <v>1281</v>
      </c>
      <c r="J102" t="str">
        <f t="shared" si="12"/>
        <v>ddhub:TorqueGradientPerLengthQuantity</v>
      </c>
      <c r="K102">
        <f t="shared" si="13"/>
        <v>1</v>
      </c>
      <c r="L102" t="str">
        <f t="shared" si="11"/>
        <v>.</v>
      </c>
    </row>
    <row r="103" spans="1:12">
      <c r="A103" s="4" t="s">
        <v>239</v>
      </c>
      <c r="B103" s="8" t="s">
        <v>238</v>
      </c>
      <c r="C103" t="str">
        <f t="shared" si="8"/>
        <v>ddhub:TorqueGradientPerLengthQuantity</v>
      </c>
      <c r="D103">
        <f t="shared" si="9"/>
        <v>1</v>
      </c>
      <c r="E103" t="str">
        <f t="shared" si="10"/>
        <v>ddhub:DecanewtonMetrePerDecimetre</v>
      </c>
      <c r="F103" s="12" t="s">
        <v>1282</v>
      </c>
      <c r="G103" t="s">
        <v>164</v>
      </c>
      <c r="H103" t="s">
        <v>1281</v>
      </c>
      <c r="J103" t="str">
        <f t="shared" si="12"/>
        <v>ddhub:TorqueGradientPerLengthQuantity</v>
      </c>
      <c r="K103">
        <f t="shared" si="13"/>
        <v>1</v>
      </c>
      <c r="L103" t="str">
        <f t="shared" si="11"/>
        <v>.</v>
      </c>
    </row>
    <row r="104" spans="1:12">
      <c r="A104" s="4" t="s">
        <v>241</v>
      </c>
      <c r="B104" s="8" t="s">
        <v>238</v>
      </c>
      <c r="C104" t="str">
        <f t="shared" si="8"/>
        <v>ddhub:TorqueGradientPerLengthQuantity</v>
      </c>
      <c r="D104">
        <f t="shared" si="9"/>
        <v>1</v>
      </c>
      <c r="E104" t="str">
        <f t="shared" si="10"/>
        <v>ddhub:DecanewtonMetrePerFoot</v>
      </c>
      <c r="F104" s="11" t="s">
        <v>1283</v>
      </c>
      <c r="G104" t="s">
        <v>164</v>
      </c>
      <c r="H104" t="s">
        <v>1281</v>
      </c>
      <c r="J104" t="str">
        <f t="shared" si="12"/>
        <v>ddhub:TorqueGradientPerLengthQuantity</v>
      </c>
      <c r="K104">
        <f t="shared" si="13"/>
        <v>1</v>
      </c>
      <c r="L104" t="str">
        <f t="shared" si="11"/>
        <v>.</v>
      </c>
    </row>
    <row r="105" spans="1:12">
      <c r="A105" s="4" t="s">
        <v>242</v>
      </c>
      <c r="B105" s="8" t="s">
        <v>238</v>
      </c>
      <c r="C105" t="str">
        <f t="shared" si="8"/>
        <v>ddhub:TorqueGradientPerLengthQuantity</v>
      </c>
      <c r="D105">
        <f t="shared" si="9"/>
        <v>1</v>
      </c>
      <c r="E105" t="str">
        <f t="shared" si="10"/>
        <v>ddhub:DecanewtonMetrePerInch</v>
      </c>
      <c r="F105" s="12" t="s">
        <v>1284</v>
      </c>
      <c r="G105" t="s">
        <v>164</v>
      </c>
      <c r="H105" t="s">
        <v>1281</v>
      </c>
      <c r="J105" t="str">
        <f t="shared" si="12"/>
        <v>ddhub:TorqueGradientPerLengthQuantity</v>
      </c>
      <c r="K105">
        <f t="shared" si="13"/>
        <v>1</v>
      </c>
      <c r="L105" t="str">
        <f t="shared" si="11"/>
        <v>.</v>
      </c>
    </row>
    <row r="106" spans="1:12">
      <c r="A106" s="4" t="s">
        <v>243</v>
      </c>
      <c r="B106" s="8" t="s">
        <v>238</v>
      </c>
      <c r="C106" t="str">
        <f t="shared" si="8"/>
        <v>ddhub:TorqueGradientPerLengthQuantity</v>
      </c>
      <c r="D106">
        <f t="shared" si="9"/>
        <v>1</v>
      </c>
      <c r="E106" t="str">
        <f t="shared" si="10"/>
        <v>ddhub:DecanewtonMetrePerMetre</v>
      </c>
      <c r="F106" s="12" t="s">
        <v>1285</v>
      </c>
      <c r="G106" t="s">
        <v>164</v>
      </c>
      <c r="H106" t="s">
        <v>1281</v>
      </c>
      <c r="J106" t="str">
        <f t="shared" si="12"/>
        <v>ddhub:TorqueGradientPerLengthQuantity</v>
      </c>
      <c r="K106">
        <f t="shared" si="13"/>
        <v>1</v>
      </c>
      <c r="L106" t="str">
        <f t="shared" si="11"/>
        <v>.</v>
      </c>
    </row>
    <row r="107" spans="1:12">
      <c r="A107" s="4" t="s">
        <v>244</v>
      </c>
      <c r="B107" s="8" t="s">
        <v>238</v>
      </c>
      <c r="C107" t="str">
        <f t="shared" si="8"/>
        <v>ddhub:TorqueGradientPerLengthQuantity</v>
      </c>
      <c r="D107">
        <f t="shared" si="9"/>
        <v>1</v>
      </c>
      <c r="E107" t="str">
        <f t="shared" si="10"/>
        <v>ddhub:DecanewtonMetrePerMillimetre</v>
      </c>
      <c r="F107" s="11" t="s">
        <v>1286</v>
      </c>
      <c r="G107" t="s">
        <v>164</v>
      </c>
      <c r="H107" t="s">
        <v>1281</v>
      </c>
      <c r="J107" t="str">
        <f t="shared" si="12"/>
        <v>ddhub:TorqueGradientPerLengthQuantity</v>
      </c>
      <c r="K107">
        <f t="shared" si="13"/>
        <v>1</v>
      </c>
      <c r="L107" t="str">
        <f t="shared" si="11"/>
        <v>.</v>
      </c>
    </row>
    <row r="108" spans="1:12">
      <c r="A108" s="4" t="s">
        <v>245</v>
      </c>
      <c r="B108" s="8" t="s">
        <v>246</v>
      </c>
      <c r="C108" t="str">
        <f t="shared" si="8"/>
        <v>ddhub:ForceGradientPerLengthQuantity</v>
      </c>
      <c r="D108">
        <f t="shared" si="9"/>
        <v>1</v>
      </c>
      <c r="E108" t="str">
        <f t="shared" si="10"/>
        <v>ddhub:DecanewtonPer10Metre</v>
      </c>
      <c r="F108" s="12" t="s">
        <v>1287</v>
      </c>
      <c r="G108" t="s">
        <v>73</v>
      </c>
      <c r="H108" t="s">
        <v>1288</v>
      </c>
      <c r="J108" t="str">
        <f t="shared" si="12"/>
        <v>ddhub:ForceGradientPerLengthQuantity</v>
      </c>
      <c r="K108">
        <f t="shared" si="13"/>
        <v>1</v>
      </c>
      <c r="L108" t="str">
        <f t="shared" si="11"/>
        <v>.</v>
      </c>
    </row>
    <row r="109" spans="1:12">
      <c r="A109" s="4" t="s">
        <v>247</v>
      </c>
      <c r="B109" s="8" t="s">
        <v>246</v>
      </c>
      <c r="C109" t="str">
        <f t="shared" si="8"/>
        <v>ddhub:ForceGradientPerLengthQuantity</v>
      </c>
      <c r="D109">
        <f t="shared" si="9"/>
        <v>1</v>
      </c>
      <c r="E109" t="str">
        <f t="shared" si="10"/>
        <v>ddhub:DecanewtonPer30Metre</v>
      </c>
      <c r="F109" s="12" t="s">
        <v>1289</v>
      </c>
      <c r="G109" t="s">
        <v>73</v>
      </c>
      <c r="H109" t="s">
        <v>1288</v>
      </c>
      <c r="J109" t="str">
        <f t="shared" si="12"/>
        <v>ddhub:ForceGradientPerLengthQuantity</v>
      </c>
      <c r="K109">
        <f t="shared" si="13"/>
        <v>1</v>
      </c>
      <c r="L109" t="str">
        <f t="shared" si="11"/>
        <v>.</v>
      </c>
    </row>
    <row r="110" spans="1:12">
      <c r="A110" s="4" t="s">
        <v>249</v>
      </c>
      <c r="B110" s="8" t="s">
        <v>246</v>
      </c>
      <c r="C110" t="str">
        <f t="shared" si="8"/>
        <v>ddhub:ForceGradientPerLengthQuantity</v>
      </c>
      <c r="D110">
        <f t="shared" si="9"/>
        <v>1</v>
      </c>
      <c r="E110" t="str">
        <f t="shared" si="10"/>
        <v>ddhub:DecanewtonPerCentimetre</v>
      </c>
      <c r="F110" s="11" t="s">
        <v>1290</v>
      </c>
      <c r="G110" t="s">
        <v>73</v>
      </c>
      <c r="H110" t="s">
        <v>1288</v>
      </c>
      <c r="J110" t="str">
        <f t="shared" si="12"/>
        <v>ddhub:ForceGradientPerLengthQuantity</v>
      </c>
      <c r="K110">
        <f t="shared" si="13"/>
        <v>1</v>
      </c>
      <c r="L110" t="str">
        <f t="shared" si="11"/>
        <v>.</v>
      </c>
    </row>
    <row r="111" spans="1:12">
      <c r="A111" s="4" t="s">
        <v>250</v>
      </c>
      <c r="B111" s="8" t="s">
        <v>246</v>
      </c>
      <c r="C111" t="str">
        <f t="shared" si="8"/>
        <v>ddhub:ForceGradientPerLengthQuantity</v>
      </c>
      <c r="D111">
        <f t="shared" si="9"/>
        <v>1</v>
      </c>
      <c r="E111" t="str">
        <f t="shared" si="10"/>
        <v>ddhub:DecanewtonPerDecimetre</v>
      </c>
      <c r="F111" s="12" t="s">
        <v>1291</v>
      </c>
      <c r="G111" t="s">
        <v>73</v>
      </c>
      <c r="H111" t="s">
        <v>1288</v>
      </c>
      <c r="J111" t="str">
        <f t="shared" si="12"/>
        <v>ddhub:ForceGradientPerLengthQuantity</v>
      </c>
      <c r="K111">
        <f t="shared" si="13"/>
        <v>1</v>
      </c>
      <c r="L111" t="str">
        <f t="shared" si="11"/>
        <v>.</v>
      </c>
    </row>
    <row r="112" spans="1:12">
      <c r="A112" s="4" t="s">
        <v>251</v>
      </c>
      <c r="B112" s="8" t="s">
        <v>246</v>
      </c>
      <c r="C112" t="str">
        <f t="shared" si="8"/>
        <v>ddhub:ForceGradientPerLengthQuantity</v>
      </c>
      <c r="D112">
        <f t="shared" si="9"/>
        <v>1</v>
      </c>
      <c r="E112" t="str">
        <f t="shared" si="10"/>
        <v>ddhub:DecanewtonPerMetre</v>
      </c>
      <c r="F112" s="12" t="s">
        <v>1292</v>
      </c>
      <c r="G112" t="s">
        <v>73</v>
      </c>
      <c r="H112" t="s">
        <v>1288</v>
      </c>
      <c r="J112" t="str">
        <f t="shared" si="12"/>
        <v>ddhub:ForceGradientPerLengthQuantity</v>
      </c>
      <c r="K112">
        <f t="shared" si="13"/>
        <v>1</v>
      </c>
      <c r="L112" t="str">
        <f t="shared" si="11"/>
        <v>.</v>
      </c>
    </row>
    <row r="113" spans="1:12">
      <c r="A113" s="4" t="s">
        <v>252</v>
      </c>
      <c r="B113" s="8" t="s">
        <v>246</v>
      </c>
      <c r="C113" t="str">
        <f t="shared" si="8"/>
        <v>ddhub:ForceGradientPerLengthQuantity</v>
      </c>
      <c r="D113">
        <f t="shared" si="9"/>
        <v>1</v>
      </c>
      <c r="E113" t="str">
        <f t="shared" si="10"/>
        <v>ddhub:DecanewtonPerMillimetre</v>
      </c>
      <c r="F113" s="11" t="s">
        <v>1293</v>
      </c>
      <c r="G113" t="s">
        <v>73</v>
      </c>
      <c r="H113" t="s">
        <v>1288</v>
      </c>
      <c r="J113" t="str">
        <f t="shared" si="12"/>
        <v>ddhub:ForceGradientPerLengthQuantity</v>
      </c>
      <c r="K113">
        <f t="shared" si="13"/>
        <v>1</v>
      </c>
      <c r="L113" t="str">
        <f t="shared" si="11"/>
        <v>.</v>
      </c>
    </row>
    <row r="114" spans="1:12">
      <c r="A114" s="4" t="s">
        <v>253</v>
      </c>
      <c r="B114" s="8" t="s">
        <v>38</v>
      </c>
      <c r="C114" t="str">
        <f t="shared" si="8"/>
        <v>ddhub:PowerQuantity</v>
      </c>
      <c r="D114">
        <f t="shared" si="9"/>
        <v>1</v>
      </c>
      <c r="E114" t="str">
        <f t="shared" si="10"/>
        <v>ddhub:Decawatt</v>
      </c>
      <c r="F114" s="12" t="s">
        <v>1294</v>
      </c>
      <c r="G114" t="s">
        <v>39</v>
      </c>
      <c r="H114" t="s">
        <v>1295</v>
      </c>
      <c r="J114" t="str">
        <f t="shared" si="12"/>
        <v>ddhub:PowerQuantity</v>
      </c>
      <c r="K114">
        <f t="shared" si="13"/>
        <v>1</v>
      </c>
      <c r="L114" t="str">
        <f t="shared" si="11"/>
        <v>.</v>
      </c>
    </row>
    <row r="115" spans="1:12">
      <c r="A115" s="4" t="s">
        <v>254</v>
      </c>
      <c r="B115" s="8" t="s">
        <v>13</v>
      </c>
      <c r="C115" t="str">
        <f t="shared" si="8"/>
        <v>ddhub:ElectricCurrentQuantity</v>
      </c>
      <c r="D115">
        <f t="shared" si="9"/>
        <v>1</v>
      </c>
      <c r="E115" t="str">
        <f t="shared" si="10"/>
        <v>ddhub:Deciampere</v>
      </c>
      <c r="F115" s="12" t="s">
        <v>1296</v>
      </c>
      <c r="G115" t="s">
        <v>14</v>
      </c>
      <c r="H115" t="s">
        <v>1297</v>
      </c>
      <c r="J115" t="str">
        <f t="shared" si="12"/>
        <v>ddhub:ElectricCurrentQuantity</v>
      </c>
      <c r="K115">
        <f t="shared" si="13"/>
        <v>1</v>
      </c>
      <c r="L115" t="str">
        <f t="shared" si="11"/>
        <v>.</v>
      </c>
    </row>
    <row r="116" spans="1:12">
      <c r="A116" s="4" t="s">
        <v>255</v>
      </c>
      <c r="B116" s="8" t="s">
        <v>50</v>
      </c>
      <c r="C116" t="str">
        <f t="shared" si="8"/>
        <v>ddhub:VolumeQuantity</v>
      </c>
      <c r="D116">
        <f t="shared" si="9"/>
        <v>1</v>
      </c>
      <c r="E116" t="str">
        <f t="shared" si="10"/>
        <v>ddhub:Decilitre</v>
      </c>
      <c r="F116" s="11" t="s">
        <v>1298</v>
      </c>
      <c r="G116" t="s">
        <v>51</v>
      </c>
      <c r="H116" t="s">
        <v>1299</v>
      </c>
      <c r="J116" t="str">
        <f t="shared" si="12"/>
        <v>ddhub:VolumeQuantity</v>
      </c>
      <c r="K116">
        <f t="shared" si="13"/>
        <v>1</v>
      </c>
      <c r="L116" t="str">
        <f t="shared" si="11"/>
        <v>.</v>
      </c>
    </row>
    <row r="117" spans="1:12">
      <c r="A117" s="4" t="s">
        <v>256</v>
      </c>
      <c r="B117" s="8" t="s">
        <v>71</v>
      </c>
      <c r="C117" t="str">
        <f t="shared" si="8"/>
        <v>ddhub:LuminousIntensityQuantity</v>
      </c>
      <c r="D117">
        <f t="shared" si="9"/>
        <v>1</v>
      </c>
      <c r="E117" t="str">
        <f t="shared" si="10"/>
        <v>ddhub:DecimalCandle</v>
      </c>
      <c r="F117" s="12" t="s">
        <v>1300</v>
      </c>
      <c r="G117" t="s">
        <v>72</v>
      </c>
      <c r="H117" t="s">
        <v>1301</v>
      </c>
      <c r="J117" t="str">
        <f t="shared" si="12"/>
        <v>ddhub:LuminousIntensityQuantity</v>
      </c>
      <c r="K117">
        <f t="shared" si="13"/>
        <v>1</v>
      </c>
      <c r="L117" t="str">
        <f t="shared" si="11"/>
        <v>.</v>
      </c>
    </row>
    <row r="118" spans="1:12">
      <c r="A118" s="4" t="s">
        <v>257</v>
      </c>
      <c r="B118" s="5" t="s">
        <v>9</v>
      </c>
      <c r="C118" t="str">
        <f t="shared" si="8"/>
        <v>ddhub:LengthQuantity</v>
      </c>
      <c r="D118">
        <f t="shared" si="9"/>
        <v>1</v>
      </c>
      <c r="E118" t="str">
        <f t="shared" si="10"/>
        <v>ddhub:Decimetre</v>
      </c>
      <c r="F118" s="12" t="s">
        <v>1302</v>
      </c>
      <c r="G118" t="s">
        <v>10</v>
      </c>
      <c r="H118" t="s">
        <v>1303</v>
      </c>
      <c r="J118" t="str">
        <f t="shared" si="12"/>
        <v>ddhub:LengthQuantity</v>
      </c>
      <c r="K118">
        <f t="shared" si="13"/>
        <v>1</v>
      </c>
      <c r="L118" t="str">
        <f t="shared" si="11"/>
        <v>.</v>
      </c>
    </row>
    <row r="119" spans="1:12">
      <c r="A119" s="4" t="s">
        <v>258</v>
      </c>
      <c r="B119" s="5" t="s">
        <v>172</v>
      </c>
      <c r="C119" t="str">
        <f t="shared" si="8"/>
        <v>ddhub:VelocityQuantity</v>
      </c>
      <c r="D119">
        <f t="shared" si="9"/>
        <v>1</v>
      </c>
      <c r="E119" t="str">
        <f t="shared" si="10"/>
        <v>ddhub:DecimetrePerDay</v>
      </c>
      <c r="F119" s="11" t="s">
        <v>1304</v>
      </c>
      <c r="G119" t="s">
        <v>68</v>
      </c>
      <c r="H119" t="s">
        <v>1218</v>
      </c>
      <c r="J119" t="str">
        <f t="shared" si="12"/>
        <v>ddhub:VelocityQuantity</v>
      </c>
      <c r="K119">
        <f t="shared" si="13"/>
        <v>1</v>
      </c>
      <c r="L119" t="str">
        <f t="shared" si="11"/>
        <v>.</v>
      </c>
    </row>
    <row r="120" spans="1:12">
      <c r="A120" s="4" t="s">
        <v>259</v>
      </c>
      <c r="B120" s="5" t="s">
        <v>172</v>
      </c>
      <c r="C120" t="str">
        <f t="shared" si="8"/>
        <v>ddhub:VelocityQuantity</v>
      </c>
      <c r="D120">
        <f t="shared" si="9"/>
        <v>1</v>
      </c>
      <c r="E120" t="str">
        <f t="shared" si="10"/>
        <v>ddhub:DecimetrePerHour</v>
      </c>
      <c r="F120" s="12" t="s">
        <v>1305</v>
      </c>
      <c r="G120" t="s">
        <v>68</v>
      </c>
      <c r="H120" t="s">
        <v>1218</v>
      </c>
      <c r="J120" t="str">
        <f t="shared" si="12"/>
        <v>ddhub:VelocityQuantity</v>
      </c>
      <c r="K120">
        <f t="shared" si="13"/>
        <v>1</v>
      </c>
      <c r="L120" t="str">
        <f t="shared" si="11"/>
        <v>.</v>
      </c>
    </row>
    <row r="121" spans="1:12">
      <c r="A121" s="4" t="s">
        <v>260</v>
      </c>
      <c r="B121" s="8" t="s">
        <v>332</v>
      </c>
      <c r="C121" t="str">
        <f t="shared" si="8"/>
        <v>ddhub:DimensionlessQuantity</v>
      </c>
      <c r="D121">
        <f t="shared" si="9"/>
        <v>1</v>
      </c>
      <c r="E121" t="str">
        <f t="shared" si="10"/>
        <v>ddhub:DecimetrePerKilometre</v>
      </c>
      <c r="F121" s="12" t="s">
        <v>1306</v>
      </c>
      <c r="G121" t="s">
        <v>44</v>
      </c>
      <c r="H121" t="s">
        <v>1223</v>
      </c>
      <c r="J121" t="str">
        <f t="shared" si="12"/>
        <v>ddhub:DimensionlessQuantity</v>
      </c>
      <c r="K121">
        <f t="shared" si="13"/>
        <v>1</v>
      </c>
      <c r="L121" t="str">
        <f t="shared" si="11"/>
        <v>.</v>
      </c>
    </row>
    <row r="122" spans="1:12">
      <c r="A122" s="4" t="s">
        <v>261</v>
      </c>
      <c r="B122" s="8" t="s">
        <v>332</v>
      </c>
      <c r="C122" t="str">
        <f t="shared" si="8"/>
        <v>ddhub:DimensionlessQuantity</v>
      </c>
      <c r="D122">
        <f t="shared" si="9"/>
        <v>1</v>
      </c>
      <c r="E122" t="str">
        <f t="shared" si="10"/>
        <v>ddhub:DecimetrePerMetre</v>
      </c>
      <c r="F122" s="11" t="s">
        <v>1307</v>
      </c>
      <c r="G122" t="s">
        <v>44</v>
      </c>
      <c r="H122" t="s">
        <v>1223</v>
      </c>
      <c r="J122" t="str">
        <f t="shared" si="12"/>
        <v>ddhub:DimensionlessQuantity</v>
      </c>
      <c r="K122">
        <f t="shared" si="13"/>
        <v>1</v>
      </c>
      <c r="L122" t="str">
        <f t="shared" si="11"/>
        <v>.</v>
      </c>
    </row>
    <row r="123" spans="1:12">
      <c r="A123" s="4" t="s">
        <v>262</v>
      </c>
      <c r="B123" s="5" t="s">
        <v>172</v>
      </c>
      <c r="C123" t="str">
        <f t="shared" si="8"/>
        <v>ddhub:VelocityQuantity</v>
      </c>
      <c r="D123">
        <f t="shared" si="9"/>
        <v>1</v>
      </c>
      <c r="E123" t="str">
        <f t="shared" si="10"/>
        <v>ddhub:DecimetrePerMinute</v>
      </c>
      <c r="F123" s="12" t="s">
        <v>1308</v>
      </c>
      <c r="G123" t="s">
        <v>68</v>
      </c>
      <c r="H123" t="s">
        <v>1218</v>
      </c>
      <c r="J123" t="str">
        <f t="shared" si="12"/>
        <v>ddhub:VelocityQuantity</v>
      </c>
      <c r="K123">
        <f t="shared" si="13"/>
        <v>1</v>
      </c>
      <c r="L123" t="str">
        <f t="shared" si="11"/>
        <v>.</v>
      </c>
    </row>
    <row r="124" spans="1:12">
      <c r="A124" s="4" t="s">
        <v>263</v>
      </c>
      <c r="B124" s="5" t="s">
        <v>172</v>
      </c>
      <c r="C124" t="str">
        <f t="shared" si="8"/>
        <v>ddhub:VelocityQuantity</v>
      </c>
      <c r="D124">
        <f t="shared" si="9"/>
        <v>1</v>
      </c>
      <c r="E124" t="str">
        <f t="shared" si="10"/>
        <v>ddhub:DecimetrePerSecond</v>
      </c>
      <c r="F124" s="12" t="s">
        <v>1309</v>
      </c>
      <c r="G124" t="s">
        <v>68</v>
      </c>
      <c r="H124" t="s">
        <v>1218</v>
      </c>
      <c r="J124" t="str">
        <f t="shared" si="12"/>
        <v>ddhub:VelocityQuantity</v>
      </c>
      <c r="K124">
        <f t="shared" si="13"/>
        <v>1</v>
      </c>
      <c r="L124" t="str">
        <f t="shared" si="11"/>
        <v>.</v>
      </c>
    </row>
    <row r="125" spans="1:12">
      <c r="A125" s="4" t="s">
        <v>264</v>
      </c>
      <c r="B125" s="8" t="s">
        <v>192</v>
      </c>
      <c r="C125" t="str">
        <f t="shared" si="8"/>
        <v>ddhub:AmountSubstanceQuantity</v>
      </c>
      <c r="D125">
        <f t="shared" si="9"/>
        <v>1</v>
      </c>
      <c r="E125" t="str">
        <f t="shared" si="10"/>
        <v>ddhub:Decimole</v>
      </c>
      <c r="F125" s="11" t="s">
        <v>1310</v>
      </c>
      <c r="G125" t="s">
        <v>15</v>
      </c>
      <c r="H125" t="s">
        <v>1311</v>
      </c>
      <c r="J125" t="str">
        <f t="shared" si="12"/>
        <v>ddhub:AmountSubstanceQuantity</v>
      </c>
      <c r="K125">
        <f t="shared" si="13"/>
        <v>1</v>
      </c>
      <c r="L125" t="str">
        <f t="shared" si="11"/>
        <v>.</v>
      </c>
    </row>
    <row r="126" spans="1:12">
      <c r="A126" s="4" t="s">
        <v>265</v>
      </c>
      <c r="B126" s="8" t="s">
        <v>38</v>
      </c>
      <c r="C126" t="str">
        <f t="shared" si="8"/>
        <v>ddhub:PowerQuantity</v>
      </c>
      <c r="D126">
        <f t="shared" si="9"/>
        <v>1</v>
      </c>
      <c r="E126" t="str">
        <f t="shared" si="10"/>
        <v>ddhub:Deciwatt</v>
      </c>
      <c r="F126" s="12" t="s">
        <v>1312</v>
      </c>
      <c r="G126" t="s">
        <v>39</v>
      </c>
      <c r="H126" t="s">
        <v>1313</v>
      </c>
      <c r="J126" t="str">
        <f t="shared" si="12"/>
        <v>ddhub:PowerQuantity</v>
      </c>
      <c r="K126">
        <f t="shared" si="13"/>
        <v>1</v>
      </c>
      <c r="L126" t="str">
        <f t="shared" si="11"/>
        <v>.</v>
      </c>
    </row>
    <row r="127" spans="1:12">
      <c r="A127" s="4" t="s">
        <v>266</v>
      </c>
      <c r="B127" s="8" t="s">
        <v>25</v>
      </c>
      <c r="C127" t="str">
        <f t="shared" si="8"/>
        <v>ddhub:PlaneAngleQuantity</v>
      </c>
      <c r="D127">
        <f t="shared" si="9"/>
        <v>1</v>
      </c>
      <c r="E127" t="str">
        <f t="shared" si="10"/>
        <v>ddhub:Degree</v>
      </c>
      <c r="F127" s="12" t="s">
        <v>1314</v>
      </c>
      <c r="G127" t="s">
        <v>26</v>
      </c>
      <c r="H127" t="s">
        <v>1315</v>
      </c>
      <c r="J127" t="str">
        <f t="shared" si="12"/>
        <v>ddhub:PlaneAngleQuantity</v>
      </c>
      <c r="K127">
        <f t="shared" si="13"/>
        <v>1</v>
      </c>
      <c r="L127" t="str">
        <f t="shared" si="11"/>
        <v>.</v>
      </c>
    </row>
    <row r="128" spans="1:12">
      <c r="A128" s="4" t="s">
        <v>268</v>
      </c>
      <c r="B128" s="8" t="s">
        <v>334</v>
      </c>
      <c r="C128" t="str">
        <f t="shared" si="8"/>
        <v>ddhub:MagneticFluxDensityQuantity</v>
      </c>
      <c r="D128">
        <f t="shared" si="9"/>
        <v>0</v>
      </c>
      <c r="E128" t="str">
        <f t="shared" si="10"/>
        <v>ddhub:DegreeGauss</v>
      </c>
      <c r="F128" s="11" t="s">
        <v>1316</v>
      </c>
      <c r="G128" t="s">
        <v>107</v>
      </c>
      <c r="H128" t="s">
        <v>1317</v>
      </c>
      <c r="J128" t="str">
        <f t="shared" si="12"/>
        <v>ddhub:MagneticFluxDensityQuantity</v>
      </c>
      <c r="K128">
        <f t="shared" si="13"/>
        <v>0</v>
      </c>
      <c r="L128" t="str">
        <f t="shared" si="11"/>
        <v>.</v>
      </c>
    </row>
    <row r="129" spans="1:12">
      <c r="A129" s="4" t="s">
        <v>270</v>
      </c>
      <c r="B129" s="8" t="s">
        <v>379</v>
      </c>
      <c r="C129" t="str">
        <f t="shared" si="8"/>
        <v>ddhub:MagneticFluxDensityQuantity</v>
      </c>
      <c r="D129">
        <f t="shared" si="9"/>
        <v>1</v>
      </c>
      <c r="E129" t="str">
        <f t="shared" si="10"/>
        <v>ddhub:DegreeMaxwellPerSquareCentimetre</v>
      </c>
      <c r="F129" s="12" t="s">
        <v>1318</v>
      </c>
      <c r="G129" t="s">
        <v>107</v>
      </c>
      <c r="H129" t="s">
        <v>1317</v>
      </c>
      <c r="J129" t="str">
        <f t="shared" si="12"/>
        <v>ddhub:MagneticFluxDensityQuantity</v>
      </c>
      <c r="K129">
        <f t="shared" si="13"/>
        <v>1</v>
      </c>
      <c r="L129" t="str">
        <f t="shared" si="11"/>
        <v>.</v>
      </c>
    </row>
    <row r="130" spans="1:12">
      <c r="A130" s="4" t="s">
        <v>271</v>
      </c>
      <c r="B130" s="8" t="s">
        <v>379</v>
      </c>
      <c r="C130" t="str">
        <f t="shared" si="8"/>
        <v>ddhub:MagneticFluxDensityQuantity</v>
      </c>
      <c r="D130">
        <f t="shared" si="9"/>
        <v>1</v>
      </c>
      <c r="E130" t="str">
        <f t="shared" si="10"/>
        <v>ddhub:DegreeMicrotesla</v>
      </c>
      <c r="F130" s="12" t="s">
        <v>1319</v>
      </c>
      <c r="G130" t="s">
        <v>107</v>
      </c>
      <c r="H130" t="s">
        <v>1317</v>
      </c>
      <c r="J130" t="str">
        <f t="shared" si="12"/>
        <v>ddhub:MagneticFluxDensityQuantity</v>
      </c>
      <c r="K130">
        <f t="shared" si="13"/>
        <v>1</v>
      </c>
      <c r="L130" t="str">
        <f t="shared" si="11"/>
        <v>.</v>
      </c>
    </row>
    <row r="131" spans="1:12">
      <c r="A131" s="4" t="s">
        <v>272</v>
      </c>
      <c r="B131" s="8" t="s">
        <v>334</v>
      </c>
      <c r="C131" t="str">
        <f t="shared" ref="C131:C194" si="14">VLOOKUP(A131,E$2:J$838,6)</f>
        <v>ddhub:MagneticFluxDensityQuantity</v>
      </c>
      <c r="D131">
        <f t="shared" ref="D131:D194" si="15">IF(B131=C131,1,0)</f>
        <v>0</v>
      </c>
      <c r="E131" t="str">
        <f t="shared" ref="E131:E194" si="16">"ddhub:"&amp;F131</f>
        <v>ddhub:DegreeMilligauss</v>
      </c>
      <c r="F131" s="11" t="s">
        <v>1320</v>
      </c>
      <c r="G131" t="s">
        <v>107</v>
      </c>
      <c r="H131" t="s">
        <v>1317</v>
      </c>
      <c r="J131" t="str">
        <f t="shared" si="12"/>
        <v>ddhub:MagneticFluxDensityQuantity</v>
      </c>
      <c r="K131">
        <f t="shared" si="13"/>
        <v>0</v>
      </c>
      <c r="L131" t="str">
        <f t="shared" ref="L131:L194" si="17">IF(D131=K131,".","?")</f>
        <v>.</v>
      </c>
    </row>
    <row r="132" spans="1:12">
      <c r="A132" s="4" t="s">
        <v>274</v>
      </c>
      <c r="B132" s="8" t="s">
        <v>379</v>
      </c>
      <c r="C132" t="str">
        <f t="shared" si="14"/>
        <v>ddhub:MagneticFluxDensityQuantity</v>
      </c>
      <c r="D132">
        <f t="shared" si="15"/>
        <v>1</v>
      </c>
      <c r="E132" t="str">
        <f t="shared" si="16"/>
        <v>ddhub:DegreeMillitesla</v>
      </c>
      <c r="F132" s="12" t="s">
        <v>1321</v>
      </c>
      <c r="G132" t="s">
        <v>107</v>
      </c>
      <c r="H132" t="s">
        <v>1317</v>
      </c>
      <c r="J132" t="str">
        <f t="shared" si="12"/>
        <v>ddhub:MagneticFluxDensityQuantity</v>
      </c>
      <c r="K132">
        <f t="shared" si="13"/>
        <v>1</v>
      </c>
      <c r="L132" t="str">
        <f t="shared" si="17"/>
        <v>.</v>
      </c>
    </row>
    <row r="133" spans="1:12">
      <c r="A133" s="4" t="s">
        <v>275</v>
      </c>
      <c r="B133" s="8" t="s">
        <v>379</v>
      </c>
      <c r="C133" t="str">
        <f t="shared" si="14"/>
        <v>ddhub:MagneticFluxDensityQuantity</v>
      </c>
      <c r="D133">
        <f t="shared" si="15"/>
        <v>1</v>
      </c>
      <c r="E133" t="str">
        <f t="shared" si="16"/>
        <v>ddhub:DegreeNanotesla</v>
      </c>
      <c r="F133" s="12" t="s">
        <v>1322</v>
      </c>
      <c r="G133" t="s">
        <v>107</v>
      </c>
      <c r="H133" t="s">
        <v>1317</v>
      </c>
      <c r="J133" t="str">
        <f t="shared" si="12"/>
        <v>ddhub:MagneticFluxDensityQuantity</v>
      </c>
      <c r="K133">
        <f t="shared" si="13"/>
        <v>1</v>
      </c>
      <c r="L133" t="str">
        <f t="shared" si="17"/>
        <v>.</v>
      </c>
    </row>
    <row r="134" spans="1:12">
      <c r="A134" s="4" t="s">
        <v>276</v>
      </c>
      <c r="B134" s="8" t="s">
        <v>334</v>
      </c>
      <c r="C134" t="str">
        <f t="shared" si="14"/>
        <v>ddhub:AngleGradientPerLengthQuantity</v>
      </c>
      <c r="D134">
        <f t="shared" si="15"/>
        <v>0</v>
      </c>
      <c r="E134" t="str">
        <f t="shared" si="16"/>
        <v>ddhub:DegreePer100ft</v>
      </c>
      <c r="F134" s="11" t="s">
        <v>1323</v>
      </c>
      <c r="G134" t="s">
        <v>19</v>
      </c>
      <c r="H134" t="s">
        <v>1324</v>
      </c>
      <c r="J134" t="str">
        <f t="shared" si="12"/>
        <v>ddhub:AngleGradientPerLengthQuantity</v>
      </c>
      <c r="K134">
        <f t="shared" si="13"/>
        <v>0</v>
      </c>
      <c r="L134" t="str">
        <f t="shared" si="17"/>
        <v>.</v>
      </c>
    </row>
    <row r="135" spans="1:12">
      <c r="A135" s="4" t="s">
        <v>278</v>
      </c>
      <c r="B135" s="8" t="s">
        <v>334</v>
      </c>
      <c r="C135" t="str">
        <f t="shared" si="14"/>
        <v>ddhub:AngleGradientPerLengthQuantity</v>
      </c>
      <c r="D135">
        <f t="shared" si="15"/>
        <v>0</v>
      </c>
      <c r="E135" t="str">
        <f t="shared" si="16"/>
        <v>ddhub:DegreePer10m</v>
      </c>
      <c r="F135" s="12" t="s">
        <v>1325</v>
      </c>
      <c r="G135" t="s">
        <v>19</v>
      </c>
      <c r="H135" t="s">
        <v>1324</v>
      </c>
      <c r="J135" t="str">
        <f t="shared" si="12"/>
        <v>ddhub:AngleGradientPerLengthQuantity</v>
      </c>
      <c r="K135">
        <f t="shared" si="13"/>
        <v>0</v>
      </c>
      <c r="L135" t="str">
        <f t="shared" si="17"/>
        <v>.</v>
      </c>
    </row>
    <row r="136" spans="1:12">
      <c r="A136" s="4" t="s">
        <v>280</v>
      </c>
      <c r="B136" s="8" t="s">
        <v>334</v>
      </c>
      <c r="C136" t="str">
        <f t="shared" si="14"/>
        <v>ddhub:AngleGradientPerLengthQuantity</v>
      </c>
      <c r="D136">
        <f t="shared" si="15"/>
        <v>0</v>
      </c>
      <c r="E136" t="str">
        <f t="shared" si="16"/>
        <v>ddhub:DegreePer30ft</v>
      </c>
      <c r="F136" s="12" t="s">
        <v>1326</v>
      </c>
      <c r="G136" t="s">
        <v>19</v>
      </c>
      <c r="H136" t="s">
        <v>1324</v>
      </c>
      <c r="J136" t="str">
        <f t="shared" si="12"/>
        <v>ddhub:AngleGradientPerLengthQuantity</v>
      </c>
      <c r="K136">
        <f t="shared" si="13"/>
        <v>0</v>
      </c>
      <c r="L136" t="str">
        <f t="shared" si="17"/>
        <v>.</v>
      </c>
    </row>
    <row r="137" spans="1:12">
      <c r="A137" s="4" t="s">
        <v>281</v>
      </c>
      <c r="B137" s="8" t="s">
        <v>334</v>
      </c>
      <c r="C137" t="str">
        <f t="shared" si="14"/>
        <v>ddhub:AngleGradientPerLengthQuantity</v>
      </c>
      <c r="D137">
        <f t="shared" si="15"/>
        <v>0</v>
      </c>
      <c r="E137" t="str">
        <f t="shared" si="16"/>
        <v>ddhub:DegreePer30m</v>
      </c>
      <c r="F137" s="11" t="s">
        <v>1327</v>
      </c>
      <c r="G137" t="s">
        <v>19</v>
      </c>
      <c r="H137" t="s">
        <v>1324</v>
      </c>
      <c r="J137" t="str">
        <f t="shared" si="12"/>
        <v>ddhub:AngleGradientPerLengthQuantity</v>
      </c>
      <c r="K137">
        <f t="shared" si="13"/>
        <v>0</v>
      </c>
      <c r="L137" t="str">
        <f t="shared" si="17"/>
        <v>.</v>
      </c>
    </row>
    <row r="138" spans="1:12">
      <c r="A138" s="4" t="s">
        <v>282</v>
      </c>
      <c r="B138" s="8" t="s">
        <v>334</v>
      </c>
      <c r="C138" t="str">
        <f t="shared" si="14"/>
        <v>ddhub:AngleGradientPerLengthQuantity</v>
      </c>
      <c r="D138">
        <f t="shared" si="15"/>
        <v>0</v>
      </c>
      <c r="E138" t="str">
        <f t="shared" si="16"/>
        <v>ddhub:DegreePerCentimeter</v>
      </c>
      <c r="F138" s="12" t="s">
        <v>1328</v>
      </c>
      <c r="G138" t="s">
        <v>19</v>
      </c>
      <c r="H138" t="s">
        <v>1324</v>
      </c>
      <c r="J138" t="str">
        <f t="shared" si="12"/>
        <v>ddhub:AngleGradientPerLengthQuantity</v>
      </c>
      <c r="K138">
        <f t="shared" si="13"/>
        <v>0</v>
      </c>
      <c r="L138" t="str">
        <f t="shared" si="17"/>
        <v>.</v>
      </c>
    </row>
    <row r="139" spans="1:12">
      <c r="A139" s="4" t="s">
        <v>283</v>
      </c>
      <c r="B139" s="8" t="s">
        <v>334</v>
      </c>
      <c r="C139" t="str">
        <f t="shared" si="14"/>
        <v>ddhub:AngleGradientPerLengthQuantity</v>
      </c>
      <c r="D139">
        <f t="shared" si="15"/>
        <v>0</v>
      </c>
      <c r="E139" t="str">
        <f t="shared" si="16"/>
        <v>ddhub:DegreePerCentimetre</v>
      </c>
      <c r="F139" s="12" t="s">
        <v>1329</v>
      </c>
      <c r="G139" t="s">
        <v>19</v>
      </c>
      <c r="H139" t="s">
        <v>1324</v>
      </c>
      <c r="J139" t="str">
        <f t="shared" si="12"/>
        <v>ddhub:AngleGradientPerLengthQuantity</v>
      </c>
      <c r="K139">
        <f t="shared" si="13"/>
        <v>0</v>
      </c>
      <c r="L139" t="str">
        <f t="shared" si="17"/>
        <v>.</v>
      </c>
    </row>
    <row r="140" spans="1:12">
      <c r="A140" s="4" t="s">
        <v>285</v>
      </c>
      <c r="B140" s="8" t="s">
        <v>286</v>
      </c>
      <c r="C140" t="str">
        <f t="shared" si="14"/>
        <v>ddhub:AngularVelocityQuantity</v>
      </c>
      <c r="D140">
        <f t="shared" si="15"/>
        <v>1</v>
      </c>
      <c r="E140" t="str">
        <f t="shared" si="16"/>
        <v>ddhub:DegreePerDay</v>
      </c>
      <c r="F140" s="11" t="s">
        <v>1330</v>
      </c>
      <c r="G140" t="s">
        <v>29</v>
      </c>
      <c r="H140" t="s">
        <v>1331</v>
      </c>
      <c r="J140" t="str">
        <f t="shared" si="12"/>
        <v>ddhub:AngularVelocityQuantity</v>
      </c>
      <c r="K140">
        <f t="shared" si="13"/>
        <v>1</v>
      </c>
      <c r="L140" t="str">
        <f t="shared" si="17"/>
        <v>.</v>
      </c>
    </row>
    <row r="141" spans="1:12">
      <c r="A141" s="4" t="s">
        <v>287</v>
      </c>
      <c r="B141" s="8" t="s">
        <v>288</v>
      </c>
      <c r="C141" t="str">
        <f t="shared" si="14"/>
        <v>ddhub:AngularAccelerationQuantity</v>
      </c>
      <c r="D141">
        <f t="shared" si="15"/>
        <v>1</v>
      </c>
      <c r="E141" t="str">
        <f t="shared" si="16"/>
        <v>ddhub:DegreePerDayPerHour</v>
      </c>
      <c r="F141" s="12" t="s">
        <v>1332</v>
      </c>
      <c r="G141" t="s">
        <v>27</v>
      </c>
      <c r="H141" t="s">
        <v>1333</v>
      </c>
      <c r="J141" t="str">
        <f t="shared" si="12"/>
        <v>ddhub:AngularAccelerationQuantity</v>
      </c>
      <c r="K141">
        <f t="shared" si="13"/>
        <v>1</v>
      </c>
      <c r="L141" t="str">
        <f t="shared" si="17"/>
        <v>.</v>
      </c>
    </row>
    <row r="142" spans="1:12">
      <c r="A142" s="4" t="s">
        <v>289</v>
      </c>
      <c r="B142" s="8" t="s">
        <v>288</v>
      </c>
      <c r="C142" t="str">
        <f t="shared" si="14"/>
        <v>ddhub:AngularAccelerationQuantity</v>
      </c>
      <c r="D142">
        <f t="shared" si="15"/>
        <v>1</v>
      </c>
      <c r="E142" t="str">
        <f t="shared" si="16"/>
        <v>ddhub:DegreePerDayPerMinute</v>
      </c>
      <c r="F142" s="12" t="s">
        <v>1334</v>
      </c>
      <c r="G142" t="s">
        <v>27</v>
      </c>
      <c r="H142" t="s">
        <v>1333</v>
      </c>
      <c r="J142" t="str">
        <f t="shared" si="12"/>
        <v>ddhub:AngularAccelerationQuantity</v>
      </c>
      <c r="K142">
        <f t="shared" si="13"/>
        <v>1</v>
      </c>
      <c r="L142" t="str">
        <f t="shared" si="17"/>
        <v>.</v>
      </c>
    </row>
    <row r="143" spans="1:12">
      <c r="A143" s="4" t="s">
        <v>290</v>
      </c>
      <c r="B143" s="8" t="s">
        <v>288</v>
      </c>
      <c r="C143" t="str">
        <f t="shared" si="14"/>
        <v>ddhub:AngularAccelerationQuantity</v>
      </c>
      <c r="D143">
        <f t="shared" si="15"/>
        <v>1</v>
      </c>
      <c r="E143" t="str">
        <f t="shared" si="16"/>
        <v>ddhub:DegreePerDayPerSecond</v>
      </c>
      <c r="F143" s="11" t="s">
        <v>1335</v>
      </c>
      <c r="G143" t="s">
        <v>27</v>
      </c>
      <c r="H143" t="s">
        <v>1333</v>
      </c>
      <c r="J143" t="str">
        <f t="shared" si="12"/>
        <v>ddhub:AngularAccelerationQuantity</v>
      </c>
      <c r="K143">
        <f t="shared" si="13"/>
        <v>1</v>
      </c>
      <c r="L143" t="str">
        <f t="shared" si="17"/>
        <v>.</v>
      </c>
    </row>
    <row r="144" spans="1:12">
      <c r="A144" s="4" t="s">
        <v>291</v>
      </c>
      <c r="B144" s="8" t="s">
        <v>288</v>
      </c>
      <c r="C144" t="str">
        <f t="shared" si="14"/>
        <v>ddhub:AngularAccelerationQuantity</v>
      </c>
      <c r="D144">
        <f t="shared" si="15"/>
        <v>1</v>
      </c>
      <c r="E144" t="str">
        <f t="shared" si="16"/>
        <v>ddhub:DegreePerDaySquared</v>
      </c>
      <c r="F144" s="12" t="s">
        <v>1336</v>
      </c>
      <c r="G144" t="s">
        <v>27</v>
      </c>
      <c r="H144" t="s">
        <v>1333</v>
      </c>
      <c r="J144" t="str">
        <f t="shared" si="12"/>
        <v>ddhub:AngularAccelerationQuantity</v>
      </c>
      <c r="K144">
        <f t="shared" si="13"/>
        <v>1</v>
      </c>
      <c r="L144" t="str">
        <f t="shared" si="17"/>
        <v>.</v>
      </c>
    </row>
    <row r="145" spans="1:12">
      <c r="A145" s="4" t="s">
        <v>292</v>
      </c>
      <c r="B145" s="8" t="s">
        <v>284</v>
      </c>
      <c r="C145" t="str">
        <f t="shared" si="14"/>
        <v>ddhub:AngleGradientPerLengthQuantity</v>
      </c>
      <c r="D145">
        <f t="shared" si="15"/>
        <v>1</v>
      </c>
      <c r="E145" t="str">
        <f t="shared" si="16"/>
        <v>ddhub:DegreePerDecameter</v>
      </c>
      <c r="F145" s="12" t="s">
        <v>1337</v>
      </c>
      <c r="G145" t="s">
        <v>19</v>
      </c>
      <c r="H145" t="s">
        <v>1324</v>
      </c>
      <c r="J145" t="str">
        <f t="shared" si="12"/>
        <v>ddhub:AngleGradientPerLengthQuantity</v>
      </c>
      <c r="K145">
        <f t="shared" si="13"/>
        <v>1</v>
      </c>
      <c r="L145" t="str">
        <f t="shared" si="17"/>
        <v>.</v>
      </c>
    </row>
    <row r="146" spans="1:12">
      <c r="A146" s="4" t="s">
        <v>293</v>
      </c>
      <c r="B146" s="8" t="s">
        <v>284</v>
      </c>
      <c r="C146" t="str">
        <f t="shared" si="14"/>
        <v>ddhub:AngleGradientPerLengthQuantity</v>
      </c>
      <c r="D146">
        <f t="shared" si="15"/>
        <v>1</v>
      </c>
      <c r="E146" t="str">
        <f t="shared" si="16"/>
        <v>ddhub:DegreePerDecimeter</v>
      </c>
      <c r="F146" s="11" t="s">
        <v>1338</v>
      </c>
      <c r="G146" t="s">
        <v>19</v>
      </c>
      <c r="H146" t="s">
        <v>1324</v>
      </c>
      <c r="J146" t="str">
        <f t="shared" si="12"/>
        <v>ddhub:AngleGradientPerLengthQuantity</v>
      </c>
      <c r="K146">
        <f t="shared" si="13"/>
        <v>1</v>
      </c>
      <c r="L146" t="str">
        <f t="shared" si="17"/>
        <v>.</v>
      </c>
    </row>
    <row r="147" spans="1:12">
      <c r="A147" s="4" t="s">
        <v>294</v>
      </c>
      <c r="B147" s="8" t="s">
        <v>284</v>
      </c>
      <c r="C147" t="str">
        <f t="shared" si="14"/>
        <v>ddhub:AngleGradientPerLengthQuantity</v>
      </c>
      <c r="D147">
        <f t="shared" si="15"/>
        <v>1</v>
      </c>
      <c r="E147" t="str">
        <f t="shared" si="16"/>
        <v>ddhub:DegreePerDecimetre</v>
      </c>
      <c r="F147" s="12" t="s">
        <v>1339</v>
      </c>
      <c r="G147" t="s">
        <v>19</v>
      </c>
      <c r="H147" t="s">
        <v>1324</v>
      </c>
      <c r="J147" t="str">
        <f t="shared" si="12"/>
        <v>ddhub:AngleGradientPerLengthQuantity</v>
      </c>
      <c r="K147">
        <f t="shared" si="13"/>
        <v>1</v>
      </c>
      <c r="L147" t="str">
        <f t="shared" si="17"/>
        <v>.</v>
      </c>
    </row>
    <row r="148" spans="1:12">
      <c r="A148" s="4" t="s">
        <v>295</v>
      </c>
      <c r="B148" s="8" t="s">
        <v>284</v>
      </c>
      <c r="C148" t="str">
        <f t="shared" si="14"/>
        <v>ddhub:AngleGradientPerLengthQuantity</v>
      </c>
      <c r="D148">
        <f t="shared" si="15"/>
        <v>1</v>
      </c>
      <c r="E148" t="str">
        <f t="shared" si="16"/>
        <v>ddhub:DegreePerFoot</v>
      </c>
      <c r="F148" t="s">
        <v>1340</v>
      </c>
      <c r="G148" t="s">
        <v>19</v>
      </c>
      <c r="H148" t="s">
        <v>1324</v>
      </c>
      <c r="J148" t="str">
        <f t="shared" si="12"/>
        <v>ddhub:AngleGradientPerLengthQuantity</v>
      </c>
      <c r="K148">
        <f t="shared" si="13"/>
        <v>1</v>
      </c>
      <c r="L148" t="str">
        <f t="shared" si="17"/>
        <v>.</v>
      </c>
    </row>
    <row r="149" spans="1:12">
      <c r="A149" s="4" t="s">
        <v>297</v>
      </c>
      <c r="B149" s="8" t="s">
        <v>284</v>
      </c>
      <c r="C149" t="str">
        <f t="shared" si="14"/>
        <v>ddhub:AngleGradientPerLengthQuantity</v>
      </c>
      <c r="D149">
        <f t="shared" si="15"/>
        <v>1</v>
      </c>
      <c r="E149" t="str">
        <f t="shared" si="16"/>
        <v>ddhub:DegreePerHectometer</v>
      </c>
      <c r="F149" t="s">
        <v>1341</v>
      </c>
      <c r="G149" t="s">
        <v>19</v>
      </c>
      <c r="H149" t="s">
        <v>1324</v>
      </c>
      <c r="J149" t="str">
        <f t="shared" si="12"/>
        <v>ddhub:AngleGradientPerLengthQuantity</v>
      </c>
      <c r="K149">
        <f t="shared" si="13"/>
        <v>1</v>
      </c>
      <c r="L149" t="str">
        <f t="shared" si="17"/>
        <v>.</v>
      </c>
    </row>
    <row r="150" spans="1:12">
      <c r="A150" s="4" t="s">
        <v>298</v>
      </c>
      <c r="B150" s="8" t="s">
        <v>286</v>
      </c>
      <c r="C150" t="str">
        <f t="shared" si="14"/>
        <v>ddhub:AngularVelocityQuantity</v>
      </c>
      <c r="D150">
        <f t="shared" si="15"/>
        <v>1</v>
      </c>
      <c r="E150" t="str">
        <f t="shared" si="16"/>
        <v>ddhub:DegreePerHour</v>
      </c>
      <c r="F150" t="s">
        <v>1342</v>
      </c>
      <c r="G150" t="s">
        <v>29</v>
      </c>
      <c r="H150" t="s">
        <v>1331</v>
      </c>
      <c r="J150" t="str">
        <f t="shared" si="12"/>
        <v>ddhub:AngularVelocityQuantity</v>
      </c>
      <c r="K150">
        <f t="shared" si="13"/>
        <v>1</v>
      </c>
      <c r="L150" t="str">
        <f t="shared" si="17"/>
        <v>.</v>
      </c>
    </row>
    <row r="151" spans="1:12">
      <c r="A151" s="4" t="s">
        <v>299</v>
      </c>
      <c r="B151" s="8" t="s">
        <v>286</v>
      </c>
      <c r="C151" t="str">
        <f t="shared" si="14"/>
        <v>ddhub:AngularAccelerationQuantity</v>
      </c>
      <c r="D151">
        <f t="shared" si="15"/>
        <v>0</v>
      </c>
      <c r="E151" t="str">
        <f t="shared" si="16"/>
        <v>ddhub:DegreePerHourPerDay</v>
      </c>
      <c r="F151" t="s">
        <v>1343</v>
      </c>
      <c r="G151" t="s">
        <v>27</v>
      </c>
      <c r="H151" t="s">
        <v>1333</v>
      </c>
      <c r="J151" t="str">
        <f t="shared" si="12"/>
        <v>ddhub:AngularAccelerationQuantity</v>
      </c>
      <c r="K151">
        <f t="shared" si="13"/>
        <v>0</v>
      </c>
      <c r="L151" t="str">
        <f t="shared" si="17"/>
        <v>.</v>
      </c>
    </row>
    <row r="152" spans="1:12">
      <c r="A152" s="4" t="s">
        <v>300</v>
      </c>
      <c r="B152" s="8" t="s">
        <v>286</v>
      </c>
      <c r="C152" t="str">
        <f t="shared" si="14"/>
        <v>ddhub:AngularAccelerationQuantity</v>
      </c>
      <c r="D152">
        <f t="shared" si="15"/>
        <v>0</v>
      </c>
      <c r="E152" t="str">
        <f t="shared" si="16"/>
        <v>ddhub:DegreePerHourPerMinute</v>
      </c>
      <c r="F152" t="s">
        <v>1344</v>
      </c>
      <c r="G152" t="s">
        <v>27</v>
      </c>
      <c r="H152" t="s">
        <v>1333</v>
      </c>
      <c r="J152" t="str">
        <f t="shared" si="12"/>
        <v>ddhub:AngularAccelerationQuantity</v>
      </c>
      <c r="K152">
        <f t="shared" si="13"/>
        <v>0</v>
      </c>
      <c r="L152" t="str">
        <f t="shared" si="17"/>
        <v>.</v>
      </c>
    </row>
    <row r="153" spans="1:12">
      <c r="A153" s="4" t="s">
        <v>301</v>
      </c>
      <c r="B153" s="8" t="s">
        <v>286</v>
      </c>
      <c r="C153" t="str">
        <f t="shared" si="14"/>
        <v>ddhub:AngularAccelerationQuantity</v>
      </c>
      <c r="D153">
        <f t="shared" si="15"/>
        <v>0</v>
      </c>
      <c r="E153" t="str">
        <f t="shared" si="16"/>
        <v>ddhub:DegreePerHourPerSecond</v>
      </c>
      <c r="F153" t="s">
        <v>1345</v>
      </c>
      <c r="G153" t="s">
        <v>27</v>
      </c>
      <c r="H153" t="s">
        <v>1333</v>
      </c>
      <c r="J153" t="str">
        <f t="shared" si="12"/>
        <v>ddhub:AngularAccelerationQuantity</v>
      </c>
      <c r="K153">
        <f t="shared" si="13"/>
        <v>0</v>
      </c>
      <c r="L153" t="str">
        <f t="shared" si="17"/>
        <v>.</v>
      </c>
    </row>
    <row r="154" spans="1:12">
      <c r="A154" s="4" t="s">
        <v>302</v>
      </c>
      <c r="B154" s="8" t="s">
        <v>286</v>
      </c>
      <c r="C154" t="str">
        <f t="shared" si="14"/>
        <v>ddhub:AngularAccelerationQuantity</v>
      </c>
      <c r="D154">
        <f t="shared" si="15"/>
        <v>0</v>
      </c>
      <c r="E154" t="str">
        <f t="shared" si="16"/>
        <v>ddhub:DegreePerHourSquared</v>
      </c>
      <c r="F154" t="s">
        <v>1346</v>
      </c>
      <c r="G154" t="s">
        <v>27</v>
      </c>
      <c r="H154" t="s">
        <v>1333</v>
      </c>
      <c r="J154" t="str">
        <f t="shared" si="12"/>
        <v>ddhub:AngularAccelerationQuantity</v>
      </c>
      <c r="K154">
        <f t="shared" si="13"/>
        <v>0</v>
      </c>
      <c r="L154" t="str">
        <f t="shared" si="17"/>
        <v>.</v>
      </c>
    </row>
    <row r="155" spans="1:12">
      <c r="A155" s="4" t="s">
        <v>303</v>
      </c>
      <c r="B155" s="8" t="s">
        <v>284</v>
      </c>
      <c r="C155" t="str">
        <f t="shared" si="14"/>
        <v>ddhub:AngleGradientPerLengthQuantity</v>
      </c>
      <c r="D155">
        <f t="shared" si="15"/>
        <v>1</v>
      </c>
      <c r="E155" t="str">
        <f t="shared" si="16"/>
        <v>ddhub:DegreePerInch</v>
      </c>
      <c r="F155" t="s">
        <v>1347</v>
      </c>
      <c r="G155" t="s">
        <v>19</v>
      </c>
      <c r="H155" t="s">
        <v>1324</v>
      </c>
      <c r="J155" t="str">
        <f t="shared" si="12"/>
        <v>ddhub:AngleGradientPerLengthQuantity</v>
      </c>
      <c r="K155">
        <f t="shared" si="13"/>
        <v>1</v>
      </c>
      <c r="L155" t="str">
        <f t="shared" si="17"/>
        <v>.</v>
      </c>
    </row>
    <row r="156" spans="1:12">
      <c r="A156" s="4" t="s">
        <v>304</v>
      </c>
      <c r="B156" s="8" t="s">
        <v>284</v>
      </c>
      <c r="C156" t="str">
        <f t="shared" si="14"/>
        <v>ddhub:AngleGradientPerLengthQuantity</v>
      </c>
      <c r="D156">
        <f t="shared" si="15"/>
        <v>1</v>
      </c>
      <c r="E156" t="str">
        <f t="shared" si="16"/>
        <v>ddhub:DegreePerKilometer</v>
      </c>
      <c r="F156" t="s">
        <v>1348</v>
      </c>
      <c r="G156" t="s">
        <v>19</v>
      </c>
      <c r="H156" t="s">
        <v>1324</v>
      </c>
      <c r="J156" t="str">
        <f t="shared" si="12"/>
        <v>ddhub:AngleGradientPerLengthQuantity</v>
      </c>
      <c r="K156">
        <f t="shared" si="13"/>
        <v>1</v>
      </c>
      <c r="L156" t="str">
        <f t="shared" si="17"/>
        <v>.</v>
      </c>
    </row>
    <row r="157" spans="1:12">
      <c r="A157" s="4" t="s">
        <v>305</v>
      </c>
      <c r="B157" s="8" t="s">
        <v>284</v>
      </c>
      <c r="C157" t="str">
        <f t="shared" si="14"/>
        <v>ddhub:AngleGradientPerLengthQuantity</v>
      </c>
      <c r="D157">
        <f t="shared" si="15"/>
        <v>1</v>
      </c>
      <c r="E157" t="str">
        <f t="shared" si="16"/>
        <v>ddhub:DegreePerMetre</v>
      </c>
      <c r="F157" t="s">
        <v>1349</v>
      </c>
      <c r="G157" t="s">
        <v>19</v>
      </c>
      <c r="H157" t="s">
        <v>1324</v>
      </c>
      <c r="J157" t="str">
        <f t="shared" si="12"/>
        <v>ddhub:AngleGradientPerLengthQuantity</v>
      </c>
      <c r="K157">
        <f t="shared" si="13"/>
        <v>1</v>
      </c>
      <c r="L157" t="str">
        <f t="shared" si="17"/>
        <v>.</v>
      </c>
    </row>
    <row r="158" spans="1:12">
      <c r="A158" s="4" t="s">
        <v>306</v>
      </c>
      <c r="B158" s="8" t="s">
        <v>284</v>
      </c>
      <c r="C158" t="str">
        <f t="shared" si="14"/>
        <v>ddhub:AngleGradientPerLengthQuantity</v>
      </c>
      <c r="D158">
        <f t="shared" si="15"/>
        <v>1</v>
      </c>
      <c r="E158" t="str">
        <f t="shared" si="16"/>
        <v>ddhub:DegreePerMicrometer</v>
      </c>
      <c r="F158" t="s">
        <v>1350</v>
      </c>
      <c r="G158" t="s">
        <v>19</v>
      </c>
      <c r="H158" t="s">
        <v>1324</v>
      </c>
      <c r="J158" t="str">
        <f t="shared" si="12"/>
        <v>ddhub:AngleGradientPerLengthQuantity</v>
      </c>
      <c r="K158">
        <f t="shared" si="13"/>
        <v>1</v>
      </c>
      <c r="L158" t="str">
        <f t="shared" si="17"/>
        <v>.</v>
      </c>
    </row>
    <row r="159" spans="1:12">
      <c r="A159" s="4" t="s">
        <v>307</v>
      </c>
      <c r="B159" s="8" t="s">
        <v>284</v>
      </c>
      <c r="C159" t="str">
        <f t="shared" si="14"/>
        <v>ddhub:AngleGradientPerLengthQuantity</v>
      </c>
      <c r="D159">
        <f t="shared" si="15"/>
        <v>1</v>
      </c>
      <c r="E159" t="str">
        <f t="shared" si="16"/>
        <v>ddhub:DegreePerMile</v>
      </c>
      <c r="F159" t="s">
        <v>1351</v>
      </c>
      <c r="G159" t="s">
        <v>19</v>
      </c>
      <c r="H159" t="s">
        <v>1324</v>
      </c>
      <c r="J159" t="str">
        <f t="shared" si="12"/>
        <v>ddhub:AngleGradientPerLengthQuantity</v>
      </c>
      <c r="K159">
        <f t="shared" si="13"/>
        <v>1</v>
      </c>
      <c r="L159" t="str">
        <f t="shared" si="17"/>
        <v>.</v>
      </c>
    </row>
    <row r="160" spans="1:12">
      <c r="A160" s="4" t="s">
        <v>308</v>
      </c>
      <c r="B160" s="8" t="s">
        <v>284</v>
      </c>
      <c r="C160" t="str">
        <f t="shared" si="14"/>
        <v>ddhub:AngleGradientPerLengthQuantity</v>
      </c>
      <c r="D160">
        <f t="shared" si="15"/>
        <v>1</v>
      </c>
      <c r="E160" t="str">
        <f t="shared" si="16"/>
        <v>ddhub:DegreePerMillimeter</v>
      </c>
      <c r="F160" t="s">
        <v>1352</v>
      </c>
      <c r="G160" t="s">
        <v>19</v>
      </c>
      <c r="H160" t="s">
        <v>1324</v>
      </c>
      <c r="J160" t="str">
        <f t="shared" si="12"/>
        <v>ddhub:AngleGradientPerLengthQuantity</v>
      </c>
      <c r="K160">
        <f t="shared" si="13"/>
        <v>1</v>
      </c>
      <c r="L160" t="str">
        <f t="shared" si="17"/>
        <v>.</v>
      </c>
    </row>
    <row r="161" spans="1:12">
      <c r="A161" s="4" t="s">
        <v>309</v>
      </c>
      <c r="B161" s="8" t="s">
        <v>284</v>
      </c>
      <c r="C161" t="str">
        <f t="shared" si="14"/>
        <v>ddhub:AngleGradientPerLengthQuantity</v>
      </c>
      <c r="D161">
        <f t="shared" si="15"/>
        <v>1</v>
      </c>
      <c r="E161" t="str">
        <f t="shared" si="16"/>
        <v>ddhub:DegreePerMillimetre</v>
      </c>
      <c r="F161" t="s">
        <v>1353</v>
      </c>
      <c r="G161" t="s">
        <v>19</v>
      </c>
      <c r="H161" t="s">
        <v>1324</v>
      </c>
      <c r="J161" t="str">
        <f t="shared" si="12"/>
        <v>ddhub:AngleGradientPerLengthQuantity</v>
      </c>
      <c r="K161">
        <f t="shared" si="13"/>
        <v>1</v>
      </c>
      <c r="L161" t="str">
        <f t="shared" si="17"/>
        <v>.</v>
      </c>
    </row>
    <row r="162" spans="1:12">
      <c r="A162" s="4" t="s">
        <v>310</v>
      </c>
      <c r="B162" s="8" t="s">
        <v>286</v>
      </c>
      <c r="C162" t="str">
        <f t="shared" si="14"/>
        <v>ddhub:AngularVelocityQuantity</v>
      </c>
      <c r="D162">
        <f t="shared" si="15"/>
        <v>1</v>
      </c>
      <c r="E162" t="str">
        <f t="shared" si="16"/>
        <v>ddhub:DegreePerMinute</v>
      </c>
      <c r="F162" t="s">
        <v>1354</v>
      </c>
      <c r="G162" t="s">
        <v>29</v>
      </c>
      <c r="H162" t="s">
        <v>1331</v>
      </c>
      <c r="J162" t="str">
        <f t="shared" si="12"/>
        <v>ddhub:AngularVelocityQuantity</v>
      </c>
      <c r="K162">
        <f t="shared" si="13"/>
        <v>1</v>
      </c>
      <c r="L162" t="str">
        <f t="shared" si="17"/>
        <v>.</v>
      </c>
    </row>
    <row r="163" spans="1:12">
      <c r="A163" s="4" t="s">
        <v>311</v>
      </c>
      <c r="B163" s="8" t="s">
        <v>288</v>
      </c>
      <c r="C163" t="str">
        <f t="shared" si="14"/>
        <v>ddhub:AngularAccelerationQuantity</v>
      </c>
      <c r="D163">
        <f t="shared" si="15"/>
        <v>1</v>
      </c>
      <c r="E163" t="str">
        <f t="shared" si="16"/>
        <v>ddhub:DegreePerMinutePerDay</v>
      </c>
      <c r="F163" t="s">
        <v>1355</v>
      </c>
      <c r="G163" t="s">
        <v>27</v>
      </c>
      <c r="H163" t="s">
        <v>1333</v>
      </c>
      <c r="J163" t="str">
        <f t="shared" si="12"/>
        <v>ddhub:AngularAccelerationQuantity</v>
      </c>
      <c r="K163">
        <f t="shared" si="13"/>
        <v>1</v>
      </c>
      <c r="L163" t="str">
        <f t="shared" si="17"/>
        <v>.</v>
      </c>
    </row>
    <row r="164" spans="1:12">
      <c r="A164" s="4" t="s">
        <v>312</v>
      </c>
      <c r="B164" s="8" t="s">
        <v>288</v>
      </c>
      <c r="C164" t="str">
        <f t="shared" si="14"/>
        <v>ddhub:AngularAccelerationQuantity</v>
      </c>
      <c r="D164">
        <f t="shared" si="15"/>
        <v>1</v>
      </c>
      <c r="E164" t="str">
        <f t="shared" si="16"/>
        <v>ddhub:DegreePerMinutePerHour</v>
      </c>
      <c r="F164" t="s">
        <v>1356</v>
      </c>
      <c r="G164" t="s">
        <v>27</v>
      </c>
      <c r="H164" t="s">
        <v>1333</v>
      </c>
      <c r="J164" t="str">
        <f t="shared" si="12"/>
        <v>ddhub:AngularAccelerationQuantity</v>
      </c>
      <c r="K164">
        <f t="shared" si="13"/>
        <v>1</v>
      </c>
      <c r="L164" t="str">
        <f t="shared" si="17"/>
        <v>.</v>
      </c>
    </row>
    <row r="165" spans="1:12">
      <c r="A165" s="4" t="s">
        <v>313</v>
      </c>
      <c r="B165" s="8" t="s">
        <v>288</v>
      </c>
      <c r="C165" t="str">
        <f t="shared" si="14"/>
        <v>ddhub:AngularAccelerationQuantity</v>
      </c>
      <c r="D165">
        <f t="shared" si="15"/>
        <v>1</v>
      </c>
      <c r="E165" t="str">
        <f t="shared" si="16"/>
        <v>ddhub:DegreePerMinutePerSecond</v>
      </c>
      <c r="F165" t="s">
        <v>1357</v>
      </c>
      <c r="G165" t="s">
        <v>27</v>
      </c>
      <c r="H165" t="s">
        <v>1333</v>
      </c>
      <c r="J165" t="str">
        <f t="shared" ref="J165:J180" si="18">"ddhub:"&amp;G165</f>
        <v>ddhub:AngularAccelerationQuantity</v>
      </c>
      <c r="K165">
        <f t="shared" ref="K165:K180" si="19">IF(B165=J165,1,0)</f>
        <v>1</v>
      </c>
      <c r="L165" t="str">
        <f t="shared" si="17"/>
        <v>.</v>
      </c>
    </row>
    <row r="166" spans="1:12">
      <c r="A166" s="4" t="s">
        <v>314</v>
      </c>
      <c r="B166" s="8" t="s">
        <v>288</v>
      </c>
      <c r="C166" t="str">
        <f t="shared" si="14"/>
        <v>ddhub:AngularAccelerationQuantity</v>
      </c>
      <c r="D166">
        <f t="shared" si="15"/>
        <v>1</v>
      </c>
      <c r="E166" t="str">
        <f t="shared" si="16"/>
        <v>ddhub:DegreePerMinuteSquared</v>
      </c>
      <c r="F166" t="s">
        <v>1358</v>
      </c>
      <c r="G166" t="s">
        <v>27</v>
      </c>
      <c r="H166" t="s">
        <v>1333</v>
      </c>
      <c r="J166" t="str">
        <f t="shared" si="18"/>
        <v>ddhub:AngularAccelerationQuantity</v>
      </c>
      <c r="K166">
        <f t="shared" si="19"/>
        <v>1</v>
      </c>
      <c r="L166" t="str">
        <f t="shared" si="17"/>
        <v>.</v>
      </c>
    </row>
    <row r="167" spans="1:12">
      <c r="A167" s="4" t="s">
        <v>315</v>
      </c>
      <c r="B167" s="8" t="s">
        <v>284</v>
      </c>
      <c r="C167" t="str">
        <f t="shared" si="14"/>
        <v>ddhub:AngleGradientPerLengthQuantity</v>
      </c>
      <c r="D167">
        <f t="shared" si="15"/>
        <v>1</v>
      </c>
      <c r="E167" t="str">
        <f t="shared" si="16"/>
        <v>ddhub:DegreePerNanometer</v>
      </c>
      <c r="F167" t="s">
        <v>1359</v>
      </c>
      <c r="G167" t="s">
        <v>19</v>
      </c>
      <c r="H167" t="s">
        <v>1324</v>
      </c>
      <c r="J167" t="str">
        <f t="shared" si="18"/>
        <v>ddhub:AngleGradientPerLengthQuantity</v>
      </c>
      <c r="K167">
        <f t="shared" si="19"/>
        <v>1</v>
      </c>
      <c r="L167" t="str">
        <f t="shared" si="17"/>
        <v>.</v>
      </c>
    </row>
    <row r="168" spans="1:12">
      <c r="A168" s="4" t="s">
        <v>316</v>
      </c>
      <c r="B168" s="8" t="s">
        <v>286</v>
      </c>
      <c r="C168" t="str">
        <f t="shared" si="14"/>
        <v>ddhub:AngularVelocityQuantity</v>
      </c>
      <c r="D168">
        <f t="shared" si="15"/>
        <v>1</v>
      </c>
      <c r="E168" t="str">
        <f t="shared" si="16"/>
        <v>ddhub:DegreePerSecond</v>
      </c>
      <c r="F168" t="s">
        <v>1360</v>
      </c>
      <c r="G168" t="s">
        <v>29</v>
      </c>
      <c r="H168" t="s">
        <v>1331</v>
      </c>
      <c r="J168" t="str">
        <f t="shared" si="18"/>
        <v>ddhub:AngularVelocityQuantity</v>
      </c>
      <c r="K168">
        <f t="shared" si="19"/>
        <v>1</v>
      </c>
      <c r="L168" t="str">
        <f t="shared" si="17"/>
        <v>.</v>
      </c>
    </row>
    <row r="169" spans="1:12">
      <c r="A169" s="4" t="s">
        <v>317</v>
      </c>
      <c r="B169" s="8" t="s">
        <v>288</v>
      </c>
      <c r="C169" t="str">
        <f t="shared" si="14"/>
        <v>ddhub:AngularAccelerationQuantity</v>
      </c>
      <c r="D169">
        <f t="shared" si="15"/>
        <v>1</v>
      </c>
      <c r="E169" t="str">
        <f t="shared" si="16"/>
        <v>ddhub:DegreePerSecondPerDay</v>
      </c>
      <c r="F169" t="s">
        <v>1361</v>
      </c>
      <c r="G169" t="s">
        <v>27</v>
      </c>
      <c r="H169" t="s">
        <v>1333</v>
      </c>
      <c r="J169" t="str">
        <f t="shared" si="18"/>
        <v>ddhub:AngularAccelerationQuantity</v>
      </c>
      <c r="K169">
        <f t="shared" si="19"/>
        <v>1</v>
      </c>
      <c r="L169" t="str">
        <f t="shared" si="17"/>
        <v>.</v>
      </c>
    </row>
    <row r="170" spans="1:12">
      <c r="A170" s="4" t="s">
        <v>318</v>
      </c>
      <c r="B170" s="8" t="s">
        <v>288</v>
      </c>
      <c r="C170" t="str">
        <f t="shared" si="14"/>
        <v>ddhub:AngularAccelerationQuantity</v>
      </c>
      <c r="D170">
        <f t="shared" si="15"/>
        <v>1</v>
      </c>
      <c r="E170" t="str">
        <f t="shared" si="16"/>
        <v>ddhub:DegreePerSecondPerHour</v>
      </c>
      <c r="F170" t="s">
        <v>1362</v>
      </c>
      <c r="G170" t="s">
        <v>27</v>
      </c>
      <c r="H170" t="s">
        <v>1333</v>
      </c>
      <c r="J170" t="str">
        <f t="shared" si="18"/>
        <v>ddhub:AngularAccelerationQuantity</v>
      </c>
      <c r="K170">
        <f t="shared" si="19"/>
        <v>1</v>
      </c>
      <c r="L170" t="str">
        <f t="shared" si="17"/>
        <v>.</v>
      </c>
    </row>
    <row r="171" spans="1:12">
      <c r="A171" s="4" t="s">
        <v>319</v>
      </c>
      <c r="B171" s="8" t="s">
        <v>288</v>
      </c>
      <c r="C171" t="str">
        <f t="shared" si="14"/>
        <v>ddhub:AngularAccelerationQuantity</v>
      </c>
      <c r="D171">
        <f t="shared" si="15"/>
        <v>1</v>
      </c>
      <c r="E171" t="str">
        <f t="shared" si="16"/>
        <v>ddhub:DegreePerSecondPerMinute</v>
      </c>
      <c r="F171" t="s">
        <v>1363</v>
      </c>
      <c r="G171" t="s">
        <v>27</v>
      </c>
      <c r="H171" t="s">
        <v>1333</v>
      </c>
      <c r="J171" t="str">
        <f t="shared" si="18"/>
        <v>ddhub:AngularAccelerationQuantity</v>
      </c>
      <c r="K171">
        <f t="shared" si="19"/>
        <v>1</v>
      </c>
      <c r="L171" t="str">
        <f t="shared" si="17"/>
        <v>.</v>
      </c>
    </row>
    <row r="172" spans="1:12">
      <c r="A172" s="4" t="s">
        <v>320</v>
      </c>
      <c r="B172" s="8" t="s">
        <v>288</v>
      </c>
      <c r="C172" t="str">
        <f t="shared" si="14"/>
        <v>ddhub:AngularAccelerationQuantity</v>
      </c>
      <c r="D172">
        <f t="shared" si="15"/>
        <v>1</v>
      </c>
      <c r="E172" t="str">
        <f t="shared" si="16"/>
        <v>ddhub:DegreePerSecondSquared</v>
      </c>
      <c r="F172" t="s">
        <v>1364</v>
      </c>
      <c r="G172" t="s">
        <v>27</v>
      </c>
      <c r="H172" t="s">
        <v>1333</v>
      </c>
      <c r="J172" t="str">
        <f t="shared" si="18"/>
        <v>ddhub:AngularAccelerationQuantity</v>
      </c>
      <c r="K172">
        <f t="shared" si="19"/>
        <v>1</v>
      </c>
      <c r="L172" t="str">
        <f t="shared" si="17"/>
        <v>.</v>
      </c>
    </row>
    <row r="173" spans="1:12">
      <c r="A173" s="4" t="s">
        <v>321</v>
      </c>
      <c r="B173" s="8" t="s">
        <v>334</v>
      </c>
      <c r="C173" t="str">
        <f t="shared" si="14"/>
        <v>zzz:TBD</v>
      </c>
      <c r="D173">
        <f t="shared" si="15"/>
        <v>1</v>
      </c>
      <c r="E173" t="str">
        <f t="shared" si="16"/>
        <v>ddhub:DegreePerSquareRootDay</v>
      </c>
      <c r="F173" t="s">
        <v>1365</v>
      </c>
      <c r="G173" t="s">
        <v>1153</v>
      </c>
      <c r="H173" t="s">
        <v>1366</v>
      </c>
      <c r="J173" s="8" t="s">
        <v>334</v>
      </c>
      <c r="K173">
        <f t="shared" si="19"/>
        <v>1</v>
      </c>
      <c r="L173" t="str">
        <f t="shared" si="17"/>
        <v>.</v>
      </c>
    </row>
    <row r="174" spans="1:12">
      <c r="A174" s="4" t="s">
        <v>323</v>
      </c>
      <c r="B174" s="8" t="s">
        <v>334</v>
      </c>
      <c r="C174" t="str">
        <f t="shared" si="14"/>
        <v>zzz:TBD</v>
      </c>
      <c r="D174">
        <f t="shared" si="15"/>
        <v>1</v>
      </c>
      <c r="E174" t="str">
        <f t="shared" si="16"/>
        <v>ddhub:DegreePerSquareRootHour</v>
      </c>
      <c r="F174" t="s">
        <v>1367</v>
      </c>
      <c r="G174" t="s">
        <v>1153</v>
      </c>
      <c r="H174" t="s">
        <v>1366</v>
      </c>
      <c r="J174" s="8" t="s">
        <v>334</v>
      </c>
      <c r="K174">
        <f t="shared" si="19"/>
        <v>1</v>
      </c>
      <c r="L174" t="str">
        <f t="shared" si="17"/>
        <v>.</v>
      </c>
    </row>
    <row r="175" spans="1:12">
      <c r="A175" s="4" t="s">
        <v>324</v>
      </c>
      <c r="B175" s="8" t="s">
        <v>334</v>
      </c>
      <c r="C175" t="str">
        <f t="shared" si="14"/>
        <v>zzz:TBD</v>
      </c>
      <c r="D175">
        <f t="shared" si="15"/>
        <v>1</v>
      </c>
      <c r="E175" t="str">
        <f t="shared" si="16"/>
        <v>ddhub:DegreePerSquareRootMinute</v>
      </c>
      <c r="F175" t="s">
        <v>1368</v>
      </c>
      <c r="G175" t="s">
        <v>1153</v>
      </c>
      <c r="H175" t="s">
        <v>1366</v>
      </c>
      <c r="J175" s="8" t="s">
        <v>334</v>
      </c>
      <c r="K175">
        <f t="shared" si="19"/>
        <v>1</v>
      </c>
      <c r="L175" t="str">
        <f t="shared" si="17"/>
        <v>.</v>
      </c>
    </row>
    <row r="176" spans="1:12">
      <c r="A176" s="4" t="s">
        <v>325</v>
      </c>
      <c r="B176" s="8" t="s">
        <v>288</v>
      </c>
      <c r="C176" t="str">
        <f t="shared" si="14"/>
        <v>zzz:TBD</v>
      </c>
      <c r="D176">
        <f t="shared" si="15"/>
        <v>0</v>
      </c>
      <c r="E176" t="str">
        <f t="shared" si="16"/>
        <v>ddhub:DegreePerSquareRootSecond</v>
      </c>
      <c r="F176" t="s">
        <v>1369</v>
      </c>
      <c r="G176" t="s">
        <v>1153</v>
      </c>
      <c r="H176" t="s">
        <v>1366</v>
      </c>
      <c r="J176" s="8" t="s">
        <v>334</v>
      </c>
      <c r="K176">
        <f t="shared" si="19"/>
        <v>0</v>
      </c>
      <c r="L176" t="str">
        <f t="shared" si="17"/>
        <v>.</v>
      </c>
    </row>
    <row r="177" spans="1:12">
      <c r="A177" s="4" t="s">
        <v>326</v>
      </c>
      <c r="B177" s="8" t="s">
        <v>334</v>
      </c>
      <c r="C177" t="str">
        <f t="shared" si="14"/>
        <v>ddhub:AngleGradientPerLengthQuantity</v>
      </c>
      <c r="D177">
        <f t="shared" si="15"/>
        <v>0</v>
      </c>
      <c r="E177" t="str">
        <f t="shared" si="16"/>
        <v>ddhub:DegreePerYard</v>
      </c>
      <c r="F177" t="s">
        <v>1370</v>
      </c>
      <c r="G177" t="s">
        <v>19</v>
      </c>
      <c r="H177" t="s">
        <v>1324</v>
      </c>
      <c r="J177" t="str">
        <f t="shared" si="18"/>
        <v>ddhub:AngleGradientPerLengthQuantity</v>
      </c>
      <c r="K177">
        <f t="shared" si="19"/>
        <v>0</v>
      </c>
      <c r="L177" t="str">
        <f t="shared" si="17"/>
        <v>.</v>
      </c>
    </row>
    <row r="178" spans="1:12">
      <c r="A178" s="4" t="s">
        <v>327</v>
      </c>
      <c r="B178" s="8" t="s">
        <v>334</v>
      </c>
      <c r="C178" t="str">
        <f t="shared" si="14"/>
        <v>ddhub:DimensionlessQuantity</v>
      </c>
      <c r="D178">
        <f t="shared" si="15"/>
        <v>0</v>
      </c>
      <c r="E178" t="str">
        <f t="shared" si="16"/>
        <v>ddhub:DegreeSquared</v>
      </c>
      <c r="F178" t="s">
        <v>1371</v>
      </c>
      <c r="G178" t="s">
        <v>44</v>
      </c>
      <c r="H178" t="s">
        <v>1372</v>
      </c>
      <c r="J178" t="str">
        <f t="shared" si="18"/>
        <v>ddhub:DimensionlessQuantity</v>
      </c>
      <c r="K178">
        <f t="shared" si="19"/>
        <v>0</v>
      </c>
      <c r="L178" t="str">
        <f t="shared" si="17"/>
        <v>.</v>
      </c>
    </row>
    <row r="179" spans="1:12">
      <c r="A179" s="4" t="s">
        <v>329</v>
      </c>
      <c r="B179" s="8" t="s">
        <v>334</v>
      </c>
      <c r="C179" t="str">
        <f t="shared" si="14"/>
        <v>ddhub:MagneticFluxDensityQuantity</v>
      </c>
      <c r="D179">
        <f t="shared" si="15"/>
        <v>0</v>
      </c>
      <c r="E179" t="str">
        <f t="shared" si="16"/>
        <v>ddhub:DegreeTesla</v>
      </c>
      <c r="F179" t="s">
        <v>1373</v>
      </c>
      <c r="G179" t="s">
        <v>107</v>
      </c>
      <c r="H179" t="s">
        <v>1317</v>
      </c>
      <c r="J179" t="str">
        <f t="shared" si="18"/>
        <v>ddhub:MagneticFluxDensityQuantity</v>
      </c>
      <c r="K179">
        <f t="shared" si="19"/>
        <v>0</v>
      </c>
      <c r="L179" t="str">
        <f t="shared" si="17"/>
        <v>.</v>
      </c>
    </row>
    <row r="180" spans="1:12">
      <c r="A180" s="4" t="s">
        <v>330</v>
      </c>
      <c r="B180" s="8" t="s">
        <v>379</v>
      </c>
      <c r="C180" t="str">
        <f t="shared" si="14"/>
        <v>ddhub:MagneticFluxDensityQuantity</v>
      </c>
      <c r="D180">
        <f t="shared" si="15"/>
        <v>1</v>
      </c>
      <c r="E180" t="str">
        <f t="shared" si="16"/>
        <v>ddhub:DegreeWeberPerSquareMetre</v>
      </c>
      <c r="F180" t="s">
        <v>1374</v>
      </c>
      <c r="G180" t="s">
        <v>107</v>
      </c>
      <c r="H180" t="s">
        <v>1317</v>
      </c>
      <c r="J180" t="str">
        <f t="shared" si="18"/>
        <v>ddhub:MagneticFluxDensityQuantity</v>
      </c>
      <c r="K180">
        <f t="shared" si="19"/>
        <v>1</v>
      </c>
      <c r="L180" t="str">
        <f t="shared" si="17"/>
        <v>.</v>
      </c>
    </row>
    <row r="181" spans="1:12">
      <c r="A181" s="4" t="s">
        <v>331</v>
      </c>
      <c r="B181" s="8" t="s">
        <v>332</v>
      </c>
      <c r="C181" t="str">
        <f t="shared" si="14"/>
        <v>ddhub:DimensionlessQuantity</v>
      </c>
      <c r="D181">
        <f t="shared" si="15"/>
        <v>1</v>
      </c>
      <c r="E181" t="str">
        <f t="shared" si="16"/>
        <v>ddhub:Dimensionless</v>
      </c>
      <c r="F181" t="s">
        <v>1375</v>
      </c>
      <c r="G181" t="s">
        <v>44</v>
      </c>
      <c r="H181" t="s">
        <v>1376</v>
      </c>
      <c r="J181" t="str">
        <f t="shared" ref="J181:J244" si="20">"ddhub:"&amp;G181</f>
        <v>ddhub:DimensionlessQuantity</v>
      </c>
      <c r="K181">
        <f t="shared" ref="K181:K244" si="21">IF(B181=J181,1,0)</f>
        <v>1</v>
      </c>
      <c r="L181" t="str">
        <f t="shared" si="17"/>
        <v>.</v>
      </c>
    </row>
    <row r="182" spans="1:12">
      <c r="A182" s="4" t="s">
        <v>333</v>
      </c>
      <c r="B182" s="8" t="s">
        <v>334</v>
      </c>
      <c r="C182" t="str">
        <f t="shared" si="14"/>
        <v>ddhub:DimensionlessQuantity</v>
      </c>
      <c r="D182">
        <f t="shared" si="15"/>
        <v>0</v>
      </c>
      <c r="E182" t="str">
        <f t="shared" si="16"/>
        <v>ddhub:DotPerInch</v>
      </c>
      <c r="F182" t="s">
        <v>1377</v>
      </c>
      <c r="G182" t="s">
        <v>44</v>
      </c>
      <c r="H182" t="s">
        <v>1378</v>
      </c>
      <c r="J182" t="str">
        <f t="shared" si="20"/>
        <v>ddhub:DimensionlessQuantity</v>
      </c>
      <c r="K182">
        <f t="shared" si="21"/>
        <v>0</v>
      </c>
      <c r="L182" t="str">
        <f t="shared" si="17"/>
        <v>.</v>
      </c>
    </row>
    <row r="183" spans="1:12">
      <c r="A183" s="4" t="s">
        <v>336</v>
      </c>
      <c r="B183" s="8" t="s">
        <v>332</v>
      </c>
      <c r="C183" t="str">
        <f t="shared" si="14"/>
        <v>ddhub:DimensionlessQuantity</v>
      </c>
      <c r="D183">
        <f t="shared" si="15"/>
        <v>1</v>
      </c>
      <c r="E183" t="str">
        <f t="shared" si="16"/>
        <v>ddhub:DotPerMetre</v>
      </c>
      <c r="F183" t="s">
        <v>1379</v>
      </c>
      <c r="G183" t="s">
        <v>44</v>
      </c>
      <c r="H183" t="s">
        <v>1378</v>
      </c>
      <c r="J183" t="str">
        <f t="shared" si="20"/>
        <v>ddhub:DimensionlessQuantity</v>
      </c>
      <c r="K183">
        <f t="shared" si="21"/>
        <v>1</v>
      </c>
      <c r="L183" t="str">
        <f t="shared" si="17"/>
        <v>.</v>
      </c>
    </row>
    <row r="184" spans="1:12">
      <c r="A184" s="4" t="s">
        <v>337</v>
      </c>
      <c r="B184" s="8" t="s">
        <v>334</v>
      </c>
      <c r="C184" t="str">
        <f t="shared" si="14"/>
        <v>ddhub:DimensionlessQuantity</v>
      </c>
      <c r="D184">
        <f t="shared" si="15"/>
        <v>0</v>
      </c>
      <c r="E184" t="str">
        <f t="shared" si="16"/>
        <v>ddhub:DotPerMicrometre</v>
      </c>
      <c r="F184" t="s">
        <v>1380</v>
      </c>
      <c r="G184" t="s">
        <v>44</v>
      </c>
      <c r="H184" t="s">
        <v>1378</v>
      </c>
      <c r="J184" t="str">
        <f t="shared" si="20"/>
        <v>ddhub:DimensionlessQuantity</v>
      </c>
      <c r="K184">
        <f t="shared" si="21"/>
        <v>0</v>
      </c>
      <c r="L184" t="str">
        <f t="shared" si="17"/>
        <v>.</v>
      </c>
    </row>
    <row r="185" spans="1:12">
      <c r="A185" s="4" t="s">
        <v>339</v>
      </c>
      <c r="B185" s="8" t="s">
        <v>334</v>
      </c>
      <c r="C185" t="str">
        <f t="shared" si="14"/>
        <v>ddhub:DimensionlessQuantity</v>
      </c>
      <c r="D185">
        <f t="shared" si="15"/>
        <v>0</v>
      </c>
      <c r="E185" t="str">
        <f t="shared" si="16"/>
        <v>ddhub:DotPerMillimetre</v>
      </c>
      <c r="F185" t="s">
        <v>1381</v>
      </c>
      <c r="G185" t="s">
        <v>44</v>
      </c>
      <c r="H185" t="s">
        <v>1378</v>
      </c>
      <c r="J185" t="str">
        <f t="shared" si="20"/>
        <v>ddhub:DimensionlessQuantity</v>
      </c>
      <c r="K185">
        <f t="shared" si="21"/>
        <v>0</v>
      </c>
      <c r="L185" t="str">
        <f t="shared" si="17"/>
        <v>.</v>
      </c>
    </row>
    <row r="186" spans="1:12">
      <c r="A186" s="4" t="s">
        <v>340</v>
      </c>
      <c r="B186" s="8" t="s">
        <v>71</v>
      </c>
      <c r="C186" t="str">
        <f t="shared" si="14"/>
        <v>ddhub:LuminousIntensityQuantity</v>
      </c>
      <c r="D186">
        <f t="shared" si="15"/>
        <v>1</v>
      </c>
      <c r="E186" t="str">
        <f t="shared" si="16"/>
        <v>ddhub:DvwgCandle</v>
      </c>
      <c r="F186" t="s">
        <v>1382</v>
      </c>
      <c r="G186" t="s">
        <v>72</v>
      </c>
      <c r="H186" t="s">
        <v>1301</v>
      </c>
      <c r="J186" t="str">
        <f t="shared" si="20"/>
        <v>ddhub:LuminousIntensityQuantity</v>
      </c>
      <c r="K186">
        <f t="shared" si="21"/>
        <v>1</v>
      </c>
      <c r="L186" t="str">
        <f t="shared" si="17"/>
        <v>.</v>
      </c>
    </row>
    <row r="187" spans="1:12">
      <c r="A187" s="4" t="s">
        <v>341</v>
      </c>
      <c r="B187" s="5" t="s">
        <v>236</v>
      </c>
      <c r="C187" t="str">
        <f t="shared" si="14"/>
        <v>ddhub:ForceGradientPerLengthQuantity</v>
      </c>
      <c r="D187">
        <f t="shared" si="15"/>
        <v>0</v>
      </c>
      <c r="E187" t="str">
        <f t="shared" si="16"/>
        <v>ddhub:DynePerCentimetre</v>
      </c>
      <c r="F187" t="s">
        <v>1383</v>
      </c>
      <c r="G187" t="s">
        <v>73</v>
      </c>
      <c r="H187" t="s">
        <v>1384</v>
      </c>
      <c r="J187" t="str">
        <f t="shared" si="20"/>
        <v>ddhub:ForceGradientPerLengthQuantity</v>
      </c>
      <c r="K187">
        <f t="shared" si="21"/>
        <v>0</v>
      </c>
      <c r="L187" t="str">
        <f t="shared" si="17"/>
        <v>.</v>
      </c>
    </row>
    <row r="188" spans="1:12">
      <c r="A188" s="4" t="s">
        <v>343</v>
      </c>
      <c r="B188" s="5" t="s">
        <v>170</v>
      </c>
      <c r="C188" t="str">
        <f t="shared" si="14"/>
        <v>ddhub:PressureQuantity</v>
      </c>
      <c r="D188">
        <f t="shared" si="15"/>
        <v>1</v>
      </c>
      <c r="E188" t="str">
        <f t="shared" si="16"/>
        <v>ddhub:DynePerSquareCentimetre</v>
      </c>
      <c r="F188" t="s">
        <v>1385</v>
      </c>
      <c r="G188" t="s">
        <v>43</v>
      </c>
      <c r="H188" t="s">
        <v>1386</v>
      </c>
      <c r="J188" t="str">
        <f t="shared" si="20"/>
        <v>ddhub:PressureQuantity</v>
      </c>
      <c r="K188">
        <f t="shared" si="21"/>
        <v>1</v>
      </c>
      <c r="L188" t="str">
        <f t="shared" si="17"/>
        <v>.</v>
      </c>
    </row>
    <row r="189" spans="1:12">
      <c r="A189" s="4" t="s">
        <v>344</v>
      </c>
      <c r="B189" s="8" t="s">
        <v>195</v>
      </c>
      <c r="C189" t="str">
        <f t="shared" si="14"/>
        <v>ddhub:DynamicViscosityQuantity</v>
      </c>
      <c r="D189">
        <f t="shared" si="15"/>
        <v>1</v>
      </c>
      <c r="E189" t="str">
        <f t="shared" si="16"/>
        <v>ddhub:DyneSecondPerSquareCentimetre</v>
      </c>
      <c r="F189" t="s">
        <v>1387</v>
      </c>
      <c r="G189" t="s">
        <v>48</v>
      </c>
      <c r="H189" t="s">
        <v>1388</v>
      </c>
      <c r="J189" t="str">
        <f t="shared" si="20"/>
        <v>ddhub:DynamicViscosityQuantity</v>
      </c>
      <c r="K189">
        <f t="shared" si="21"/>
        <v>1</v>
      </c>
      <c r="L189" t="str">
        <f t="shared" si="17"/>
        <v>.</v>
      </c>
    </row>
    <row r="190" spans="1:12">
      <c r="A190" s="4" t="s">
        <v>345</v>
      </c>
      <c r="B190" s="8" t="s">
        <v>34</v>
      </c>
      <c r="C190" t="str">
        <f t="shared" si="14"/>
        <v>ddhub:MassQuantity</v>
      </c>
      <c r="D190">
        <f t="shared" si="15"/>
        <v>1</v>
      </c>
      <c r="E190" t="str">
        <f t="shared" si="16"/>
        <v>ddhub:EarthMass</v>
      </c>
      <c r="F190" t="s">
        <v>1389</v>
      </c>
      <c r="G190" t="s">
        <v>35</v>
      </c>
      <c r="H190" t="s">
        <v>1390</v>
      </c>
      <c r="J190" t="str">
        <f t="shared" si="20"/>
        <v>ddhub:MassQuantity</v>
      </c>
      <c r="K190">
        <f t="shared" si="21"/>
        <v>1</v>
      </c>
      <c r="L190" t="str">
        <f t="shared" si="17"/>
        <v>.</v>
      </c>
    </row>
    <row r="191" spans="1:12">
      <c r="A191" s="4" t="s">
        <v>346</v>
      </c>
      <c r="B191" s="8" t="s">
        <v>38</v>
      </c>
      <c r="C191" t="str">
        <f t="shared" si="14"/>
        <v>ddhub:PowerQuantity</v>
      </c>
      <c r="D191">
        <f t="shared" si="15"/>
        <v>1</v>
      </c>
      <c r="E191" t="str">
        <f t="shared" si="16"/>
        <v>ddhub:Exawatt</v>
      </c>
      <c r="F191" t="s">
        <v>1391</v>
      </c>
      <c r="G191" t="s">
        <v>39</v>
      </c>
      <c r="H191" t="s">
        <v>1392</v>
      </c>
      <c r="J191" t="str">
        <f t="shared" si="20"/>
        <v>ddhub:PowerQuantity</v>
      </c>
      <c r="K191">
        <f t="shared" si="21"/>
        <v>1</v>
      </c>
      <c r="L191" t="str">
        <f t="shared" si="17"/>
        <v>.</v>
      </c>
    </row>
    <row r="192" spans="1:12">
      <c r="A192" s="4" t="s">
        <v>347</v>
      </c>
      <c r="B192" s="8" t="s">
        <v>142</v>
      </c>
      <c r="C192" t="str">
        <f t="shared" si="14"/>
        <v>ddhub:TemperatureQuantity</v>
      </c>
      <c r="D192">
        <f t="shared" si="15"/>
        <v>1</v>
      </c>
      <c r="E192" t="str">
        <f t="shared" si="16"/>
        <v>ddhub:Fahrenheit</v>
      </c>
      <c r="F192" t="s">
        <v>1393</v>
      </c>
      <c r="G192" t="s">
        <v>144</v>
      </c>
      <c r="H192" t="s">
        <v>1198</v>
      </c>
      <c r="J192" t="str">
        <f t="shared" si="20"/>
        <v>ddhub:TemperatureQuantity</v>
      </c>
      <c r="K192">
        <f t="shared" si="21"/>
        <v>1</v>
      </c>
      <c r="L192" t="str">
        <f t="shared" si="17"/>
        <v>.</v>
      </c>
    </row>
    <row r="193" spans="1:12">
      <c r="A193" s="4" t="s">
        <v>348</v>
      </c>
      <c r="B193" s="8" t="s">
        <v>334</v>
      </c>
      <c r="C193" t="str">
        <f t="shared" si="14"/>
        <v>ddhub:TemperatureGradientPerLengthQuantity</v>
      </c>
      <c r="D193">
        <f t="shared" si="15"/>
        <v>0</v>
      </c>
      <c r="E193" t="str">
        <f t="shared" si="16"/>
        <v>ddhub:FahrenheitPer100Foot</v>
      </c>
      <c r="F193" t="s">
        <v>1394</v>
      </c>
      <c r="G193" t="s">
        <v>154</v>
      </c>
      <c r="H193" t="s">
        <v>1395</v>
      </c>
      <c r="J193" t="str">
        <f t="shared" si="20"/>
        <v>ddhub:TemperatureGradientPerLengthQuantity</v>
      </c>
      <c r="K193">
        <f t="shared" si="21"/>
        <v>0</v>
      </c>
      <c r="L193" t="str">
        <f t="shared" si="17"/>
        <v>.</v>
      </c>
    </row>
    <row r="194" spans="1:12">
      <c r="A194" s="4" t="s">
        <v>349</v>
      </c>
      <c r="B194" s="8" t="s">
        <v>334</v>
      </c>
      <c r="C194" t="str">
        <f t="shared" si="14"/>
        <v>ddhub:TemperatureGradientPerLengthQuantity</v>
      </c>
      <c r="D194">
        <f t="shared" si="15"/>
        <v>0</v>
      </c>
      <c r="E194" t="str">
        <f t="shared" si="16"/>
        <v>ddhub:FahrenheitPer30Foot</v>
      </c>
      <c r="F194" t="s">
        <v>1396</v>
      </c>
      <c r="G194" t="s">
        <v>154</v>
      </c>
      <c r="H194" t="s">
        <v>1395</v>
      </c>
      <c r="J194" t="str">
        <f t="shared" si="20"/>
        <v>ddhub:TemperatureGradientPerLengthQuantity</v>
      </c>
      <c r="K194">
        <f t="shared" si="21"/>
        <v>0</v>
      </c>
      <c r="L194" t="str">
        <f t="shared" si="17"/>
        <v>.</v>
      </c>
    </row>
    <row r="195" spans="1:12">
      <c r="A195" s="4" t="s">
        <v>350</v>
      </c>
      <c r="B195" s="8" t="s">
        <v>334</v>
      </c>
      <c r="C195" t="str">
        <f t="shared" ref="C195:C258" si="22">VLOOKUP(A195,E$2:J$838,6)</f>
        <v>ddhub:TemperatureGradientPerLengthQuantity</v>
      </c>
      <c r="D195">
        <f t="shared" ref="D195:D258" si="23">IF(B195=C195,1,0)</f>
        <v>0</v>
      </c>
      <c r="E195" t="str">
        <f t="shared" ref="E195:E258" si="24">"ddhub:"&amp;F195</f>
        <v>ddhub:FahrenheitPerFoot</v>
      </c>
      <c r="F195" t="s">
        <v>1397</v>
      </c>
      <c r="G195" t="s">
        <v>154</v>
      </c>
      <c r="H195" t="s">
        <v>1395</v>
      </c>
      <c r="J195" t="str">
        <f t="shared" si="20"/>
        <v>ddhub:TemperatureGradientPerLengthQuantity</v>
      </c>
      <c r="K195">
        <f t="shared" si="21"/>
        <v>0</v>
      </c>
      <c r="L195" t="str">
        <f t="shared" ref="L195:L258" si="25">IF(D195=K195,".","?")</f>
        <v>.</v>
      </c>
    </row>
    <row r="196" spans="1:12">
      <c r="A196" s="4" t="s">
        <v>351</v>
      </c>
      <c r="B196" s="8" t="s">
        <v>334</v>
      </c>
      <c r="C196" t="str">
        <f t="shared" si="22"/>
        <v>ddhub:ElectricCapacitanceQuantity</v>
      </c>
      <c r="D196">
        <f t="shared" si="23"/>
        <v>0</v>
      </c>
      <c r="E196" t="str">
        <f t="shared" si="24"/>
        <v>ddhub:Farad</v>
      </c>
      <c r="F196" t="s">
        <v>1398</v>
      </c>
      <c r="G196" t="s">
        <v>52</v>
      </c>
      <c r="H196" t="s">
        <v>1399</v>
      </c>
      <c r="J196" t="str">
        <f t="shared" si="20"/>
        <v>ddhub:ElectricCapacitanceQuantity</v>
      </c>
      <c r="K196">
        <f t="shared" si="21"/>
        <v>0</v>
      </c>
      <c r="L196" t="str">
        <f t="shared" si="25"/>
        <v>.</v>
      </c>
    </row>
    <row r="197" spans="1:12">
      <c r="A197" s="4" t="s">
        <v>352</v>
      </c>
      <c r="B197" s="5" t="s">
        <v>9</v>
      </c>
      <c r="C197" t="str">
        <f t="shared" si="22"/>
        <v>ddhub:LengthQuantity</v>
      </c>
      <c r="D197">
        <f t="shared" si="23"/>
        <v>1</v>
      </c>
      <c r="E197" t="str">
        <f t="shared" si="24"/>
        <v>ddhub:Fathom</v>
      </c>
      <c r="F197" t="s">
        <v>1400</v>
      </c>
      <c r="G197" t="s">
        <v>10</v>
      </c>
      <c r="H197" t="s">
        <v>1401</v>
      </c>
      <c r="J197" t="str">
        <f t="shared" si="20"/>
        <v>ddhub:LengthQuantity</v>
      </c>
      <c r="K197">
        <f t="shared" si="21"/>
        <v>1</v>
      </c>
      <c r="L197" t="str">
        <f t="shared" si="25"/>
        <v>.</v>
      </c>
    </row>
    <row r="198" spans="1:12">
      <c r="A198" s="4" t="s">
        <v>353</v>
      </c>
      <c r="B198" s="8" t="s">
        <v>38</v>
      </c>
      <c r="C198" t="str">
        <f t="shared" si="22"/>
        <v>ddhub:PowerQuantity</v>
      </c>
      <c r="D198">
        <f t="shared" si="23"/>
        <v>1</v>
      </c>
      <c r="E198" t="str">
        <f t="shared" si="24"/>
        <v>ddhub:Femtowatt</v>
      </c>
      <c r="F198" t="s">
        <v>1402</v>
      </c>
      <c r="G198" t="s">
        <v>39</v>
      </c>
      <c r="H198" t="s">
        <v>1403</v>
      </c>
      <c r="J198" t="str">
        <f t="shared" si="20"/>
        <v>ddhub:PowerQuantity</v>
      </c>
      <c r="K198">
        <f t="shared" si="21"/>
        <v>1</v>
      </c>
      <c r="L198" t="str">
        <f t="shared" si="25"/>
        <v>.</v>
      </c>
    </row>
    <row r="199" spans="1:12">
      <c r="A199" s="4" t="s">
        <v>354</v>
      </c>
      <c r="B199" s="5" t="s">
        <v>9</v>
      </c>
      <c r="C199" t="str">
        <f t="shared" si="22"/>
        <v>ddhub:LengthQuantity</v>
      </c>
      <c r="D199">
        <f t="shared" si="23"/>
        <v>1</v>
      </c>
      <c r="E199" t="str">
        <f t="shared" si="24"/>
        <v>ddhub:Foot</v>
      </c>
      <c r="F199" t="s">
        <v>1404</v>
      </c>
      <c r="G199" t="s">
        <v>10</v>
      </c>
      <c r="H199" t="s">
        <v>1405</v>
      </c>
      <c r="J199" t="str">
        <f t="shared" si="20"/>
        <v>ddhub:LengthQuantity</v>
      </c>
      <c r="K199">
        <f t="shared" si="21"/>
        <v>1</v>
      </c>
      <c r="L199" t="str">
        <f t="shared" si="25"/>
        <v>.</v>
      </c>
    </row>
    <row r="200" spans="1:12">
      <c r="A200" s="4" t="s">
        <v>356</v>
      </c>
      <c r="B200" s="5" t="s">
        <v>172</v>
      </c>
      <c r="C200" t="str">
        <f t="shared" si="22"/>
        <v>ddhub:VelocityQuantity</v>
      </c>
      <c r="D200">
        <f t="shared" si="23"/>
        <v>1</v>
      </c>
      <c r="E200" t="str">
        <f t="shared" si="24"/>
        <v>ddhub:FootPerDay</v>
      </c>
      <c r="F200" t="s">
        <v>1406</v>
      </c>
      <c r="G200" t="s">
        <v>68</v>
      </c>
      <c r="H200" t="s">
        <v>1218</v>
      </c>
      <c r="J200" t="str">
        <f t="shared" si="20"/>
        <v>ddhub:VelocityQuantity</v>
      </c>
      <c r="K200">
        <f t="shared" si="21"/>
        <v>1</v>
      </c>
      <c r="L200" t="str">
        <f t="shared" si="25"/>
        <v>.</v>
      </c>
    </row>
    <row r="201" spans="1:12">
      <c r="A201" s="4" t="s">
        <v>357</v>
      </c>
      <c r="B201" s="8" t="s">
        <v>332</v>
      </c>
      <c r="C201" t="str">
        <f t="shared" si="22"/>
        <v>ddhub:DimensionlessQuantity</v>
      </c>
      <c r="D201">
        <f t="shared" si="23"/>
        <v>1</v>
      </c>
      <c r="E201" t="str">
        <f t="shared" si="24"/>
        <v>ddhub:FootPerFoot</v>
      </c>
      <c r="F201" t="s">
        <v>1407</v>
      </c>
      <c r="G201" t="s">
        <v>44</v>
      </c>
      <c r="H201" t="s">
        <v>1223</v>
      </c>
      <c r="J201" t="str">
        <f t="shared" si="20"/>
        <v>ddhub:DimensionlessQuantity</v>
      </c>
      <c r="K201">
        <f t="shared" si="21"/>
        <v>1</v>
      </c>
      <c r="L201" t="str">
        <f t="shared" si="25"/>
        <v>.</v>
      </c>
    </row>
    <row r="202" spans="1:12">
      <c r="A202" s="4" t="s">
        <v>358</v>
      </c>
      <c r="B202" s="5" t="s">
        <v>172</v>
      </c>
      <c r="C202" t="str">
        <f t="shared" si="22"/>
        <v>ddhub:VelocityQuantity</v>
      </c>
      <c r="D202">
        <f t="shared" si="23"/>
        <v>1</v>
      </c>
      <c r="E202" t="str">
        <f t="shared" si="24"/>
        <v>ddhub:FootPerHour</v>
      </c>
      <c r="F202" t="s">
        <v>1408</v>
      </c>
      <c r="G202" t="s">
        <v>68</v>
      </c>
      <c r="H202" t="s">
        <v>1218</v>
      </c>
      <c r="J202" t="str">
        <f t="shared" si="20"/>
        <v>ddhub:VelocityQuantity</v>
      </c>
      <c r="K202">
        <f t="shared" si="21"/>
        <v>1</v>
      </c>
      <c r="L202" t="str">
        <f t="shared" si="25"/>
        <v>.</v>
      </c>
    </row>
    <row r="203" spans="1:12">
      <c r="A203" s="4" t="s">
        <v>359</v>
      </c>
      <c r="B203" s="8" t="s">
        <v>176</v>
      </c>
      <c r="C203" t="str">
        <f t="shared" si="22"/>
        <v>ddhub:AccelerationQuantity</v>
      </c>
      <c r="D203">
        <f t="shared" si="23"/>
        <v>1</v>
      </c>
      <c r="E203" t="str">
        <f t="shared" si="24"/>
        <v>ddhub:FootPerHourPerSecond</v>
      </c>
      <c r="F203" t="s">
        <v>1409</v>
      </c>
      <c r="G203" t="s">
        <v>11</v>
      </c>
      <c r="H203" t="s">
        <v>1221</v>
      </c>
      <c r="J203" t="str">
        <f t="shared" si="20"/>
        <v>ddhub:AccelerationQuantity</v>
      </c>
      <c r="K203">
        <f t="shared" si="21"/>
        <v>1</v>
      </c>
      <c r="L203" t="str">
        <f t="shared" si="25"/>
        <v>.</v>
      </c>
    </row>
    <row r="204" spans="1:12">
      <c r="A204" s="4" t="s">
        <v>360</v>
      </c>
      <c r="B204" s="8" t="s">
        <v>9</v>
      </c>
      <c r="C204" t="str">
        <f t="shared" si="22"/>
        <v>ddhub:DimensionlessQuantity</v>
      </c>
      <c r="D204">
        <f t="shared" si="23"/>
        <v>0</v>
      </c>
      <c r="E204" t="str">
        <f t="shared" si="24"/>
        <v>ddhub:FootPerMile</v>
      </c>
      <c r="F204" t="s">
        <v>1410</v>
      </c>
      <c r="G204" t="s">
        <v>44</v>
      </c>
      <c r="H204" t="s">
        <v>1223</v>
      </c>
      <c r="J204" t="str">
        <f t="shared" si="20"/>
        <v>ddhub:DimensionlessQuantity</v>
      </c>
      <c r="K204">
        <f t="shared" si="21"/>
        <v>0</v>
      </c>
      <c r="L204" t="str">
        <f t="shared" si="25"/>
        <v>.</v>
      </c>
    </row>
    <row r="205" spans="1:12">
      <c r="A205" s="4" t="s">
        <v>361</v>
      </c>
      <c r="B205" s="5" t="s">
        <v>172</v>
      </c>
      <c r="C205" t="str">
        <f t="shared" si="22"/>
        <v>ddhub:VelocityQuantity</v>
      </c>
      <c r="D205">
        <f t="shared" si="23"/>
        <v>1</v>
      </c>
      <c r="E205" t="str">
        <f t="shared" si="24"/>
        <v>ddhub:FootPerMinute</v>
      </c>
      <c r="F205" t="s">
        <v>1411</v>
      </c>
      <c r="G205" t="s">
        <v>68</v>
      </c>
      <c r="H205" t="s">
        <v>1218</v>
      </c>
      <c r="J205" t="str">
        <f t="shared" si="20"/>
        <v>ddhub:VelocityQuantity</v>
      </c>
      <c r="K205">
        <f t="shared" si="21"/>
        <v>1</v>
      </c>
      <c r="L205" t="str">
        <f t="shared" si="25"/>
        <v>.</v>
      </c>
    </row>
    <row r="206" spans="1:12">
      <c r="A206" s="4" t="s">
        <v>362</v>
      </c>
      <c r="B206" s="8" t="s">
        <v>176</v>
      </c>
      <c r="C206" t="str">
        <f t="shared" si="22"/>
        <v>ddhub:AccelerationQuantity</v>
      </c>
      <c r="D206">
        <f t="shared" si="23"/>
        <v>1</v>
      </c>
      <c r="E206" t="str">
        <f t="shared" si="24"/>
        <v>ddhub:FootPerMinutePerSecond</v>
      </c>
      <c r="F206" t="s">
        <v>1412</v>
      </c>
      <c r="G206" t="s">
        <v>11</v>
      </c>
      <c r="H206" t="s">
        <v>1221</v>
      </c>
      <c r="J206" t="str">
        <f t="shared" si="20"/>
        <v>ddhub:AccelerationQuantity</v>
      </c>
      <c r="K206">
        <f t="shared" si="21"/>
        <v>1</v>
      </c>
      <c r="L206" t="str">
        <f t="shared" si="25"/>
        <v>.</v>
      </c>
    </row>
    <row r="207" spans="1:12">
      <c r="A207" s="4" t="s">
        <v>363</v>
      </c>
      <c r="B207" s="5" t="s">
        <v>172</v>
      </c>
      <c r="C207" t="str">
        <f t="shared" si="22"/>
        <v>ddhub:VelocityQuantity</v>
      </c>
      <c r="D207">
        <f t="shared" si="23"/>
        <v>1</v>
      </c>
      <c r="E207" t="str">
        <f t="shared" si="24"/>
        <v>ddhub:FootPerSecond</v>
      </c>
      <c r="F207" t="s">
        <v>1413</v>
      </c>
      <c r="G207" t="s">
        <v>68</v>
      </c>
      <c r="H207" t="s">
        <v>1218</v>
      </c>
      <c r="J207" t="str">
        <f t="shared" si="20"/>
        <v>ddhub:VelocityQuantity</v>
      </c>
      <c r="K207">
        <f t="shared" si="21"/>
        <v>1</v>
      </c>
      <c r="L207" t="str">
        <f t="shared" si="25"/>
        <v>.</v>
      </c>
    </row>
    <row r="208" spans="1:12">
      <c r="A208" s="4" t="s">
        <v>364</v>
      </c>
      <c r="B208" s="8" t="s">
        <v>176</v>
      </c>
      <c r="C208" t="str">
        <f t="shared" si="22"/>
        <v>ddhub:AccelerationQuantity</v>
      </c>
      <c r="D208">
        <f t="shared" si="23"/>
        <v>1</v>
      </c>
      <c r="E208" t="str">
        <f t="shared" si="24"/>
        <v>ddhub:FootPerSecondSquared</v>
      </c>
      <c r="F208" t="s">
        <v>1414</v>
      </c>
      <c r="G208" t="s">
        <v>11</v>
      </c>
      <c r="H208" t="s">
        <v>1229</v>
      </c>
      <c r="J208" t="str">
        <f t="shared" si="20"/>
        <v>ddhub:AccelerationQuantity</v>
      </c>
      <c r="K208">
        <f t="shared" si="21"/>
        <v>1</v>
      </c>
      <c r="L208" t="str">
        <f t="shared" si="25"/>
        <v>.</v>
      </c>
    </row>
    <row r="209" spans="1:12">
      <c r="A209" s="4" t="s">
        <v>365</v>
      </c>
      <c r="B209" s="8" t="s">
        <v>332</v>
      </c>
      <c r="C209" t="str">
        <f t="shared" si="22"/>
        <v>ddhub:DimensionlessQuantity</v>
      </c>
      <c r="D209">
        <f t="shared" si="23"/>
        <v>1</v>
      </c>
      <c r="E209" t="str">
        <f t="shared" si="24"/>
        <v>ddhub:FootPerYard</v>
      </c>
      <c r="F209" t="s">
        <v>1415</v>
      </c>
      <c r="G209" t="s">
        <v>44</v>
      </c>
      <c r="H209" t="s">
        <v>1223</v>
      </c>
      <c r="J209" t="str">
        <f t="shared" si="20"/>
        <v>ddhub:DimensionlessQuantity</v>
      </c>
      <c r="K209">
        <f t="shared" si="21"/>
        <v>1</v>
      </c>
      <c r="L209" t="str">
        <f t="shared" si="25"/>
        <v>.</v>
      </c>
    </row>
    <row r="210" spans="1:12">
      <c r="A210" s="4" t="s">
        <v>366</v>
      </c>
      <c r="B210" s="5" t="s">
        <v>236</v>
      </c>
      <c r="C210" s="5" t="s">
        <v>236</v>
      </c>
      <c r="D210">
        <f t="shared" si="23"/>
        <v>1</v>
      </c>
      <c r="E210" t="str">
        <f t="shared" si="24"/>
        <v>ddhub:FootPound</v>
      </c>
      <c r="F210" t="s">
        <v>1416</v>
      </c>
      <c r="G210" t="s">
        <v>67</v>
      </c>
      <c r="H210" t="s">
        <v>1417</v>
      </c>
      <c r="J210" t="str">
        <f t="shared" si="20"/>
        <v>ddhub:EnergyQuantity</v>
      </c>
      <c r="K210">
        <f t="shared" si="21"/>
        <v>0</v>
      </c>
      <c r="L210" t="str">
        <f t="shared" si="25"/>
        <v>?</v>
      </c>
    </row>
    <row r="211" spans="1:12">
      <c r="A211" s="4" t="s">
        <v>367</v>
      </c>
      <c r="B211" s="5" t="s">
        <v>236</v>
      </c>
      <c r="C211" t="str">
        <f t="shared" si="22"/>
        <v>ddhub:TorqueGradientPerLengthQuantity</v>
      </c>
      <c r="D211">
        <f t="shared" si="23"/>
        <v>0</v>
      </c>
      <c r="E211" t="str">
        <f t="shared" si="24"/>
        <v>ddhub:FootPoundPerCentimetre</v>
      </c>
      <c r="F211" t="s">
        <v>1418</v>
      </c>
      <c r="G211" t="s">
        <v>164</v>
      </c>
      <c r="H211" t="s">
        <v>1281</v>
      </c>
      <c r="J211" t="str">
        <f t="shared" si="20"/>
        <v>ddhub:TorqueGradientPerLengthQuantity</v>
      </c>
      <c r="K211">
        <f t="shared" si="21"/>
        <v>0</v>
      </c>
      <c r="L211" t="str">
        <f t="shared" si="25"/>
        <v>.</v>
      </c>
    </row>
    <row r="212" spans="1:12">
      <c r="A212" s="4" t="s">
        <v>368</v>
      </c>
      <c r="B212" s="5" t="s">
        <v>236</v>
      </c>
      <c r="C212" t="str">
        <f t="shared" si="22"/>
        <v>ddhub:TorqueGradientPerLengthQuantity</v>
      </c>
      <c r="D212">
        <f t="shared" si="23"/>
        <v>0</v>
      </c>
      <c r="E212" t="str">
        <f t="shared" si="24"/>
        <v>ddhub:FootPoundPerDecimetre</v>
      </c>
      <c r="F212" t="s">
        <v>1419</v>
      </c>
      <c r="G212" t="s">
        <v>164</v>
      </c>
      <c r="H212" t="s">
        <v>1281</v>
      </c>
      <c r="J212" t="str">
        <f t="shared" si="20"/>
        <v>ddhub:TorqueGradientPerLengthQuantity</v>
      </c>
      <c r="K212">
        <f t="shared" si="21"/>
        <v>0</v>
      </c>
      <c r="L212" t="str">
        <f t="shared" si="25"/>
        <v>.</v>
      </c>
    </row>
    <row r="213" spans="1:12">
      <c r="A213" s="4" t="s">
        <v>369</v>
      </c>
      <c r="B213" s="5" t="s">
        <v>236</v>
      </c>
      <c r="C213" t="str">
        <f t="shared" si="22"/>
        <v>ddhub:TorqueGradientPerLengthQuantity</v>
      </c>
      <c r="D213">
        <f t="shared" si="23"/>
        <v>0</v>
      </c>
      <c r="E213" t="str">
        <f t="shared" si="24"/>
        <v>ddhub:FootPoundPerFoot</v>
      </c>
      <c r="F213" t="s">
        <v>1420</v>
      </c>
      <c r="G213" t="s">
        <v>164</v>
      </c>
      <c r="H213" t="s">
        <v>1281</v>
      </c>
      <c r="J213" t="str">
        <f t="shared" si="20"/>
        <v>ddhub:TorqueGradientPerLengthQuantity</v>
      </c>
      <c r="K213">
        <f t="shared" si="21"/>
        <v>0</v>
      </c>
      <c r="L213" t="str">
        <f t="shared" si="25"/>
        <v>.</v>
      </c>
    </row>
    <row r="214" spans="1:12">
      <c r="A214" s="4" t="s">
        <v>370</v>
      </c>
      <c r="B214" s="8" t="s">
        <v>334</v>
      </c>
      <c r="C214" t="str">
        <f t="shared" si="22"/>
        <v>ddhub:TorqueGradientPerLengthQuantity</v>
      </c>
      <c r="D214">
        <f t="shared" si="23"/>
        <v>0</v>
      </c>
      <c r="E214" t="str">
        <f t="shared" si="24"/>
        <v>ddhub:FootPoundPerInch</v>
      </c>
      <c r="F214" t="s">
        <v>1421</v>
      </c>
      <c r="G214" t="s">
        <v>164</v>
      </c>
      <c r="H214" t="s">
        <v>1281</v>
      </c>
      <c r="J214" t="str">
        <f t="shared" si="20"/>
        <v>ddhub:TorqueGradientPerLengthQuantity</v>
      </c>
      <c r="K214">
        <f t="shared" si="21"/>
        <v>0</v>
      </c>
      <c r="L214" t="str">
        <f t="shared" si="25"/>
        <v>.</v>
      </c>
    </row>
    <row r="215" spans="1:12">
      <c r="A215" s="4" t="s">
        <v>371</v>
      </c>
      <c r="B215" s="8" t="s">
        <v>334</v>
      </c>
      <c r="C215" t="str">
        <f t="shared" si="22"/>
        <v>ddhub:TorqueGradientPerLengthQuantity</v>
      </c>
      <c r="D215">
        <f t="shared" si="23"/>
        <v>0</v>
      </c>
      <c r="E215" t="str">
        <f t="shared" si="24"/>
        <v>ddhub:FootPoundPerMetre</v>
      </c>
      <c r="F215" t="s">
        <v>1422</v>
      </c>
      <c r="G215" t="s">
        <v>164</v>
      </c>
      <c r="H215" t="s">
        <v>1281</v>
      </c>
      <c r="J215" t="str">
        <f t="shared" si="20"/>
        <v>ddhub:TorqueGradientPerLengthQuantity</v>
      </c>
      <c r="K215">
        <f t="shared" si="21"/>
        <v>0</v>
      </c>
      <c r="L215" t="str">
        <f t="shared" si="25"/>
        <v>.</v>
      </c>
    </row>
    <row r="216" spans="1:12">
      <c r="A216" s="4" t="s">
        <v>372</v>
      </c>
      <c r="B216" s="8" t="s">
        <v>334</v>
      </c>
      <c r="C216" t="str">
        <f t="shared" si="22"/>
        <v>ddhub:TorqueGradientPerLengthQuantity</v>
      </c>
      <c r="D216">
        <f t="shared" si="23"/>
        <v>0</v>
      </c>
      <c r="E216" t="str">
        <f t="shared" si="24"/>
        <v>ddhub:FootPoundPerMillimetre</v>
      </c>
      <c r="F216" t="s">
        <v>1423</v>
      </c>
      <c r="G216" t="s">
        <v>164</v>
      </c>
      <c r="H216" t="s">
        <v>1281</v>
      </c>
      <c r="J216" t="str">
        <f t="shared" si="20"/>
        <v>ddhub:TorqueGradientPerLengthQuantity</v>
      </c>
      <c r="K216">
        <f t="shared" si="21"/>
        <v>0</v>
      </c>
      <c r="L216" t="str">
        <f t="shared" si="25"/>
        <v>.</v>
      </c>
    </row>
    <row r="217" spans="1:12">
      <c r="A217" s="4" t="s">
        <v>373</v>
      </c>
      <c r="B217" s="5" t="s">
        <v>170</v>
      </c>
      <c r="C217" t="str">
        <f t="shared" si="22"/>
        <v>ddhub:PressureQuantity</v>
      </c>
      <c r="D217">
        <f t="shared" si="23"/>
        <v>1</v>
      </c>
      <c r="E217" t="str">
        <f t="shared" si="24"/>
        <v>ddhub:FootWaterAt4DegreeCelsius</v>
      </c>
      <c r="F217" t="s">
        <v>1424</v>
      </c>
      <c r="G217" t="s">
        <v>43</v>
      </c>
      <c r="H217" t="s">
        <v>1231</v>
      </c>
      <c r="J217" t="str">
        <f t="shared" si="20"/>
        <v>ddhub:PressureQuantity</v>
      </c>
      <c r="K217">
        <f t="shared" si="21"/>
        <v>1</v>
      </c>
      <c r="L217" t="str">
        <f t="shared" si="25"/>
        <v>.</v>
      </c>
    </row>
    <row r="218" spans="1:12">
      <c r="A218" s="4" t="s">
        <v>374</v>
      </c>
      <c r="B218" s="8" t="s">
        <v>201</v>
      </c>
      <c r="C218" t="str">
        <f t="shared" si="22"/>
        <v>ddhub:TimeQuantity</v>
      </c>
      <c r="D218">
        <f t="shared" si="23"/>
        <v>1</v>
      </c>
      <c r="E218" t="str">
        <f t="shared" si="24"/>
        <v>ddhub:Fortnight</v>
      </c>
      <c r="F218" t="s">
        <v>1425</v>
      </c>
      <c r="G218" t="s">
        <v>162</v>
      </c>
      <c r="H218" t="s">
        <v>1426</v>
      </c>
      <c r="J218" t="str">
        <f t="shared" si="20"/>
        <v>ddhub:TimeQuantity</v>
      </c>
      <c r="K218">
        <f t="shared" si="21"/>
        <v>1</v>
      </c>
      <c r="L218" t="str">
        <f t="shared" si="25"/>
        <v>.</v>
      </c>
    </row>
    <row r="219" spans="1:12">
      <c r="A219" s="4" t="s">
        <v>375</v>
      </c>
      <c r="B219" s="5" t="s">
        <v>9</v>
      </c>
      <c r="C219" t="str">
        <f t="shared" si="22"/>
        <v>ddhub:LengthQuantity</v>
      </c>
      <c r="D219">
        <f t="shared" si="23"/>
        <v>1</v>
      </c>
      <c r="E219" t="str">
        <f t="shared" si="24"/>
        <v>ddhub:Furlong</v>
      </c>
      <c r="F219" t="s">
        <v>1427</v>
      </c>
      <c r="G219" t="s">
        <v>10</v>
      </c>
      <c r="H219" t="s">
        <v>1428</v>
      </c>
      <c r="J219" t="str">
        <f t="shared" si="20"/>
        <v>ddhub:LengthQuantity</v>
      </c>
      <c r="K219">
        <f t="shared" si="21"/>
        <v>1</v>
      </c>
      <c r="L219" t="str">
        <f t="shared" si="25"/>
        <v>.</v>
      </c>
    </row>
    <row r="220" spans="1:12">
      <c r="A220" s="4" t="s">
        <v>376</v>
      </c>
      <c r="B220" s="5" t="s">
        <v>172</v>
      </c>
      <c r="C220" t="str">
        <f t="shared" si="22"/>
        <v>ddhub:VelocityQuantity</v>
      </c>
      <c r="D220">
        <f t="shared" si="23"/>
        <v>1</v>
      </c>
      <c r="E220" t="str">
        <f t="shared" si="24"/>
        <v>ddhub:FurlongPerFortnight</v>
      </c>
      <c r="F220" t="s">
        <v>1429</v>
      </c>
      <c r="G220" t="s">
        <v>68</v>
      </c>
      <c r="H220" t="s">
        <v>1218</v>
      </c>
      <c r="J220" t="str">
        <f t="shared" si="20"/>
        <v>ddhub:VelocityQuantity</v>
      </c>
      <c r="K220">
        <f t="shared" si="21"/>
        <v>1</v>
      </c>
      <c r="L220" t="str">
        <f t="shared" si="25"/>
        <v>.</v>
      </c>
    </row>
    <row r="221" spans="1:12">
      <c r="A221" s="4" t="s">
        <v>377</v>
      </c>
      <c r="B221" s="8" t="s">
        <v>176</v>
      </c>
      <c r="C221" t="str">
        <f t="shared" si="22"/>
        <v>ddhub:AccelerationQuantity</v>
      </c>
      <c r="D221">
        <f t="shared" si="23"/>
        <v>1</v>
      </c>
      <c r="E221" t="str">
        <f t="shared" si="24"/>
        <v>ddhub:Galileo</v>
      </c>
      <c r="F221" t="s">
        <v>1430</v>
      </c>
      <c r="G221" t="s">
        <v>11</v>
      </c>
      <c r="H221" t="s">
        <v>1431</v>
      </c>
      <c r="J221" t="str">
        <f t="shared" si="20"/>
        <v>ddhub:AccelerationQuantity</v>
      </c>
      <c r="K221">
        <f t="shared" si="21"/>
        <v>1</v>
      </c>
      <c r="L221" t="str">
        <f t="shared" si="25"/>
        <v>.</v>
      </c>
    </row>
    <row r="222" spans="1:12">
      <c r="A222" s="4" t="s">
        <v>378</v>
      </c>
      <c r="B222" s="8" t="s">
        <v>379</v>
      </c>
      <c r="C222" t="str">
        <f t="shared" si="22"/>
        <v>ddhub:MagneticFluxDensityQuantity</v>
      </c>
      <c r="D222">
        <f t="shared" si="23"/>
        <v>1</v>
      </c>
      <c r="E222" t="str">
        <f t="shared" si="24"/>
        <v>ddhub:Gauss</v>
      </c>
      <c r="F222" t="s">
        <v>1432</v>
      </c>
      <c r="G222" t="s">
        <v>107</v>
      </c>
      <c r="H222" t="s">
        <v>1433</v>
      </c>
      <c r="J222" t="str">
        <f t="shared" si="20"/>
        <v>ddhub:MagneticFluxDensityQuantity</v>
      </c>
      <c r="K222">
        <f t="shared" si="21"/>
        <v>1</v>
      </c>
      <c r="L222" t="str">
        <f t="shared" si="25"/>
        <v>.</v>
      </c>
    </row>
    <row r="223" spans="1:12">
      <c r="A223" s="4" t="s">
        <v>380</v>
      </c>
      <c r="B223" s="8" t="s">
        <v>379</v>
      </c>
      <c r="C223" t="str">
        <f t="shared" si="22"/>
        <v>ddhub:MagneticFluxQuantity</v>
      </c>
      <c r="D223">
        <f t="shared" si="23"/>
        <v>0</v>
      </c>
      <c r="E223" t="str">
        <f t="shared" si="24"/>
        <v>ddhub:GaussSquareCentimetre</v>
      </c>
      <c r="F223" t="s">
        <v>1434</v>
      </c>
      <c r="G223" t="s">
        <v>109</v>
      </c>
      <c r="H223" t="s">
        <v>1435</v>
      </c>
      <c r="J223" t="str">
        <f t="shared" si="20"/>
        <v>ddhub:MagneticFluxQuantity</v>
      </c>
      <c r="K223">
        <f t="shared" si="21"/>
        <v>0</v>
      </c>
      <c r="L223" t="str">
        <f t="shared" si="25"/>
        <v>.</v>
      </c>
    </row>
    <row r="224" spans="1:12">
      <c r="A224" s="4" t="s">
        <v>382</v>
      </c>
      <c r="B224" s="8" t="s">
        <v>13</v>
      </c>
      <c r="C224" t="str">
        <f t="shared" si="22"/>
        <v>ddhub:ElectricCurrentQuantity</v>
      </c>
      <c r="D224">
        <f t="shared" si="23"/>
        <v>1</v>
      </c>
      <c r="E224" t="str">
        <f t="shared" si="24"/>
        <v>ddhub:Gigaampere</v>
      </c>
      <c r="F224" t="s">
        <v>1436</v>
      </c>
      <c r="G224" t="s">
        <v>14</v>
      </c>
      <c r="H224" t="s">
        <v>1437</v>
      </c>
      <c r="J224" t="str">
        <f t="shared" si="20"/>
        <v>ddhub:ElectricCurrentQuantity</v>
      </c>
      <c r="K224">
        <f t="shared" si="21"/>
        <v>1</v>
      </c>
      <c r="L224" t="str">
        <f t="shared" si="25"/>
        <v>.</v>
      </c>
    </row>
    <row r="225" spans="1:12">
      <c r="A225" s="4" t="s">
        <v>383</v>
      </c>
      <c r="B225" s="5" t="s">
        <v>384</v>
      </c>
      <c r="C225" t="str">
        <f t="shared" si="22"/>
        <v>ddhub:FrequencyQuantity</v>
      </c>
      <c r="D225">
        <f t="shared" si="23"/>
        <v>1</v>
      </c>
      <c r="E225" t="str">
        <f t="shared" si="24"/>
        <v>ddhub:Gigahertz</v>
      </c>
      <c r="F225" t="s">
        <v>1438</v>
      </c>
      <c r="G225" t="s">
        <v>77</v>
      </c>
      <c r="H225" t="s">
        <v>1439</v>
      </c>
      <c r="J225" t="str">
        <f t="shared" si="20"/>
        <v>ddhub:FrequencyQuantity</v>
      </c>
      <c r="K225">
        <f t="shared" si="21"/>
        <v>1</v>
      </c>
      <c r="L225" t="str">
        <f t="shared" si="25"/>
        <v>.</v>
      </c>
    </row>
    <row r="226" spans="1:12">
      <c r="A226" s="4" t="s">
        <v>385</v>
      </c>
      <c r="B226" s="5" t="s">
        <v>384</v>
      </c>
      <c r="C226" t="str">
        <f t="shared" si="22"/>
        <v>ddhub:FrequencyRateOfChangeQuantity</v>
      </c>
      <c r="D226">
        <f t="shared" si="23"/>
        <v>0</v>
      </c>
      <c r="E226" t="str">
        <f t="shared" si="24"/>
        <v>ddhub:GigaHertzPerDay</v>
      </c>
      <c r="F226" t="s">
        <v>1440</v>
      </c>
      <c r="G226" t="s">
        <v>81</v>
      </c>
      <c r="H226" t="s">
        <v>1441</v>
      </c>
      <c r="J226" t="str">
        <f t="shared" si="20"/>
        <v>ddhub:FrequencyRateOfChangeQuantity</v>
      </c>
      <c r="K226">
        <f t="shared" si="21"/>
        <v>0</v>
      </c>
      <c r="L226" t="str">
        <f t="shared" si="25"/>
        <v>.</v>
      </c>
    </row>
    <row r="227" spans="1:12">
      <c r="A227" s="4" t="s">
        <v>387</v>
      </c>
      <c r="B227" s="5" t="s">
        <v>384</v>
      </c>
      <c r="C227" t="str">
        <f t="shared" si="22"/>
        <v>ddhub:FrequencyRateOfChangeQuantity</v>
      </c>
      <c r="D227">
        <f t="shared" si="23"/>
        <v>0</v>
      </c>
      <c r="E227" t="str">
        <f t="shared" si="24"/>
        <v>ddhub:GigaHertzPerHour</v>
      </c>
      <c r="F227" t="s">
        <v>1442</v>
      </c>
      <c r="G227" t="s">
        <v>81</v>
      </c>
      <c r="H227" t="s">
        <v>1441</v>
      </c>
      <c r="J227" t="str">
        <f t="shared" si="20"/>
        <v>ddhub:FrequencyRateOfChangeQuantity</v>
      </c>
      <c r="K227">
        <f t="shared" si="21"/>
        <v>0</v>
      </c>
      <c r="L227" t="str">
        <f t="shared" si="25"/>
        <v>.</v>
      </c>
    </row>
    <row r="228" spans="1:12">
      <c r="A228" s="4" t="s">
        <v>388</v>
      </c>
      <c r="B228" s="5" t="s">
        <v>384</v>
      </c>
      <c r="C228" t="str">
        <f t="shared" si="22"/>
        <v>ddhub:FrequencyRateOfChangeQuantity</v>
      </c>
      <c r="D228">
        <f t="shared" si="23"/>
        <v>0</v>
      </c>
      <c r="E228" t="str">
        <f t="shared" si="24"/>
        <v>ddhub:GigaHertzPerMinute</v>
      </c>
      <c r="F228" t="s">
        <v>1443</v>
      </c>
      <c r="G228" t="s">
        <v>81</v>
      </c>
      <c r="H228" t="s">
        <v>1441</v>
      </c>
      <c r="J228" t="str">
        <f t="shared" si="20"/>
        <v>ddhub:FrequencyRateOfChangeQuantity</v>
      </c>
      <c r="K228">
        <f t="shared" si="21"/>
        <v>0</v>
      </c>
      <c r="L228" t="str">
        <f t="shared" si="25"/>
        <v>.</v>
      </c>
    </row>
    <row r="229" spans="1:12">
      <c r="A229" s="4" t="s">
        <v>389</v>
      </c>
      <c r="B229" s="5" t="s">
        <v>384</v>
      </c>
      <c r="C229" t="str">
        <f t="shared" si="22"/>
        <v>ddhub:FrequencyRateOfChangeQuantity</v>
      </c>
      <c r="D229">
        <f t="shared" si="23"/>
        <v>0</v>
      </c>
      <c r="E229" t="str">
        <f t="shared" si="24"/>
        <v>ddhub:GigaHertzPerSecond</v>
      </c>
      <c r="F229" t="s">
        <v>1444</v>
      </c>
      <c r="G229" t="s">
        <v>81</v>
      </c>
      <c r="H229" t="s">
        <v>1441</v>
      </c>
      <c r="J229" t="str">
        <f t="shared" si="20"/>
        <v>ddhub:FrequencyRateOfChangeQuantity</v>
      </c>
      <c r="K229">
        <f t="shared" si="21"/>
        <v>0</v>
      </c>
      <c r="L229" t="str">
        <f t="shared" si="25"/>
        <v>.</v>
      </c>
    </row>
    <row r="230" spans="1:12">
      <c r="A230" s="4" t="s">
        <v>390</v>
      </c>
      <c r="B230" s="5" t="s">
        <v>384</v>
      </c>
      <c r="C230" t="str">
        <f t="shared" si="22"/>
        <v>ddhub:FrequencyRateOfChangeQuantity</v>
      </c>
      <c r="D230">
        <f t="shared" si="23"/>
        <v>0</v>
      </c>
      <c r="E230" t="str">
        <f t="shared" si="24"/>
        <v>ddhub:GigaHertzPerYear</v>
      </c>
      <c r="F230" t="s">
        <v>1445</v>
      </c>
      <c r="G230" t="s">
        <v>81</v>
      </c>
      <c r="H230" t="s">
        <v>1441</v>
      </c>
      <c r="J230" t="str">
        <f t="shared" si="20"/>
        <v>ddhub:FrequencyRateOfChangeQuantity</v>
      </c>
      <c r="K230">
        <f t="shared" si="21"/>
        <v>0</v>
      </c>
      <c r="L230" t="str">
        <f t="shared" si="25"/>
        <v>.</v>
      </c>
    </row>
    <row r="231" spans="1:12">
      <c r="A231" s="4" t="s">
        <v>391</v>
      </c>
      <c r="B231" s="8" t="s">
        <v>76</v>
      </c>
      <c r="C231" t="str">
        <f t="shared" si="22"/>
        <v>ddhub:EnergyQuantity</v>
      </c>
      <c r="D231">
        <f t="shared" si="23"/>
        <v>1</v>
      </c>
      <c r="E231" t="str">
        <f t="shared" si="24"/>
        <v>ddhub:Gigajoule</v>
      </c>
      <c r="F231" t="s">
        <v>1446</v>
      </c>
      <c r="G231" t="s">
        <v>67</v>
      </c>
      <c r="H231" t="s">
        <v>1447</v>
      </c>
      <c r="J231" t="str">
        <f t="shared" si="20"/>
        <v>ddhub:EnergyQuantity</v>
      </c>
      <c r="K231">
        <f t="shared" si="21"/>
        <v>1</v>
      </c>
      <c r="L231" t="str">
        <f t="shared" si="25"/>
        <v>.</v>
      </c>
    </row>
    <row r="232" spans="1:12">
      <c r="A232" s="4" t="s">
        <v>393</v>
      </c>
      <c r="B232" s="8" t="s">
        <v>89</v>
      </c>
      <c r="C232" t="str">
        <f t="shared" si="22"/>
        <v>ddhub:EnergyDensityQuantity</v>
      </c>
      <c r="D232">
        <f t="shared" si="23"/>
        <v>1</v>
      </c>
      <c r="E232" t="str">
        <f t="shared" si="24"/>
        <v>ddhub:GigajoulePerCubicFoot</v>
      </c>
      <c r="F232" t="s">
        <v>1448</v>
      </c>
      <c r="G232" t="s">
        <v>64</v>
      </c>
      <c r="H232" t="s">
        <v>1164</v>
      </c>
      <c r="J232" t="str">
        <f t="shared" si="20"/>
        <v>ddhub:EnergyDensityQuantity</v>
      </c>
      <c r="K232">
        <f t="shared" si="21"/>
        <v>1</v>
      </c>
      <c r="L232" t="str">
        <f t="shared" si="25"/>
        <v>.</v>
      </c>
    </row>
    <row r="233" spans="1:12">
      <c r="A233" s="4" t="s">
        <v>394</v>
      </c>
      <c r="B233" s="8" t="s">
        <v>89</v>
      </c>
      <c r="C233" t="str">
        <f t="shared" si="22"/>
        <v>ddhub:EnergyDensityQuantity</v>
      </c>
      <c r="D233">
        <f t="shared" si="23"/>
        <v>1</v>
      </c>
      <c r="E233" t="str">
        <f t="shared" si="24"/>
        <v>ddhub:GigajoulePerCubicInch</v>
      </c>
      <c r="F233" t="s">
        <v>1449</v>
      </c>
      <c r="G233" t="s">
        <v>64</v>
      </c>
      <c r="H233" t="s">
        <v>1164</v>
      </c>
      <c r="J233" t="str">
        <f t="shared" si="20"/>
        <v>ddhub:EnergyDensityQuantity</v>
      </c>
      <c r="K233">
        <f t="shared" si="21"/>
        <v>1</v>
      </c>
      <c r="L233" t="str">
        <f t="shared" si="25"/>
        <v>.</v>
      </c>
    </row>
    <row r="234" spans="1:12">
      <c r="A234" s="4" t="s">
        <v>395</v>
      </c>
      <c r="B234" s="8" t="s">
        <v>89</v>
      </c>
      <c r="C234" t="str">
        <f t="shared" si="22"/>
        <v>ddhub:EnergyDensityQuantity</v>
      </c>
      <c r="D234">
        <f t="shared" si="23"/>
        <v>1</v>
      </c>
      <c r="E234" t="str">
        <f t="shared" si="24"/>
        <v>ddhub:GigajoulePerCubicMetre</v>
      </c>
      <c r="F234" t="s">
        <v>1450</v>
      </c>
      <c r="G234" t="s">
        <v>64</v>
      </c>
      <c r="H234" t="s">
        <v>1164</v>
      </c>
      <c r="J234" t="str">
        <f t="shared" si="20"/>
        <v>ddhub:EnergyDensityQuantity</v>
      </c>
      <c r="K234">
        <f t="shared" si="21"/>
        <v>1</v>
      </c>
      <c r="L234" t="str">
        <f t="shared" si="25"/>
        <v>.</v>
      </c>
    </row>
    <row r="235" spans="1:12">
      <c r="A235" s="4" t="s">
        <v>396</v>
      </c>
      <c r="B235" s="8" t="s">
        <v>89</v>
      </c>
      <c r="C235" t="str">
        <f t="shared" si="22"/>
        <v>ddhub:EnergyDensityQuantity</v>
      </c>
      <c r="D235">
        <f t="shared" si="23"/>
        <v>1</v>
      </c>
      <c r="E235" t="str">
        <f t="shared" si="24"/>
        <v>ddhub:GigajoulePerGallonUk</v>
      </c>
      <c r="F235" t="s">
        <v>1451</v>
      </c>
      <c r="G235" t="s">
        <v>64</v>
      </c>
      <c r="H235" t="s">
        <v>1164</v>
      </c>
      <c r="J235" t="str">
        <f t="shared" si="20"/>
        <v>ddhub:EnergyDensityQuantity</v>
      </c>
      <c r="K235">
        <f t="shared" si="21"/>
        <v>1</v>
      </c>
      <c r="L235" t="str">
        <f t="shared" si="25"/>
        <v>.</v>
      </c>
    </row>
    <row r="236" spans="1:12">
      <c r="A236" s="4" t="s">
        <v>397</v>
      </c>
      <c r="B236" s="8" t="s">
        <v>89</v>
      </c>
      <c r="C236" t="str">
        <f t="shared" si="22"/>
        <v>ddhub:EnergyDensityQuantity</v>
      </c>
      <c r="D236">
        <f t="shared" si="23"/>
        <v>1</v>
      </c>
      <c r="E236" t="str">
        <f t="shared" si="24"/>
        <v>ddhub:GigajoulePerGallonUs</v>
      </c>
      <c r="F236" t="s">
        <v>1452</v>
      </c>
      <c r="G236" t="s">
        <v>64</v>
      </c>
      <c r="H236" t="s">
        <v>1164</v>
      </c>
      <c r="J236" t="str">
        <f t="shared" si="20"/>
        <v>ddhub:EnergyDensityQuantity</v>
      </c>
      <c r="K236">
        <f t="shared" si="21"/>
        <v>1</v>
      </c>
      <c r="L236" t="str">
        <f t="shared" si="25"/>
        <v>.</v>
      </c>
    </row>
    <row r="237" spans="1:12">
      <c r="A237" s="4" t="s">
        <v>398</v>
      </c>
      <c r="B237" s="8" t="s">
        <v>89</v>
      </c>
      <c r="C237" t="str">
        <f t="shared" si="22"/>
        <v>ddhub:EnergyDensityQuantity</v>
      </c>
      <c r="D237">
        <f t="shared" si="23"/>
        <v>1</v>
      </c>
      <c r="E237" t="str">
        <f t="shared" si="24"/>
        <v>ddhub:GigajoulePerLitre</v>
      </c>
      <c r="F237" t="s">
        <v>1453</v>
      </c>
      <c r="G237" t="s">
        <v>64</v>
      </c>
      <c r="H237" t="s">
        <v>1164</v>
      </c>
      <c r="J237" t="str">
        <f t="shared" si="20"/>
        <v>ddhub:EnergyDensityQuantity</v>
      </c>
      <c r="K237">
        <f t="shared" si="21"/>
        <v>1</v>
      </c>
      <c r="L237" t="str">
        <f t="shared" si="25"/>
        <v>.</v>
      </c>
    </row>
    <row r="238" spans="1:12">
      <c r="A238" s="4" t="s">
        <v>399</v>
      </c>
      <c r="B238" s="8" t="s">
        <v>334</v>
      </c>
      <c r="C238" s="13" t="str">
        <f t="shared" si="22"/>
        <v>ddhub:ElectricResistivityQuantity</v>
      </c>
      <c r="D238">
        <f t="shared" si="23"/>
        <v>0</v>
      </c>
      <c r="E238" t="str">
        <f t="shared" si="24"/>
        <v>ddhub:GigaOhmMetre</v>
      </c>
      <c r="F238" t="s">
        <v>1454</v>
      </c>
      <c r="G238" t="s">
        <v>58</v>
      </c>
      <c r="H238" t="s">
        <v>1455</v>
      </c>
      <c r="J238" t="str">
        <f t="shared" si="20"/>
        <v>ddhub:ElectricResistivityQuantity</v>
      </c>
      <c r="K238">
        <f t="shared" si="21"/>
        <v>0</v>
      </c>
      <c r="L238" t="str">
        <f t="shared" si="25"/>
        <v>.</v>
      </c>
    </row>
    <row r="239" spans="1:12">
      <c r="A239" s="4" t="s">
        <v>402</v>
      </c>
      <c r="B239" s="5" t="s">
        <v>170</v>
      </c>
      <c r="C239" t="str">
        <f t="shared" si="22"/>
        <v>ddhub:PressureQuantity</v>
      </c>
      <c r="D239">
        <f t="shared" si="23"/>
        <v>1</v>
      </c>
      <c r="E239" t="str">
        <f t="shared" si="24"/>
        <v>ddhub:Gigapascal</v>
      </c>
      <c r="F239" t="s">
        <v>1456</v>
      </c>
      <c r="G239" t="s">
        <v>43</v>
      </c>
      <c r="H239" t="s">
        <v>1457</v>
      </c>
      <c r="J239" t="str">
        <f t="shared" si="20"/>
        <v>ddhub:PressureQuantity</v>
      </c>
      <c r="K239">
        <f t="shared" si="21"/>
        <v>1</v>
      </c>
      <c r="L239" t="str">
        <f t="shared" si="25"/>
        <v>.</v>
      </c>
    </row>
    <row r="240" spans="1:12">
      <c r="A240" s="4" t="s">
        <v>405</v>
      </c>
      <c r="B240" s="8" t="s">
        <v>34</v>
      </c>
      <c r="C240" t="str">
        <f t="shared" si="22"/>
        <v>ddhub:MassQuantity</v>
      </c>
      <c r="D240">
        <f t="shared" si="23"/>
        <v>1</v>
      </c>
      <c r="E240" t="str">
        <f t="shared" si="24"/>
        <v>ddhub:Gigatonne</v>
      </c>
      <c r="F240" t="s">
        <v>1458</v>
      </c>
      <c r="G240" t="s">
        <v>35</v>
      </c>
      <c r="H240" t="s">
        <v>1459</v>
      </c>
      <c r="J240" t="str">
        <f t="shared" si="20"/>
        <v>ddhub:MassQuantity</v>
      </c>
      <c r="K240">
        <f t="shared" si="21"/>
        <v>1</v>
      </c>
      <c r="L240" t="str">
        <f t="shared" si="25"/>
        <v>.</v>
      </c>
    </row>
    <row r="241" spans="1:12">
      <c r="A241" s="4" t="s">
        <v>406</v>
      </c>
      <c r="B241" s="8" t="s">
        <v>334</v>
      </c>
      <c r="C241" t="str">
        <f t="shared" si="22"/>
        <v>zzz:TBD</v>
      </c>
      <c r="D241">
        <f t="shared" si="23"/>
        <v>1</v>
      </c>
      <c r="E241" t="str">
        <f t="shared" si="24"/>
        <v>ddhub:Gigavolt</v>
      </c>
      <c r="F241" t="s">
        <v>1460</v>
      </c>
      <c r="G241" t="s">
        <v>1153</v>
      </c>
      <c r="H241" t="s">
        <v>1237</v>
      </c>
      <c r="J241" s="8" t="s">
        <v>334</v>
      </c>
      <c r="K241">
        <f t="shared" si="21"/>
        <v>1</v>
      </c>
      <c r="L241" t="str">
        <f t="shared" si="25"/>
        <v>.</v>
      </c>
    </row>
    <row r="242" spans="1:12">
      <c r="A242" s="4" t="s">
        <v>408</v>
      </c>
      <c r="B242" s="8" t="s">
        <v>38</v>
      </c>
      <c r="C242" t="str">
        <f t="shared" si="22"/>
        <v>ddhub:PowerQuantity</v>
      </c>
      <c r="D242">
        <f t="shared" si="23"/>
        <v>1</v>
      </c>
      <c r="E242" t="str">
        <f t="shared" si="24"/>
        <v>ddhub:Gigawatt</v>
      </c>
      <c r="F242" t="s">
        <v>1461</v>
      </c>
      <c r="G242" t="s">
        <v>39</v>
      </c>
      <c r="H242" t="s">
        <v>1462</v>
      </c>
      <c r="J242" t="str">
        <f t="shared" si="20"/>
        <v>ddhub:PowerQuantity</v>
      </c>
      <c r="K242">
        <f t="shared" si="21"/>
        <v>1</v>
      </c>
      <c r="L242" t="str">
        <f t="shared" si="25"/>
        <v>.</v>
      </c>
    </row>
    <row r="243" spans="1:12">
      <c r="A243" s="4" t="s">
        <v>410</v>
      </c>
      <c r="B243" s="8" t="s">
        <v>334</v>
      </c>
      <c r="C243" t="str">
        <f t="shared" si="22"/>
        <v>ddhub:PlaneAngleQuantity</v>
      </c>
      <c r="D243">
        <f t="shared" si="23"/>
        <v>0</v>
      </c>
      <c r="E243" t="str">
        <f t="shared" si="24"/>
        <v>ddhub:Gon</v>
      </c>
      <c r="F243" t="s">
        <v>1463</v>
      </c>
      <c r="G243" t="s">
        <v>26</v>
      </c>
      <c r="H243" t="s">
        <v>1464</v>
      </c>
      <c r="J243" t="str">
        <f t="shared" si="20"/>
        <v>ddhub:PlaneAngleQuantity</v>
      </c>
      <c r="K243">
        <f t="shared" si="21"/>
        <v>0</v>
      </c>
      <c r="L243" t="str">
        <f t="shared" si="25"/>
        <v>.</v>
      </c>
    </row>
    <row r="244" spans="1:12">
      <c r="A244" s="4" t="s">
        <v>411</v>
      </c>
      <c r="B244" s="8" t="s">
        <v>25</v>
      </c>
      <c r="C244" t="str">
        <f t="shared" si="22"/>
        <v>ddhub:PlaneAngleQuantity</v>
      </c>
      <c r="D244">
        <f t="shared" si="23"/>
        <v>1</v>
      </c>
      <c r="E244" t="str">
        <f t="shared" si="24"/>
        <v>ddhub:Grad</v>
      </c>
      <c r="F244" t="s">
        <v>1465</v>
      </c>
      <c r="G244" t="s">
        <v>26</v>
      </c>
      <c r="H244" t="s">
        <v>1464</v>
      </c>
      <c r="J244" t="str">
        <f t="shared" si="20"/>
        <v>ddhub:PlaneAngleQuantity</v>
      </c>
      <c r="K244">
        <f t="shared" si="21"/>
        <v>1</v>
      </c>
      <c r="L244" t="str">
        <f t="shared" si="25"/>
        <v>.</v>
      </c>
    </row>
    <row r="245" spans="1:12">
      <c r="A245" s="4" t="s">
        <v>412</v>
      </c>
      <c r="B245" s="8" t="s">
        <v>34</v>
      </c>
      <c r="C245" t="str">
        <f t="shared" si="22"/>
        <v>ddhub:MassQuantity</v>
      </c>
      <c r="D245">
        <f t="shared" si="23"/>
        <v>1</v>
      </c>
      <c r="E245" t="str">
        <f t="shared" si="24"/>
        <v>ddhub:Grain</v>
      </c>
      <c r="F245" t="s">
        <v>1466</v>
      </c>
      <c r="G245" t="s">
        <v>35</v>
      </c>
      <c r="H245" t="s">
        <v>1467</v>
      </c>
      <c r="J245" t="str">
        <f t="shared" ref="J245:J307" si="26">"ddhub:"&amp;G245</f>
        <v>ddhub:MassQuantity</v>
      </c>
      <c r="K245">
        <f t="shared" ref="K245:K308" si="27">IF(B245=J245,1,0)</f>
        <v>1</v>
      </c>
      <c r="L245" t="str">
        <f t="shared" si="25"/>
        <v>.</v>
      </c>
    </row>
    <row r="246" spans="1:12">
      <c r="A246" s="4" t="s">
        <v>413</v>
      </c>
      <c r="B246" s="8" t="s">
        <v>34</v>
      </c>
      <c r="C246" t="str">
        <f t="shared" si="22"/>
        <v>ddhub:MassQuantity</v>
      </c>
      <c r="D246">
        <f t="shared" si="23"/>
        <v>1</v>
      </c>
      <c r="E246" t="str">
        <f t="shared" si="24"/>
        <v>ddhub:Gram</v>
      </c>
      <c r="F246" t="s">
        <v>1468</v>
      </c>
      <c r="G246" t="s">
        <v>35</v>
      </c>
      <c r="H246" t="s">
        <v>1469</v>
      </c>
      <c r="J246" t="str">
        <f t="shared" si="26"/>
        <v>ddhub:MassQuantity</v>
      </c>
      <c r="K246">
        <f t="shared" si="27"/>
        <v>1</v>
      </c>
      <c r="L246" t="str">
        <f t="shared" si="25"/>
        <v>.</v>
      </c>
    </row>
    <row r="247" spans="1:12">
      <c r="A247" s="4" t="s">
        <v>415</v>
      </c>
      <c r="B247" s="5" t="s">
        <v>416</v>
      </c>
      <c r="C247" t="str">
        <f t="shared" si="22"/>
        <v>ddhub:MassDensityQuantity</v>
      </c>
      <c r="D247">
        <f t="shared" si="23"/>
        <v>1</v>
      </c>
      <c r="E247" t="str">
        <f t="shared" si="24"/>
        <v>ddhub:GramPerCubicCentimetre</v>
      </c>
      <c r="F247" t="s">
        <v>1470</v>
      </c>
      <c r="G247" t="s">
        <v>31</v>
      </c>
      <c r="H247" t="s">
        <v>1471</v>
      </c>
      <c r="J247" t="str">
        <f t="shared" si="26"/>
        <v>ddhub:MassDensityQuantity</v>
      </c>
      <c r="K247">
        <f t="shared" si="27"/>
        <v>1</v>
      </c>
      <c r="L247" t="str">
        <f t="shared" si="25"/>
        <v>.</v>
      </c>
    </row>
    <row r="248" spans="1:12">
      <c r="A248" s="4" t="s">
        <v>417</v>
      </c>
      <c r="B248" s="8" t="s">
        <v>334</v>
      </c>
      <c r="C248" t="str">
        <f t="shared" si="22"/>
        <v>ddhub:MassDensityGradientPerLengthQuantity</v>
      </c>
      <c r="D248">
        <f t="shared" si="23"/>
        <v>0</v>
      </c>
      <c r="E248" t="str">
        <f t="shared" si="24"/>
        <v>ddhub:GramPerCubicCentimetrePer100Metre</v>
      </c>
      <c r="F248" t="s">
        <v>1472</v>
      </c>
      <c r="G248" t="s">
        <v>112</v>
      </c>
      <c r="H248" t="s">
        <v>1473</v>
      </c>
      <c r="J248" t="str">
        <f t="shared" si="26"/>
        <v>ddhub:MassDensityGradientPerLengthQuantity</v>
      </c>
      <c r="K248">
        <f t="shared" si="27"/>
        <v>0</v>
      </c>
      <c r="L248" t="str">
        <f t="shared" si="25"/>
        <v>.</v>
      </c>
    </row>
    <row r="249" spans="1:12">
      <c r="A249" s="4" t="s">
        <v>420</v>
      </c>
      <c r="B249" s="8" t="s">
        <v>334</v>
      </c>
      <c r="C249" t="str">
        <f t="shared" si="22"/>
        <v>ddhub:MassDensityGradientPerLengthQuantity</v>
      </c>
      <c r="D249">
        <f t="shared" si="23"/>
        <v>0</v>
      </c>
      <c r="E249" t="str">
        <f t="shared" si="24"/>
        <v>ddhub:GramPerCubicCentimetrePer10Metre</v>
      </c>
      <c r="F249" t="s">
        <v>1474</v>
      </c>
      <c r="G249" t="s">
        <v>112</v>
      </c>
      <c r="H249" t="s">
        <v>1473</v>
      </c>
      <c r="J249" t="str">
        <f t="shared" si="26"/>
        <v>ddhub:MassDensityGradientPerLengthQuantity</v>
      </c>
      <c r="K249">
        <f t="shared" si="27"/>
        <v>0</v>
      </c>
      <c r="L249" t="str">
        <f t="shared" si="25"/>
        <v>.</v>
      </c>
    </row>
    <row r="250" spans="1:12">
      <c r="A250" s="4" t="s">
        <v>421</v>
      </c>
      <c r="B250" s="8" t="s">
        <v>334</v>
      </c>
      <c r="C250" t="str">
        <f t="shared" si="22"/>
        <v>ddhub:MassDensityGradientPerLengthQuantity</v>
      </c>
      <c r="D250">
        <f t="shared" si="23"/>
        <v>0</v>
      </c>
      <c r="E250" t="str">
        <f t="shared" si="24"/>
        <v>ddhub:GramPerCubicCentimetrePer30Metre</v>
      </c>
      <c r="F250" t="s">
        <v>1475</v>
      </c>
      <c r="G250" t="s">
        <v>112</v>
      </c>
      <c r="H250" t="s">
        <v>1473</v>
      </c>
      <c r="J250" t="str">
        <f t="shared" si="26"/>
        <v>ddhub:MassDensityGradientPerLengthQuantity</v>
      </c>
      <c r="K250">
        <f t="shared" si="27"/>
        <v>0</v>
      </c>
      <c r="L250" t="str">
        <f t="shared" si="25"/>
        <v>.</v>
      </c>
    </row>
    <row r="251" spans="1:12">
      <c r="A251" s="4" t="s">
        <v>422</v>
      </c>
      <c r="B251" s="8" t="s">
        <v>334</v>
      </c>
      <c r="C251" t="str">
        <f t="shared" si="22"/>
        <v>zzz:TBD</v>
      </c>
      <c r="D251">
        <f t="shared" si="23"/>
        <v>1</v>
      </c>
      <c r="E251" t="str">
        <f t="shared" si="24"/>
        <v>ddhub:GramPerCubicCentimetrePerCelsius</v>
      </c>
      <c r="F251" t="s">
        <v>1476</v>
      </c>
      <c r="G251" t="s">
        <v>1153</v>
      </c>
      <c r="H251" t="s">
        <v>1477</v>
      </c>
      <c r="J251" s="8" t="s">
        <v>334</v>
      </c>
      <c r="K251">
        <f t="shared" si="27"/>
        <v>1</v>
      </c>
      <c r="L251" t="str">
        <f t="shared" si="25"/>
        <v>.</v>
      </c>
    </row>
    <row r="252" spans="1:12">
      <c r="A252" s="4" t="s">
        <v>425</v>
      </c>
      <c r="B252" s="8" t="s">
        <v>426</v>
      </c>
      <c r="C252" t="str">
        <f t="shared" si="22"/>
        <v>zzz:TBD</v>
      </c>
      <c r="D252">
        <f t="shared" si="23"/>
        <v>0</v>
      </c>
      <c r="E252" t="str">
        <f t="shared" si="24"/>
        <v>ddhub:GramPerCubicCentimetrePerHour</v>
      </c>
      <c r="F252" t="s">
        <v>1478</v>
      </c>
      <c r="G252" t="s">
        <v>1153</v>
      </c>
      <c r="H252" t="s">
        <v>1479</v>
      </c>
      <c r="J252" s="8" t="s">
        <v>334</v>
      </c>
      <c r="K252">
        <f t="shared" si="27"/>
        <v>0</v>
      </c>
      <c r="L252" t="str">
        <f t="shared" si="25"/>
        <v>.</v>
      </c>
    </row>
    <row r="253" spans="1:12">
      <c r="A253" s="4" t="s">
        <v>427</v>
      </c>
      <c r="B253" s="8" t="s">
        <v>334</v>
      </c>
      <c r="C253" t="str">
        <f t="shared" si="22"/>
        <v>ddhub:MassDensityGradientPerLengthQuantity</v>
      </c>
      <c r="D253">
        <f t="shared" si="23"/>
        <v>0</v>
      </c>
      <c r="E253" t="str">
        <f t="shared" si="24"/>
        <v>ddhub:GramPerCubicCentimetrePerMetre</v>
      </c>
      <c r="F253" t="s">
        <v>1480</v>
      </c>
      <c r="G253" t="s">
        <v>112</v>
      </c>
      <c r="H253" t="s">
        <v>1473</v>
      </c>
      <c r="J253" t="str">
        <f t="shared" si="26"/>
        <v>ddhub:MassDensityGradientPerLengthQuantity</v>
      </c>
      <c r="K253">
        <f t="shared" si="27"/>
        <v>0</v>
      </c>
      <c r="L253" t="str">
        <f t="shared" si="25"/>
        <v>.</v>
      </c>
    </row>
    <row r="254" spans="1:12">
      <c r="A254" s="4" t="s">
        <v>428</v>
      </c>
      <c r="B254" s="8" t="s">
        <v>426</v>
      </c>
      <c r="C254" t="str">
        <f t="shared" si="22"/>
        <v>zzz:TBD</v>
      </c>
      <c r="D254">
        <f t="shared" si="23"/>
        <v>0</v>
      </c>
      <c r="E254" t="str">
        <f t="shared" si="24"/>
        <v>ddhub:GramPerCubicCentimetrePerMinute</v>
      </c>
      <c r="F254" t="s">
        <v>1481</v>
      </c>
      <c r="G254" t="s">
        <v>1153</v>
      </c>
      <c r="H254" t="s">
        <v>1479</v>
      </c>
      <c r="J254" s="8" t="s">
        <v>334</v>
      </c>
      <c r="K254">
        <f t="shared" si="27"/>
        <v>0</v>
      </c>
      <c r="L254" t="str">
        <f t="shared" si="25"/>
        <v>.</v>
      </c>
    </row>
    <row r="255" spans="1:12">
      <c r="A255" s="4" t="s">
        <v>429</v>
      </c>
      <c r="B255" s="8" t="s">
        <v>426</v>
      </c>
      <c r="C255" t="str">
        <f t="shared" si="22"/>
        <v>zzz:TBD</v>
      </c>
      <c r="D255">
        <f t="shared" si="23"/>
        <v>0</v>
      </c>
      <c r="E255" t="str">
        <f t="shared" si="24"/>
        <v>ddhub:GramPerCubicCentimetrePerSecond</v>
      </c>
      <c r="F255" t="s">
        <v>1482</v>
      </c>
      <c r="G255" t="s">
        <v>1153</v>
      </c>
      <c r="H255" t="s">
        <v>1479</v>
      </c>
      <c r="J255" s="8" t="s">
        <v>334</v>
      </c>
      <c r="K255">
        <f t="shared" si="27"/>
        <v>0</v>
      </c>
      <c r="L255" t="str">
        <f t="shared" si="25"/>
        <v>.</v>
      </c>
    </row>
    <row r="256" spans="1:12">
      <c r="A256" s="4" t="s">
        <v>430</v>
      </c>
      <c r="B256" s="5" t="s">
        <v>416</v>
      </c>
      <c r="C256" t="str">
        <f t="shared" si="22"/>
        <v>ddhub:MassDensityQuantity</v>
      </c>
      <c r="D256">
        <f t="shared" si="23"/>
        <v>1</v>
      </c>
      <c r="E256" t="str">
        <f t="shared" si="24"/>
        <v>ddhub:GramPerCubicMetre</v>
      </c>
      <c r="F256" t="s">
        <v>1483</v>
      </c>
      <c r="G256" t="s">
        <v>31</v>
      </c>
      <c r="H256" t="s">
        <v>1471</v>
      </c>
      <c r="J256" t="str">
        <f t="shared" si="26"/>
        <v>ddhub:MassDensityQuantity</v>
      </c>
      <c r="K256">
        <f t="shared" si="27"/>
        <v>1</v>
      </c>
      <c r="L256" t="str">
        <f t="shared" si="25"/>
        <v>.</v>
      </c>
    </row>
    <row r="257" spans="1:12">
      <c r="A257" s="4" t="s">
        <v>431</v>
      </c>
      <c r="B257" s="5" t="s">
        <v>416</v>
      </c>
      <c r="C257" t="str">
        <f t="shared" si="22"/>
        <v>ddhub:MassGradientPerLengthQuantity</v>
      </c>
      <c r="D257">
        <f t="shared" si="23"/>
        <v>0</v>
      </c>
      <c r="E257" t="str">
        <f t="shared" si="24"/>
        <v>ddhub:GramPerMetre</v>
      </c>
      <c r="F257" t="s">
        <v>1484</v>
      </c>
      <c r="G257" t="s">
        <v>120</v>
      </c>
      <c r="H257" t="s">
        <v>1485</v>
      </c>
      <c r="J257" t="str">
        <f t="shared" si="26"/>
        <v>ddhub:MassGradientPerLengthQuantity</v>
      </c>
      <c r="K257">
        <f t="shared" si="27"/>
        <v>0</v>
      </c>
      <c r="L257" t="str">
        <f t="shared" si="25"/>
        <v>.</v>
      </c>
    </row>
    <row r="258" spans="1:12">
      <c r="A258" s="4" t="s">
        <v>433</v>
      </c>
      <c r="B258" s="8" t="s">
        <v>176</v>
      </c>
      <c r="C258" t="str">
        <f t="shared" si="22"/>
        <v>ddhub:AccelerationQuantity</v>
      </c>
      <c r="D258">
        <f t="shared" si="23"/>
        <v>1</v>
      </c>
      <c r="E258" t="str">
        <f t="shared" si="24"/>
        <v>ddhub:GravityStandard</v>
      </c>
      <c r="F258" t="s">
        <v>1486</v>
      </c>
      <c r="G258" t="s">
        <v>11</v>
      </c>
      <c r="H258" t="s">
        <v>1487</v>
      </c>
      <c r="J258" t="str">
        <f t="shared" si="26"/>
        <v>ddhub:AccelerationQuantity</v>
      </c>
      <c r="K258">
        <f t="shared" si="27"/>
        <v>1</v>
      </c>
      <c r="L258" t="str">
        <f t="shared" si="25"/>
        <v>.</v>
      </c>
    </row>
    <row r="259" spans="1:12">
      <c r="A259" s="4" t="s">
        <v>434</v>
      </c>
      <c r="B259" s="5" t="s">
        <v>9</v>
      </c>
      <c r="C259" t="str">
        <f t="shared" ref="C259:C322" si="28">VLOOKUP(A259,E$2:J$838,6)</f>
        <v>ddhub:LengthQuantity</v>
      </c>
      <c r="D259">
        <f t="shared" ref="D259:D322" si="29">IF(B259=C259,1,0)</f>
        <v>1</v>
      </c>
      <c r="E259" t="str">
        <f t="shared" ref="E259:E322" si="30">"ddhub:"&amp;F259</f>
        <v>ddhub:Hand</v>
      </c>
      <c r="F259" t="s">
        <v>1488</v>
      </c>
      <c r="G259" t="s">
        <v>10</v>
      </c>
      <c r="H259" t="s">
        <v>1489</v>
      </c>
      <c r="J259" t="str">
        <f t="shared" si="26"/>
        <v>ddhub:LengthQuantity</v>
      </c>
      <c r="K259">
        <f t="shared" si="27"/>
        <v>1</v>
      </c>
      <c r="L259" t="str">
        <f t="shared" ref="L259:L322" si="31">IF(D259=K259,".","?")</f>
        <v>.</v>
      </c>
    </row>
    <row r="260" spans="1:12">
      <c r="A260" s="4" t="s">
        <v>435</v>
      </c>
      <c r="B260" s="8" t="s">
        <v>17</v>
      </c>
      <c r="C260" t="str">
        <f t="shared" si="28"/>
        <v>ddhub:AreaQuantity</v>
      </c>
      <c r="D260">
        <f t="shared" si="29"/>
        <v>1</v>
      </c>
      <c r="E260" t="str">
        <f t="shared" si="30"/>
        <v>ddhub:Hectare</v>
      </c>
      <c r="F260" t="s">
        <v>1490</v>
      </c>
      <c r="G260" t="s">
        <v>18</v>
      </c>
      <c r="H260" t="s">
        <v>1491</v>
      </c>
      <c r="J260" t="str">
        <f t="shared" si="26"/>
        <v>ddhub:AreaQuantity</v>
      </c>
      <c r="K260">
        <f t="shared" si="27"/>
        <v>1</v>
      </c>
      <c r="L260" t="str">
        <f t="shared" si="31"/>
        <v>.</v>
      </c>
    </row>
    <row r="261" spans="1:12">
      <c r="A261" s="4" t="s">
        <v>436</v>
      </c>
      <c r="B261" s="8" t="s">
        <v>34</v>
      </c>
      <c r="C261" t="str">
        <f t="shared" si="28"/>
        <v>ddhub:MassQuantity</v>
      </c>
      <c r="D261">
        <f t="shared" si="29"/>
        <v>1</v>
      </c>
      <c r="E261" t="str">
        <f t="shared" si="30"/>
        <v>ddhub:Hectogram</v>
      </c>
      <c r="F261" t="s">
        <v>1492</v>
      </c>
      <c r="G261" t="s">
        <v>35</v>
      </c>
      <c r="H261" t="s">
        <v>1493</v>
      </c>
      <c r="J261" t="str">
        <f t="shared" si="26"/>
        <v>ddhub:MassQuantity</v>
      </c>
      <c r="K261">
        <f t="shared" si="27"/>
        <v>1</v>
      </c>
      <c r="L261" t="str">
        <f t="shared" si="31"/>
        <v>.</v>
      </c>
    </row>
    <row r="262" spans="1:12">
      <c r="A262" s="4" t="s">
        <v>437</v>
      </c>
      <c r="B262" s="5" t="s">
        <v>9</v>
      </c>
      <c r="C262" t="str">
        <f t="shared" si="28"/>
        <v>ddhub:LengthQuantity</v>
      </c>
      <c r="D262">
        <f t="shared" si="29"/>
        <v>1</v>
      </c>
      <c r="E262" t="str">
        <f t="shared" si="30"/>
        <v>ddhub:Hectometre</v>
      </c>
      <c r="F262" t="s">
        <v>1494</v>
      </c>
      <c r="G262" t="s">
        <v>10</v>
      </c>
      <c r="H262" t="s">
        <v>1495</v>
      </c>
      <c r="J262" t="str">
        <f t="shared" si="26"/>
        <v>ddhub:LengthQuantity</v>
      </c>
      <c r="K262">
        <f t="shared" si="27"/>
        <v>1</v>
      </c>
      <c r="L262" t="str">
        <f t="shared" si="31"/>
        <v>.</v>
      </c>
    </row>
    <row r="263" spans="1:12">
      <c r="A263" s="4" t="s">
        <v>438</v>
      </c>
      <c r="B263" s="8" t="s">
        <v>38</v>
      </c>
      <c r="C263" t="str">
        <f t="shared" si="28"/>
        <v>ddhub:PowerQuantity</v>
      </c>
      <c r="D263">
        <f t="shared" si="29"/>
        <v>1</v>
      </c>
      <c r="E263" t="str">
        <f t="shared" si="30"/>
        <v>ddhub:Hectowatt</v>
      </c>
      <c r="F263" t="s">
        <v>1496</v>
      </c>
      <c r="G263" t="s">
        <v>39</v>
      </c>
      <c r="H263" t="s">
        <v>1497</v>
      </c>
      <c r="J263" t="str">
        <f t="shared" si="26"/>
        <v>ddhub:PowerQuantity</v>
      </c>
      <c r="K263">
        <f t="shared" si="27"/>
        <v>1</v>
      </c>
      <c r="L263" t="str">
        <f t="shared" si="31"/>
        <v>.</v>
      </c>
    </row>
    <row r="264" spans="1:12">
      <c r="A264" s="4" t="s">
        <v>439</v>
      </c>
      <c r="B264" s="8" t="s">
        <v>71</v>
      </c>
      <c r="C264" t="str">
        <f t="shared" si="28"/>
        <v>ddhub:LuminousIntensityQuantity</v>
      </c>
      <c r="D264">
        <f t="shared" si="29"/>
        <v>1</v>
      </c>
      <c r="E264" t="str">
        <f t="shared" si="30"/>
        <v>ddhub:Hefnerkerze</v>
      </c>
      <c r="F264" t="s">
        <v>1498</v>
      </c>
      <c r="G264" t="s">
        <v>72</v>
      </c>
      <c r="H264" t="s">
        <v>1499</v>
      </c>
      <c r="J264" t="str">
        <f t="shared" si="26"/>
        <v>ddhub:LuminousIntensityQuantity</v>
      </c>
      <c r="K264">
        <f t="shared" si="27"/>
        <v>1</v>
      </c>
      <c r="L264" t="str">
        <f t="shared" si="31"/>
        <v>.</v>
      </c>
    </row>
    <row r="265" spans="1:12">
      <c r="A265" s="4" t="s">
        <v>440</v>
      </c>
      <c r="B265" s="5" t="s">
        <v>384</v>
      </c>
      <c r="C265" t="str">
        <f t="shared" si="28"/>
        <v>ddhub:FrequencyQuantity</v>
      </c>
      <c r="D265">
        <f t="shared" si="29"/>
        <v>1</v>
      </c>
      <c r="E265" t="str">
        <f t="shared" si="30"/>
        <v>ddhub:Hertz</v>
      </c>
      <c r="F265" t="s">
        <v>1500</v>
      </c>
      <c r="G265" t="s">
        <v>77</v>
      </c>
      <c r="H265" t="s">
        <v>1501</v>
      </c>
      <c r="J265" t="str">
        <f t="shared" si="26"/>
        <v>ddhub:FrequencyQuantity</v>
      </c>
      <c r="K265">
        <f t="shared" si="27"/>
        <v>1</v>
      </c>
      <c r="L265" t="str">
        <f t="shared" si="31"/>
        <v>.</v>
      </c>
    </row>
    <row r="266" spans="1:12">
      <c r="A266" s="4" t="s">
        <v>442</v>
      </c>
      <c r="B266" s="5" t="s">
        <v>384</v>
      </c>
      <c r="C266" t="str">
        <f t="shared" si="28"/>
        <v>ddhub:FrequencyRateOfChangeQuantity</v>
      </c>
      <c r="D266">
        <f t="shared" si="29"/>
        <v>0</v>
      </c>
      <c r="E266" t="str">
        <f t="shared" si="30"/>
        <v>ddhub:HertzPerDay</v>
      </c>
      <c r="F266" t="s">
        <v>1502</v>
      </c>
      <c r="G266" t="s">
        <v>81</v>
      </c>
      <c r="H266" t="s">
        <v>1441</v>
      </c>
      <c r="J266" t="str">
        <f t="shared" si="26"/>
        <v>ddhub:FrequencyRateOfChangeQuantity</v>
      </c>
      <c r="K266">
        <f t="shared" si="27"/>
        <v>0</v>
      </c>
      <c r="L266" t="str">
        <f t="shared" si="31"/>
        <v>.</v>
      </c>
    </row>
    <row r="267" spans="1:12">
      <c r="A267" s="4" t="s">
        <v>443</v>
      </c>
      <c r="B267" s="5" t="s">
        <v>384</v>
      </c>
      <c r="C267" t="str">
        <f t="shared" si="28"/>
        <v>ddhub:FrequencyRateOfChangeQuantity</v>
      </c>
      <c r="D267">
        <f t="shared" si="29"/>
        <v>0</v>
      </c>
      <c r="E267" t="str">
        <f t="shared" si="30"/>
        <v>ddhub:HertzPerHour</v>
      </c>
      <c r="F267" t="s">
        <v>1503</v>
      </c>
      <c r="G267" t="s">
        <v>81</v>
      </c>
      <c r="H267" t="s">
        <v>1441</v>
      </c>
      <c r="J267" t="str">
        <f t="shared" si="26"/>
        <v>ddhub:FrequencyRateOfChangeQuantity</v>
      </c>
      <c r="K267">
        <f t="shared" si="27"/>
        <v>0</v>
      </c>
      <c r="L267" t="str">
        <f t="shared" si="31"/>
        <v>.</v>
      </c>
    </row>
    <row r="268" spans="1:12">
      <c r="A268" s="4" t="s">
        <v>444</v>
      </c>
      <c r="B268" s="5" t="s">
        <v>384</v>
      </c>
      <c r="C268" t="str">
        <f t="shared" si="28"/>
        <v>ddhub:FrequencyRateOfChangeQuantity</v>
      </c>
      <c r="D268">
        <f t="shared" si="29"/>
        <v>0</v>
      </c>
      <c r="E268" t="str">
        <f t="shared" si="30"/>
        <v>ddhub:HertzPerMinute</v>
      </c>
      <c r="F268" t="s">
        <v>1504</v>
      </c>
      <c r="G268" t="s">
        <v>81</v>
      </c>
      <c r="H268" t="s">
        <v>1441</v>
      </c>
      <c r="J268" t="str">
        <f t="shared" si="26"/>
        <v>ddhub:FrequencyRateOfChangeQuantity</v>
      </c>
      <c r="K268">
        <f t="shared" si="27"/>
        <v>0</v>
      </c>
      <c r="L268" t="str">
        <f t="shared" si="31"/>
        <v>.</v>
      </c>
    </row>
    <row r="269" spans="1:12">
      <c r="A269" s="4" t="s">
        <v>445</v>
      </c>
      <c r="B269" s="5" t="s">
        <v>384</v>
      </c>
      <c r="C269" t="str">
        <f t="shared" si="28"/>
        <v>ddhub:FrequencyRateOfChangeQuantity</v>
      </c>
      <c r="D269">
        <f t="shared" si="29"/>
        <v>0</v>
      </c>
      <c r="E269" t="str">
        <f t="shared" si="30"/>
        <v>ddhub:HertzPerSecond</v>
      </c>
      <c r="F269" t="s">
        <v>1505</v>
      </c>
      <c r="G269" t="s">
        <v>81</v>
      </c>
      <c r="H269" t="s">
        <v>1441</v>
      </c>
      <c r="J269" t="str">
        <f t="shared" si="26"/>
        <v>ddhub:FrequencyRateOfChangeQuantity</v>
      </c>
      <c r="K269">
        <f t="shared" si="27"/>
        <v>0</v>
      </c>
      <c r="L269" t="str">
        <f t="shared" si="31"/>
        <v>.</v>
      </c>
    </row>
    <row r="270" spans="1:12">
      <c r="A270" s="4" t="s">
        <v>447</v>
      </c>
      <c r="B270" s="5" t="s">
        <v>384</v>
      </c>
      <c r="C270" t="str">
        <f t="shared" si="28"/>
        <v>ddhub:FrequencyRateOfChangeQuantity</v>
      </c>
      <c r="D270">
        <f t="shared" si="29"/>
        <v>0</v>
      </c>
      <c r="E270" t="str">
        <f t="shared" si="30"/>
        <v>ddhub:HertzPerYear</v>
      </c>
      <c r="F270" t="s">
        <v>1506</v>
      </c>
      <c r="G270" t="s">
        <v>81</v>
      </c>
      <c r="H270" t="s">
        <v>1441</v>
      </c>
      <c r="J270" t="str">
        <f t="shared" si="26"/>
        <v>ddhub:FrequencyRateOfChangeQuantity</v>
      </c>
      <c r="K270">
        <f t="shared" si="27"/>
        <v>0</v>
      </c>
      <c r="L270" t="str">
        <f t="shared" si="31"/>
        <v>.</v>
      </c>
    </row>
    <row r="271" spans="1:12">
      <c r="A271" s="4" t="s">
        <v>448</v>
      </c>
      <c r="B271" s="8" t="s">
        <v>201</v>
      </c>
      <c r="C271" t="str">
        <f t="shared" si="28"/>
        <v>ddhub:TimeQuantity</v>
      </c>
      <c r="D271">
        <f t="shared" si="29"/>
        <v>1</v>
      </c>
      <c r="E271" t="str">
        <f t="shared" si="30"/>
        <v>ddhub:Hour</v>
      </c>
      <c r="F271" t="s">
        <v>1507</v>
      </c>
      <c r="G271" t="s">
        <v>162</v>
      </c>
      <c r="H271" t="s">
        <v>1508</v>
      </c>
      <c r="J271" t="str">
        <f t="shared" si="26"/>
        <v>ddhub:TimeQuantity</v>
      </c>
      <c r="K271">
        <f t="shared" si="27"/>
        <v>1</v>
      </c>
      <c r="L271" t="str">
        <f t="shared" si="31"/>
        <v>.</v>
      </c>
    </row>
    <row r="272" spans="1:12">
      <c r="A272" s="4" t="s">
        <v>450</v>
      </c>
      <c r="B272" s="8" t="s">
        <v>34</v>
      </c>
      <c r="C272" t="str">
        <f t="shared" si="28"/>
        <v>ddhub:MassQuantity</v>
      </c>
      <c r="D272">
        <f t="shared" si="29"/>
        <v>1</v>
      </c>
      <c r="E272" t="str">
        <f t="shared" si="30"/>
        <v>ddhub:HundredWeights</v>
      </c>
      <c r="F272" t="s">
        <v>1509</v>
      </c>
      <c r="G272" t="s">
        <v>35</v>
      </c>
      <c r="H272" t="s">
        <v>1510</v>
      </c>
      <c r="J272" t="str">
        <f t="shared" si="26"/>
        <v>ddhub:MassQuantity</v>
      </c>
      <c r="K272">
        <f t="shared" si="27"/>
        <v>1</v>
      </c>
      <c r="L272" t="str">
        <f t="shared" si="31"/>
        <v>.</v>
      </c>
    </row>
    <row r="273" spans="1:12">
      <c r="A273" s="4" t="s">
        <v>451</v>
      </c>
      <c r="B273" s="5" t="s">
        <v>9</v>
      </c>
      <c r="C273" t="str">
        <f t="shared" si="28"/>
        <v>ddhub:LengthQuantity</v>
      </c>
      <c r="D273">
        <f t="shared" si="29"/>
        <v>1</v>
      </c>
      <c r="E273" t="str">
        <f t="shared" si="30"/>
        <v>ddhub:Inch</v>
      </c>
      <c r="F273" t="s">
        <v>1511</v>
      </c>
      <c r="G273" t="s">
        <v>10</v>
      </c>
      <c r="H273" t="s">
        <v>1512</v>
      </c>
      <c r="J273" t="str">
        <f t="shared" si="26"/>
        <v>ddhub:LengthQuantity</v>
      </c>
      <c r="K273">
        <f t="shared" si="27"/>
        <v>1</v>
      </c>
      <c r="L273" t="str">
        <f t="shared" si="31"/>
        <v>.</v>
      </c>
    </row>
    <row r="274" spans="1:12">
      <c r="A274" s="4" t="s">
        <v>452</v>
      </c>
      <c r="B274" s="5" t="s">
        <v>170</v>
      </c>
      <c r="C274" t="str">
        <f t="shared" si="28"/>
        <v>ddhub:PressureQuantity</v>
      </c>
      <c r="D274">
        <f t="shared" si="29"/>
        <v>1</v>
      </c>
      <c r="E274" t="str">
        <f t="shared" si="30"/>
        <v>ddhub:InchMercuryAt32DegreeFahrenheit</v>
      </c>
      <c r="F274" t="s">
        <v>1513</v>
      </c>
      <c r="G274" t="s">
        <v>43</v>
      </c>
      <c r="H274" t="s">
        <v>1216</v>
      </c>
      <c r="J274" t="str">
        <f t="shared" si="26"/>
        <v>ddhub:PressureQuantity</v>
      </c>
      <c r="K274">
        <f t="shared" si="27"/>
        <v>1</v>
      </c>
      <c r="L274" t="str">
        <f t="shared" si="31"/>
        <v>.</v>
      </c>
    </row>
    <row r="275" spans="1:12">
      <c r="A275" s="4" t="s">
        <v>453</v>
      </c>
      <c r="B275" s="5" t="s">
        <v>170</v>
      </c>
      <c r="C275" t="str">
        <f t="shared" si="28"/>
        <v>ddhub:PressureQuantity</v>
      </c>
      <c r="D275">
        <f t="shared" si="29"/>
        <v>1</v>
      </c>
      <c r="E275" t="str">
        <f t="shared" si="30"/>
        <v>ddhub:InchMercuryAt60DegreeFahrenheit</v>
      </c>
      <c r="F275" t="s">
        <v>1514</v>
      </c>
      <c r="G275" t="s">
        <v>43</v>
      </c>
      <c r="H275" t="s">
        <v>1216</v>
      </c>
      <c r="J275" t="str">
        <f t="shared" si="26"/>
        <v>ddhub:PressureQuantity</v>
      </c>
      <c r="K275">
        <f t="shared" si="27"/>
        <v>1</v>
      </c>
      <c r="L275" t="str">
        <f t="shared" si="31"/>
        <v>.</v>
      </c>
    </row>
    <row r="276" spans="1:12">
      <c r="A276" s="4" t="s">
        <v>454</v>
      </c>
      <c r="B276" s="5" t="s">
        <v>9</v>
      </c>
      <c r="C276" t="str">
        <f t="shared" si="28"/>
        <v>zzz:TBD</v>
      </c>
      <c r="D276">
        <f t="shared" si="29"/>
        <v>0</v>
      </c>
      <c r="E276" t="str">
        <f t="shared" si="30"/>
        <v>ddhub:InchPer32</v>
      </c>
      <c r="F276" t="s">
        <v>1515</v>
      </c>
      <c r="G276" t="s">
        <v>1153</v>
      </c>
      <c r="H276" t="s">
        <v>1516</v>
      </c>
      <c r="J276" s="8" t="s">
        <v>334</v>
      </c>
      <c r="K276">
        <f t="shared" si="27"/>
        <v>0</v>
      </c>
      <c r="L276" t="str">
        <f t="shared" si="31"/>
        <v>.</v>
      </c>
    </row>
    <row r="277" spans="1:12">
      <c r="A277" s="4" t="s">
        <v>455</v>
      </c>
      <c r="B277" s="5" t="s">
        <v>172</v>
      </c>
      <c r="C277" t="str">
        <f t="shared" si="28"/>
        <v>ddhub:VelocityQuantity</v>
      </c>
      <c r="D277">
        <f t="shared" si="29"/>
        <v>1</v>
      </c>
      <c r="E277" t="str">
        <f t="shared" si="30"/>
        <v>ddhub:InchPerDay</v>
      </c>
      <c r="F277" t="s">
        <v>1517</v>
      </c>
      <c r="G277" t="s">
        <v>68</v>
      </c>
      <c r="H277" t="s">
        <v>1218</v>
      </c>
      <c r="J277" t="str">
        <f t="shared" si="26"/>
        <v>ddhub:VelocityQuantity</v>
      </c>
      <c r="K277">
        <f t="shared" si="27"/>
        <v>1</v>
      </c>
      <c r="L277" t="str">
        <f t="shared" si="31"/>
        <v>.</v>
      </c>
    </row>
    <row r="278" spans="1:12">
      <c r="A278" s="4" t="s">
        <v>456</v>
      </c>
      <c r="B278" s="5" t="s">
        <v>172</v>
      </c>
      <c r="C278" t="str">
        <f t="shared" si="28"/>
        <v>ddhub:DimensionlessQuantity</v>
      </c>
      <c r="D278">
        <f t="shared" si="29"/>
        <v>0</v>
      </c>
      <c r="E278" t="str">
        <f t="shared" si="30"/>
        <v>ddhub:InchPerFoot</v>
      </c>
      <c r="F278" t="s">
        <v>1518</v>
      </c>
      <c r="G278" t="s">
        <v>44</v>
      </c>
      <c r="H278" t="s">
        <v>1223</v>
      </c>
      <c r="J278" t="str">
        <f t="shared" si="26"/>
        <v>ddhub:DimensionlessQuantity</v>
      </c>
      <c r="K278">
        <f t="shared" si="27"/>
        <v>0</v>
      </c>
      <c r="L278" t="str">
        <f t="shared" si="31"/>
        <v>.</v>
      </c>
    </row>
    <row r="279" spans="1:12">
      <c r="A279" s="4" t="s">
        <v>457</v>
      </c>
      <c r="B279" s="5" t="s">
        <v>172</v>
      </c>
      <c r="C279" t="str">
        <f t="shared" si="28"/>
        <v>ddhub:VelocityQuantity</v>
      </c>
      <c r="D279">
        <f t="shared" si="29"/>
        <v>1</v>
      </c>
      <c r="E279" t="str">
        <f t="shared" si="30"/>
        <v>ddhub:InchPerHour</v>
      </c>
      <c r="F279" t="s">
        <v>1519</v>
      </c>
      <c r="G279" t="s">
        <v>68</v>
      </c>
      <c r="H279" t="s">
        <v>1218</v>
      </c>
      <c r="J279" t="str">
        <f t="shared" si="26"/>
        <v>ddhub:VelocityQuantity</v>
      </c>
      <c r="K279">
        <f t="shared" si="27"/>
        <v>1</v>
      </c>
      <c r="L279" t="str">
        <f t="shared" si="31"/>
        <v>.</v>
      </c>
    </row>
    <row r="280" spans="1:12">
      <c r="A280" s="4" t="s">
        <v>458</v>
      </c>
      <c r="B280" s="8" t="s">
        <v>176</v>
      </c>
      <c r="C280" t="str">
        <f t="shared" si="28"/>
        <v>ddhub:AccelerationQuantity</v>
      </c>
      <c r="D280">
        <f t="shared" si="29"/>
        <v>1</v>
      </c>
      <c r="E280" t="str">
        <f t="shared" si="30"/>
        <v>ddhub:InchPerHourPerSecond</v>
      </c>
      <c r="F280" t="s">
        <v>1520</v>
      </c>
      <c r="G280" t="s">
        <v>11</v>
      </c>
      <c r="H280" t="s">
        <v>1221</v>
      </c>
      <c r="J280" t="str">
        <f t="shared" si="26"/>
        <v>ddhub:AccelerationQuantity</v>
      </c>
      <c r="K280">
        <f t="shared" si="27"/>
        <v>1</v>
      </c>
      <c r="L280" t="str">
        <f t="shared" si="31"/>
        <v>.</v>
      </c>
    </row>
    <row r="281" spans="1:12">
      <c r="A281" s="4" t="s">
        <v>459</v>
      </c>
      <c r="B281" s="8" t="s">
        <v>332</v>
      </c>
      <c r="C281" t="str">
        <f t="shared" si="28"/>
        <v>ddhub:DimensionlessQuantity</v>
      </c>
      <c r="D281">
        <f t="shared" si="29"/>
        <v>1</v>
      </c>
      <c r="E281" t="str">
        <f t="shared" si="30"/>
        <v>ddhub:InchPerMile</v>
      </c>
      <c r="F281" t="s">
        <v>1521</v>
      </c>
      <c r="G281" t="s">
        <v>44</v>
      </c>
      <c r="H281" t="s">
        <v>1223</v>
      </c>
      <c r="J281" t="str">
        <f t="shared" si="26"/>
        <v>ddhub:DimensionlessQuantity</v>
      </c>
      <c r="K281">
        <f t="shared" si="27"/>
        <v>1</v>
      </c>
      <c r="L281" t="str">
        <f t="shared" si="31"/>
        <v>.</v>
      </c>
    </row>
    <row r="282" spans="1:12">
      <c r="A282" s="4" t="s">
        <v>460</v>
      </c>
      <c r="B282" s="5" t="s">
        <v>172</v>
      </c>
      <c r="C282" t="str">
        <f t="shared" si="28"/>
        <v>ddhub:VelocityQuantity</v>
      </c>
      <c r="D282">
        <f t="shared" si="29"/>
        <v>1</v>
      </c>
      <c r="E282" t="str">
        <f t="shared" si="30"/>
        <v>ddhub:InchPerMinute</v>
      </c>
      <c r="F282" t="s">
        <v>1522</v>
      </c>
      <c r="G282" t="s">
        <v>68</v>
      </c>
      <c r="H282" t="s">
        <v>1218</v>
      </c>
      <c r="J282" t="str">
        <f t="shared" si="26"/>
        <v>ddhub:VelocityQuantity</v>
      </c>
      <c r="K282">
        <f t="shared" si="27"/>
        <v>1</v>
      </c>
      <c r="L282" t="str">
        <f t="shared" si="31"/>
        <v>.</v>
      </c>
    </row>
    <row r="283" spans="1:12">
      <c r="A283" s="4" t="s">
        <v>461</v>
      </c>
      <c r="B283" s="8" t="s">
        <v>176</v>
      </c>
      <c r="C283" t="str">
        <f t="shared" si="28"/>
        <v>ddhub:AccelerationQuantity</v>
      </c>
      <c r="D283">
        <f t="shared" si="29"/>
        <v>1</v>
      </c>
      <c r="E283" t="str">
        <f t="shared" si="30"/>
        <v>ddhub:InchPerMinutePerSecond</v>
      </c>
      <c r="F283" t="s">
        <v>1523</v>
      </c>
      <c r="G283" t="s">
        <v>11</v>
      </c>
      <c r="H283" t="s">
        <v>1221</v>
      </c>
      <c r="J283" t="str">
        <f t="shared" si="26"/>
        <v>ddhub:AccelerationQuantity</v>
      </c>
      <c r="K283">
        <f t="shared" si="27"/>
        <v>1</v>
      </c>
      <c r="L283" t="str">
        <f t="shared" si="31"/>
        <v>.</v>
      </c>
    </row>
    <row r="284" spans="1:12">
      <c r="A284" s="4" t="s">
        <v>462</v>
      </c>
      <c r="B284" s="5" t="s">
        <v>172</v>
      </c>
      <c r="C284" t="str">
        <f t="shared" si="28"/>
        <v>ddhub:VelocityQuantity</v>
      </c>
      <c r="D284">
        <f t="shared" si="29"/>
        <v>1</v>
      </c>
      <c r="E284" t="str">
        <f t="shared" si="30"/>
        <v>ddhub:InchPerSecond</v>
      </c>
      <c r="F284" t="s">
        <v>1524</v>
      </c>
      <c r="G284" t="s">
        <v>68</v>
      </c>
      <c r="H284" t="s">
        <v>1218</v>
      </c>
      <c r="J284" t="str">
        <f t="shared" si="26"/>
        <v>ddhub:VelocityQuantity</v>
      </c>
      <c r="K284">
        <f t="shared" si="27"/>
        <v>1</v>
      </c>
      <c r="L284" t="str">
        <f t="shared" si="31"/>
        <v>.</v>
      </c>
    </row>
    <row r="285" spans="1:12">
      <c r="A285" s="4" t="s">
        <v>463</v>
      </c>
      <c r="B285" s="8" t="s">
        <v>176</v>
      </c>
      <c r="C285" t="str">
        <f t="shared" si="28"/>
        <v>ddhub:AccelerationQuantity</v>
      </c>
      <c r="D285">
        <f t="shared" si="29"/>
        <v>1</v>
      </c>
      <c r="E285" t="str">
        <f t="shared" si="30"/>
        <v>ddhub:InchPerSecondSquared</v>
      </c>
      <c r="F285" t="s">
        <v>1525</v>
      </c>
      <c r="G285" t="s">
        <v>11</v>
      </c>
      <c r="H285" t="s">
        <v>1229</v>
      </c>
      <c r="J285" t="str">
        <f t="shared" si="26"/>
        <v>ddhub:AccelerationQuantity</v>
      </c>
      <c r="K285">
        <f t="shared" si="27"/>
        <v>1</v>
      </c>
      <c r="L285" t="str">
        <f t="shared" si="31"/>
        <v>.</v>
      </c>
    </row>
    <row r="286" spans="1:12">
      <c r="A286" s="4" t="s">
        <v>464</v>
      </c>
      <c r="B286" s="8" t="s">
        <v>332</v>
      </c>
      <c r="C286" t="str">
        <f t="shared" si="28"/>
        <v>ddhub:DimensionlessQuantity</v>
      </c>
      <c r="D286">
        <f t="shared" si="29"/>
        <v>1</v>
      </c>
      <c r="E286" t="str">
        <f t="shared" si="30"/>
        <v>ddhub:InchPerYard</v>
      </c>
      <c r="F286" t="s">
        <v>1526</v>
      </c>
      <c r="G286" t="s">
        <v>44</v>
      </c>
      <c r="H286" t="s">
        <v>1223</v>
      </c>
      <c r="J286" t="str">
        <f t="shared" si="26"/>
        <v>ddhub:DimensionlessQuantity</v>
      </c>
      <c r="K286">
        <f t="shared" si="27"/>
        <v>1</v>
      </c>
      <c r="L286" t="str">
        <f t="shared" si="31"/>
        <v>.</v>
      </c>
    </row>
    <row r="287" spans="1:12">
      <c r="A287" s="4" t="s">
        <v>465</v>
      </c>
      <c r="B287" s="8" t="s">
        <v>334</v>
      </c>
      <c r="C287" t="str">
        <f t="shared" si="28"/>
        <v>ddhub:TorqueQuantity</v>
      </c>
      <c r="D287">
        <f t="shared" si="29"/>
        <v>0</v>
      </c>
      <c r="E287" t="str">
        <f t="shared" si="30"/>
        <v>ddhub:InchPound</v>
      </c>
      <c r="F287" t="s">
        <v>1527</v>
      </c>
      <c r="G287" t="s">
        <v>94</v>
      </c>
      <c r="H287" t="s">
        <v>1528</v>
      </c>
      <c r="J287" t="str">
        <f t="shared" si="26"/>
        <v>ddhub:TorqueQuantity</v>
      </c>
      <c r="K287">
        <f t="shared" si="27"/>
        <v>0</v>
      </c>
      <c r="L287" t="str">
        <f t="shared" si="31"/>
        <v>.</v>
      </c>
    </row>
    <row r="288" spans="1:12">
      <c r="A288" s="4" t="s">
        <v>466</v>
      </c>
      <c r="B288" s="8" t="s">
        <v>334</v>
      </c>
      <c r="C288" t="str">
        <f t="shared" si="28"/>
        <v>ddhub:TorqueGradientPerLengthQuantity</v>
      </c>
      <c r="D288">
        <f t="shared" si="29"/>
        <v>0</v>
      </c>
      <c r="E288" t="str">
        <f t="shared" si="30"/>
        <v>ddhub:InchPoundPerCentimetre</v>
      </c>
      <c r="F288" t="s">
        <v>1529</v>
      </c>
      <c r="G288" t="s">
        <v>164</v>
      </c>
      <c r="H288" t="s">
        <v>1281</v>
      </c>
      <c r="J288" t="str">
        <f t="shared" si="26"/>
        <v>ddhub:TorqueGradientPerLengthQuantity</v>
      </c>
      <c r="K288">
        <f t="shared" si="27"/>
        <v>0</v>
      </c>
      <c r="L288" t="str">
        <f t="shared" si="31"/>
        <v>.</v>
      </c>
    </row>
    <row r="289" spans="1:12">
      <c r="A289" s="4" t="s">
        <v>467</v>
      </c>
      <c r="B289" s="8" t="s">
        <v>334</v>
      </c>
      <c r="C289" t="str">
        <f t="shared" si="28"/>
        <v>ddhub:TorqueGradientPerLengthQuantity</v>
      </c>
      <c r="D289">
        <f t="shared" si="29"/>
        <v>0</v>
      </c>
      <c r="E289" t="str">
        <f t="shared" si="30"/>
        <v>ddhub:InchPoundPerDecimetre</v>
      </c>
      <c r="F289" t="s">
        <v>1530</v>
      </c>
      <c r="G289" t="s">
        <v>164</v>
      </c>
      <c r="H289" t="s">
        <v>1281</v>
      </c>
      <c r="J289" t="str">
        <f t="shared" si="26"/>
        <v>ddhub:TorqueGradientPerLengthQuantity</v>
      </c>
      <c r="K289">
        <f t="shared" si="27"/>
        <v>0</v>
      </c>
      <c r="L289" t="str">
        <f t="shared" si="31"/>
        <v>.</v>
      </c>
    </row>
    <row r="290" spans="1:12">
      <c r="A290" s="4" t="s">
        <v>468</v>
      </c>
      <c r="B290" s="8" t="s">
        <v>334</v>
      </c>
      <c r="C290" t="str">
        <f t="shared" si="28"/>
        <v>ddhub:TorqueGradientPerLengthQuantity</v>
      </c>
      <c r="D290">
        <f t="shared" si="29"/>
        <v>0</v>
      </c>
      <c r="E290" t="str">
        <f t="shared" si="30"/>
        <v>ddhub:InchPoundPerFoot</v>
      </c>
      <c r="F290" t="s">
        <v>1531</v>
      </c>
      <c r="G290" t="s">
        <v>164</v>
      </c>
      <c r="H290" t="s">
        <v>1281</v>
      </c>
      <c r="J290" t="str">
        <f t="shared" si="26"/>
        <v>ddhub:TorqueGradientPerLengthQuantity</v>
      </c>
      <c r="K290">
        <f t="shared" si="27"/>
        <v>0</v>
      </c>
      <c r="L290" t="str">
        <f t="shared" si="31"/>
        <v>.</v>
      </c>
    </row>
    <row r="291" spans="1:12">
      <c r="A291" s="4" t="s">
        <v>469</v>
      </c>
      <c r="B291" s="8" t="s">
        <v>334</v>
      </c>
      <c r="C291" t="str">
        <f t="shared" si="28"/>
        <v>ddhub:TorqueGradientPerLengthQuantity</v>
      </c>
      <c r="D291">
        <f t="shared" si="29"/>
        <v>0</v>
      </c>
      <c r="E291" t="str">
        <f t="shared" si="30"/>
        <v>ddhub:InchPoundPerInch</v>
      </c>
      <c r="F291" t="s">
        <v>1532</v>
      </c>
      <c r="G291" t="s">
        <v>164</v>
      </c>
      <c r="H291" t="s">
        <v>1281</v>
      </c>
      <c r="J291" t="str">
        <f t="shared" si="26"/>
        <v>ddhub:TorqueGradientPerLengthQuantity</v>
      </c>
      <c r="K291">
        <f t="shared" si="27"/>
        <v>0</v>
      </c>
      <c r="L291" t="str">
        <f t="shared" si="31"/>
        <v>.</v>
      </c>
    </row>
    <row r="292" spans="1:12">
      <c r="A292" s="4" t="s">
        <v>470</v>
      </c>
      <c r="B292" s="8" t="s">
        <v>334</v>
      </c>
      <c r="C292" t="str">
        <f t="shared" si="28"/>
        <v>ddhub:TorqueGradientPerLengthQuantity</v>
      </c>
      <c r="D292">
        <f t="shared" si="29"/>
        <v>0</v>
      </c>
      <c r="E292" t="str">
        <f t="shared" si="30"/>
        <v>ddhub:InchPoundPerMetre</v>
      </c>
      <c r="F292" t="s">
        <v>1533</v>
      </c>
      <c r="G292" t="s">
        <v>164</v>
      </c>
      <c r="H292" t="s">
        <v>1281</v>
      </c>
      <c r="J292" t="str">
        <f t="shared" si="26"/>
        <v>ddhub:TorqueGradientPerLengthQuantity</v>
      </c>
      <c r="K292">
        <f t="shared" si="27"/>
        <v>0</v>
      </c>
      <c r="L292" t="str">
        <f t="shared" si="31"/>
        <v>.</v>
      </c>
    </row>
    <row r="293" spans="1:12">
      <c r="A293" s="4" t="s">
        <v>471</v>
      </c>
      <c r="B293" s="8" t="s">
        <v>334</v>
      </c>
      <c r="C293" t="str">
        <f t="shared" si="28"/>
        <v>ddhub:TorqueGradientPerLengthQuantity</v>
      </c>
      <c r="D293">
        <f t="shared" si="29"/>
        <v>0</v>
      </c>
      <c r="E293" t="str">
        <f t="shared" si="30"/>
        <v>ddhub:InchPoundPerMillimetre</v>
      </c>
      <c r="F293" t="s">
        <v>1534</v>
      </c>
      <c r="G293" t="s">
        <v>164</v>
      </c>
      <c r="H293" t="s">
        <v>1281</v>
      </c>
      <c r="J293" t="str">
        <f t="shared" si="26"/>
        <v>ddhub:TorqueGradientPerLengthQuantity</v>
      </c>
      <c r="K293">
        <f t="shared" si="27"/>
        <v>0</v>
      </c>
      <c r="L293" t="str">
        <f t="shared" si="31"/>
        <v>.</v>
      </c>
    </row>
    <row r="294" spans="1:12">
      <c r="A294" s="4" t="s">
        <v>472</v>
      </c>
      <c r="B294" s="5" t="s">
        <v>170</v>
      </c>
      <c r="C294" t="str">
        <f t="shared" si="28"/>
        <v>ddhub:PressureQuantity</v>
      </c>
      <c r="D294">
        <f t="shared" si="29"/>
        <v>1</v>
      </c>
      <c r="E294" t="str">
        <f t="shared" si="30"/>
        <v>ddhub:InchWaterAt4DegreeCelsius</v>
      </c>
      <c r="F294" t="s">
        <v>1535</v>
      </c>
      <c r="G294" t="s">
        <v>43</v>
      </c>
      <c r="H294" t="s">
        <v>1231</v>
      </c>
      <c r="J294" t="str">
        <f t="shared" si="26"/>
        <v>ddhub:PressureQuantity</v>
      </c>
      <c r="K294">
        <f t="shared" si="27"/>
        <v>1</v>
      </c>
      <c r="L294" t="str">
        <f t="shared" si="31"/>
        <v>.</v>
      </c>
    </row>
    <row r="295" spans="1:12">
      <c r="A295" s="4" t="s">
        <v>473</v>
      </c>
      <c r="B295" s="8" t="s">
        <v>71</v>
      </c>
      <c r="C295" t="str">
        <f t="shared" si="28"/>
        <v>ddhub:LuminousIntensityQuantity</v>
      </c>
      <c r="D295">
        <f t="shared" si="29"/>
        <v>1</v>
      </c>
      <c r="E295" t="str">
        <f t="shared" si="30"/>
        <v>ddhub:InternationalCandle</v>
      </c>
      <c r="F295" t="s">
        <v>1536</v>
      </c>
      <c r="G295" t="s">
        <v>72</v>
      </c>
      <c r="H295" t="s">
        <v>1537</v>
      </c>
      <c r="J295" t="str">
        <f t="shared" si="26"/>
        <v>ddhub:LuminousIntensityQuantity</v>
      </c>
      <c r="K295">
        <f t="shared" si="27"/>
        <v>1</v>
      </c>
      <c r="L295" t="str">
        <f t="shared" si="31"/>
        <v>.</v>
      </c>
    </row>
    <row r="296" spans="1:12">
      <c r="A296" s="4" t="s">
        <v>474</v>
      </c>
      <c r="B296" s="8" t="s">
        <v>9</v>
      </c>
      <c r="C296" t="str">
        <f t="shared" si="28"/>
        <v>ddhub:LengthQuantity</v>
      </c>
      <c r="D296">
        <f t="shared" si="29"/>
        <v>1</v>
      </c>
      <c r="E296" t="str">
        <f t="shared" si="30"/>
        <v>ddhub:InternationalNauticalMile</v>
      </c>
      <c r="F296" t="s">
        <v>1538</v>
      </c>
      <c r="G296" t="s">
        <v>10</v>
      </c>
      <c r="H296" t="s">
        <v>1539</v>
      </c>
      <c r="J296" t="str">
        <f t="shared" si="26"/>
        <v>ddhub:LengthQuantity</v>
      </c>
      <c r="K296">
        <f t="shared" si="27"/>
        <v>1</v>
      </c>
      <c r="L296" t="str">
        <f t="shared" si="31"/>
        <v>.</v>
      </c>
    </row>
    <row r="297" spans="1:12">
      <c r="A297" s="4" t="s">
        <v>475</v>
      </c>
      <c r="B297" s="8" t="s">
        <v>170</v>
      </c>
      <c r="C297" t="str">
        <f t="shared" si="28"/>
        <v>ddhub:CompressibilityQuantity</v>
      </c>
      <c r="D297">
        <f t="shared" si="29"/>
        <v>0</v>
      </c>
      <c r="E297" t="str">
        <f t="shared" si="30"/>
        <v>ddhub:InverseAtmosphere</v>
      </c>
      <c r="F297" t="s">
        <v>1540</v>
      </c>
      <c r="G297" t="s">
        <v>36</v>
      </c>
      <c r="H297" t="s">
        <v>1541</v>
      </c>
      <c r="J297" t="str">
        <f t="shared" si="26"/>
        <v>ddhub:CompressibilityQuantity</v>
      </c>
      <c r="K297">
        <f t="shared" si="27"/>
        <v>0</v>
      </c>
      <c r="L297" t="str">
        <f t="shared" si="31"/>
        <v>.</v>
      </c>
    </row>
    <row r="298" spans="1:12">
      <c r="A298" s="4" t="s">
        <v>477</v>
      </c>
      <c r="B298" s="8" t="s">
        <v>170</v>
      </c>
      <c r="C298" t="str">
        <f t="shared" si="28"/>
        <v>ddhub:CompressibilityQuantity</v>
      </c>
      <c r="D298">
        <f t="shared" si="29"/>
        <v>0</v>
      </c>
      <c r="E298" t="str">
        <f t="shared" si="30"/>
        <v>ddhub:InverseBar</v>
      </c>
      <c r="F298" t="s">
        <v>1542</v>
      </c>
      <c r="G298" t="s">
        <v>36</v>
      </c>
      <c r="H298" t="s">
        <v>1541</v>
      </c>
      <c r="J298" t="str">
        <f t="shared" si="26"/>
        <v>ddhub:CompressibilityQuantity</v>
      </c>
      <c r="K298">
        <f t="shared" si="27"/>
        <v>0</v>
      </c>
      <c r="L298" t="str">
        <f t="shared" si="31"/>
        <v>.</v>
      </c>
    </row>
    <row r="299" spans="1:12">
      <c r="A299" s="4" t="s">
        <v>478</v>
      </c>
      <c r="B299" s="8" t="s">
        <v>170</v>
      </c>
      <c r="C299" t="str">
        <f t="shared" si="28"/>
        <v>ddhub:CompressibilityQuantity</v>
      </c>
      <c r="D299">
        <f t="shared" si="29"/>
        <v>0</v>
      </c>
      <c r="E299" t="str">
        <f t="shared" si="30"/>
        <v>ddhub:InversePascal</v>
      </c>
      <c r="F299" t="s">
        <v>1543</v>
      </c>
      <c r="G299" t="s">
        <v>36</v>
      </c>
      <c r="H299" t="s">
        <v>1541</v>
      </c>
      <c r="J299" t="str">
        <f t="shared" si="26"/>
        <v>ddhub:CompressibilityQuantity</v>
      </c>
      <c r="K299">
        <f t="shared" si="27"/>
        <v>0</v>
      </c>
      <c r="L299" t="str">
        <f t="shared" si="31"/>
        <v>.</v>
      </c>
    </row>
    <row r="300" spans="1:12">
      <c r="A300" s="4" t="s">
        <v>479</v>
      </c>
      <c r="B300" s="8" t="s">
        <v>170</v>
      </c>
      <c r="C300" t="str">
        <f t="shared" si="28"/>
        <v>zzz:TBD</v>
      </c>
      <c r="D300">
        <f t="shared" si="29"/>
        <v>0</v>
      </c>
      <c r="E300" t="str">
        <f t="shared" si="30"/>
        <v>ddhub:InversePoundPerSquareInch</v>
      </c>
      <c r="F300" t="s">
        <v>1544</v>
      </c>
      <c r="G300" t="s">
        <v>1153</v>
      </c>
      <c r="H300" t="s">
        <v>1545</v>
      </c>
      <c r="J300" s="8" t="s">
        <v>334</v>
      </c>
      <c r="K300">
        <f t="shared" si="27"/>
        <v>0</v>
      </c>
      <c r="L300" t="str">
        <f t="shared" si="31"/>
        <v>.</v>
      </c>
    </row>
    <row r="301" spans="1:12">
      <c r="A301" s="4" t="s">
        <v>480</v>
      </c>
      <c r="B301" s="8" t="s">
        <v>76</v>
      </c>
      <c r="C301" t="str">
        <f t="shared" si="28"/>
        <v>ddhub:EnergyQuantity</v>
      </c>
      <c r="D301">
        <f t="shared" si="29"/>
        <v>1</v>
      </c>
      <c r="E301" t="str">
        <f t="shared" si="30"/>
        <v>ddhub:Joule</v>
      </c>
      <c r="F301" t="s">
        <v>1546</v>
      </c>
      <c r="G301" t="s">
        <v>67</v>
      </c>
      <c r="H301" t="s">
        <v>1547</v>
      </c>
      <c r="J301" t="str">
        <f t="shared" si="26"/>
        <v>ddhub:EnergyQuantity</v>
      </c>
      <c r="K301">
        <f t="shared" si="27"/>
        <v>1</v>
      </c>
      <c r="L301" t="str">
        <f t="shared" si="31"/>
        <v>.</v>
      </c>
    </row>
    <row r="302" spans="1:12">
      <c r="A302" s="4" t="s">
        <v>482</v>
      </c>
      <c r="B302" s="8" t="s">
        <v>89</v>
      </c>
      <c r="C302" t="str">
        <f t="shared" si="28"/>
        <v>ddhub:EnergyDensityQuantity</v>
      </c>
      <c r="D302">
        <f t="shared" si="29"/>
        <v>1</v>
      </c>
      <c r="E302" t="str">
        <f t="shared" si="30"/>
        <v>ddhub:JoulePerCubicFoot</v>
      </c>
      <c r="F302" t="s">
        <v>1548</v>
      </c>
      <c r="G302" t="s">
        <v>64</v>
      </c>
      <c r="H302" t="s">
        <v>1164</v>
      </c>
      <c r="J302" t="str">
        <f t="shared" si="26"/>
        <v>ddhub:EnergyDensityQuantity</v>
      </c>
      <c r="K302">
        <f t="shared" si="27"/>
        <v>1</v>
      </c>
      <c r="L302" t="str">
        <f t="shared" si="31"/>
        <v>.</v>
      </c>
    </row>
    <row r="303" spans="1:12">
      <c r="A303" s="4" t="s">
        <v>483</v>
      </c>
      <c r="B303" s="8" t="s">
        <v>89</v>
      </c>
      <c r="C303" t="str">
        <f t="shared" si="28"/>
        <v>ddhub:EnergyDensityQuantity</v>
      </c>
      <c r="D303">
        <f t="shared" si="29"/>
        <v>1</v>
      </c>
      <c r="E303" t="str">
        <f t="shared" si="30"/>
        <v>ddhub:JoulePerCubicInch</v>
      </c>
      <c r="F303" t="s">
        <v>1549</v>
      </c>
      <c r="G303" t="s">
        <v>64</v>
      </c>
      <c r="H303" t="s">
        <v>1164</v>
      </c>
      <c r="J303" t="str">
        <f t="shared" si="26"/>
        <v>ddhub:EnergyDensityQuantity</v>
      </c>
      <c r="K303">
        <f t="shared" si="27"/>
        <v>1</v>
      </c>
      <c r="L303" t="str">
        <f t="shared" si="31"/>
        <v>.</v>
      </c>
    </row>
    <row r="304" spans="1:12">
      <c r="A304" s="4" t="s">
        <v>484</v>
      </c>
      <c r="B304" s="8" t="s">
        <v>89</v>
      </c>
      <c r="C304" t="str">
        <f t="shared" si="28"/>
        <v>ddhub:EnergyDensityQuantity</v>
      </c>
      <c r="D304">
        <f t="shared" si="29"/>
        <v>1</v>
      </c>
      <c r="E304" t="str">
        <f t="shared" si="30"/>
        <v>ddhub:JoulePerCubicMetre</v>
      </c>
      <c r="F304" t="s">
        <v>1550</v>
      </c>
      <c r="G304" t="s">
        <v>64</v>
      </c>
      <c r="H304" t="s">
        <v>1164</v>
      </c>
      <c r="J304" t="str">
        <f t="shared" si="26"/>
        <v>ddhub:EnergyDensityQuantity</v>
      </c>
      <c r="K304">
        <f t="shared" si="27"/>
        <v>1</v>
      </c>
      <c r="L304" t="str">
        <f t="shared" si="31"/>
        <v>.</v>
      </c>
    </row>
    <row r="305" spans="1:12">
      <c r="A305" s="4" t="s">
        <v>485</v>
      </c>
      <c r="B305" s="8" t="s">
        <v>89</v>
      </c>
      <c r="C305" t="str">
        <f t="shared" si="28"/>
        <v>ddhub:EnergyDensityQuantity</v>
      </c>
      <c r="D305">
        <f t="shared" si="29"/>
        <v>1</v>
      </c>
      <c r="E305" t="str">
        <f t="shared" si="30"/>
        <v>ddhub:JoulePerGallonUk</v>
      </c>
      <c r="F305" t="s">
        <v>1551</v>
      </c>
      <c r="G305" t="s">
        <v>64</v>
      </c>
      <c r="H305" t="s">
        <v>1164</v>
      </c>
      <c r="J305" t="str">
        <f t="shared" si="26"/>
        <v>ddhub:EnergyDensityQuantity</v>
      </c>
      <c r="K305">
        <f t="shared" si="27"/>
        <v>1</v>
      </c>
      <c r="L305" t="str">
        <f t="shared" si="31"/>
        <v>.</v>
      </c>
    </row>
    <row r="306" spans="1:12">
      <c r="A306" s="4" t="s">
        <v>486</v>
      </c>
      <c r="B306" s="8" t="s">
        <v>89</v>
      </c>
      <c r="C306" t="str">
        <f t="shared" si="28"/>
        <v>ddhub:EnergyDensityQuantity</v>
      </c>
      <c r="D306">
        <f t="shared" si="29"/>
        <v>1</v>
      </c>
      <c r="E306" t="str">
        <f t="shared" si="30"/>
        <v>ddhub:JoulePerGallonUs</v>
      </c>
      <c r="F306" t="s">
        <v>1552</v>
      </c>
      <c r="G306" t="s">
        <v>64</v>
      </c>
      <c r="H306" t="s">
        <v>1164</v>
      </c>
      <c r="J306" t="str">
        <f t="shared" si="26"/>
        <v>ddhub:EnergyDensityQuantity</v>
      </c>
      <c r="K306">
        <f t="shared" si="27"/>
        <v>1</v>
      </c>
      <c r="L306" t="str">
        <f t="shared" si="31"/>
        <v>.</v>
      </c>
    </row>
    <row r="307" spans="1:12">
      <c r="A307" s="4" t="s">
        <v>487</v>
      </c>
      <c r="B307" s="8" t="s">
        <v>334</v>
      </c>
      <c r="C307" t="str">
        <f t="shared" si="28"/>
        <v>ddhub:IsobaricSpecificHeatCapacityQuantity</v>
      </c>
      <c r="D307">
        <f t="shared" si="29"/>
        <v>0</v>
      </c>
      <c r="E307" t="str">
        <f t="shared" si="30"/>
        <v>ddhub:JoulePerGramDegreeCelsius</v>
      </c>
      <c r="F307" t="s">
        <v>1553</v>
      </c>
      <c r="G307" t="s">
        <v>101</v>
      </c>
      <c r="H307" t="s">
        <v>1175</v>
      </c>
      <c r="J307" t="str">
        <f t="shared" si="26"/>
        <v>ddhub:IsobaricSpecificHeatCapacityQuantity</v>
      </c>
      <c r="K307">
        <f t="shared" si="27"/>
        <v>0</v>
      </c>
      <c r="L307" t="str">
        <f t="shared" si="31"/>
        <v>.</v>
      </c>
    </row>
    <row r="308" spans="1:12">
      <c r="A308" s="4" t="s">
        <v>489</v>
      </c>
      <c r="B308" s="8" t="s">
        <v>334</v>
      </c>
      <c r="C308" t="str">
        <f t="shared" si="28"/>
        <v>zzz:TBD</v>
      </c>
      <c r="D308">
        <f t="shared" si="29"/>
        <v>1</v>
      </c>
      <c r="E308" t="str">
        <f t="shared" si="30"/>
        <v>ddhub:JoulePerGramDegreeSquaredCelsius</v>
      </c>
      <c r="F308" t="s">
        <v>1554</v>
      </c>
      <c r="G308" t="s">
        <v>1153</v>
      </c>
      <c r="H308" t="s">
        <v>1177</v>
      </c>
      <c r="J308" s="8" t="s">
        <v>334</v>
      </c>
      <c r="K308">
        <f t="shared" si="27"/>
        <v>1</v>
      </c>
      <c r="L308" t="str">
        <f t="shared" si="31"/>
        <v>.</v>
      </c>
    </row>
    <row r="309" spans="1:12">
      <c r="A309" s="4" t="s">
        <v>490</v>
      </c>
      <c r="B309" s="8" t="s">
        <v>334</v>
      </c>
      <c r="C309" t="str">
        <f t="shared" si="28"/>
        <v>ddhub:IsobaricSpecificHeatCapacityQuantity</v>
      </c>
      <c r="D309">
        <f t="shared" si="29"/>
        <v>0</v>
      </c>
      <c r="E309" t="str">
        <f t="shared" si="30"/>
        <v>ddhub:JoulePerGramKelvin</v>
      </c>
      <c r="F309" t="s">
        <v>1555</v>
      </c>
      <c r="G309" t="s">
        <v>101</v>
      </c>
      <c r="H309" t="s">
        <v>1175</v>
      </c>
      <c r="J309" t="str">
        <f t="shared" ref="J309:J372" si="32">"ddhub:"&amp;G309</f>
        <v>ddhub:IsobaricSpecificHeatCapacityQuantity</v>
      </c>
      <c r="K309">
        <f t="shared" ref="K309:K372" si="33">IF(B309=J309,1,0)</f>
        <v>0</v>
      </c>
      <c r="L309" t="str">
        <f t="shared" si="31"/>
        <v>.</v>
      </c>
    </row>
    <row r="310" spans="1:12">
      <c r="A310" s="4" t="s">
        <v>491</v>
      </c>
      <c r="B310" s="8" t="s">
        <v>334</v>
      </c>
      <c r="C310" t="str">
        <f t="shared" si="28"/>
        <v>zzz:TBD</v>
      </c>
      <c r="D310">
        <f t="shared" si="29"/>
        <v>1</v>
      </c>
      <c r="E310" t="str">
        <f t="shared" si="30"/>
        <v>ddhub:JoulePerGramSquaredKelvin</v>
      </c>
      <c r="F310" t="s">
        <v>1556</v>
      </c>
      <c r="G310" t="s">
        <v>1153</v>
      </c>
      <c r="H310" t="s">
        <v>1177</v>
      </c>
      <c r="J310" s="8" t="s">
        <v>334</v>
      </c>
      <c r="K310">
        <f t="shared" si="33"/>
        <v>1</v>
      </c>
      <c r="L310" t="str">
        <f t="shared" si="31"/>
        <v>.</v>
      </c>
    </row>
    <row r="311" spans="1:12">
      <c r="A311" s="4" t="s">
        <v>492</v>
      </c>
      <c r="B311" s="8" t="s">
        <v>334</v>
      </c>
      <c r="C311" t="str">
        <f t="shared" si="28"/>
        <v>ddhub:IsobaricSpecificHeatCapacityQuantity</v>
      </c>
      <c r="D311">
        <f t="shared" si="29"/>
        <v>0</v>
      </c>
      <c r="E311" t="str">
        <f t="shared" si="30"/>
        <v>ddhub:JoulePerKilogramKelvin</v>
      </c>
      <c r="F311" t="s">
        <v>1557</v>
      </c>
      <c r="G311" t="s">
        <v>101</v>
      </c>
      <c r="H311" t="s">
        <v>1175</v>
      </c>
      <c r="J311" t="str">
        <f t="shared" si="32"/>
        <v>ddhub:IsobaricSpecificHeatCapacityQuantity</v>
      </c>
      <c r="K311">
        <f t="shared" si="33"/>
        <v>0</v>
      </c>
      <c r="L311" t="str">
        <f t="shared" si="31"/>
        <v>.</v>
      </c>
    </row>
    <row r="312" spans="1:12">
      <c r="A312" s="4" t="s">
        <v>493</v>
      </c>
      <c r="B312" s="8" t="s">
        <v>334</v>
      </c>
      <c r="C312" t="str">
        <f t="shared" si="28"/>
        <v>zzz:TBD</v>
      </c>
      <c r="D312">
        <f t="shared" si="29"/>
        <v>1</v>
      </c>
      <c r="E312" t="str">
        <f t="shared" si="30"/>
        <v>ddhub:JoulePerKilogramSquaredKelvin</v>
      </c>
      <c r="F312" t="s">
        <v>1558</v>
      </c>
      <c r="G312" t="s">
        <v>1153</v>
      </c>
      <c r="H312" t="s">
        <v>1177</v>
      </c>
      <c r="J312" s="8" t="s">
        <v>334</v>
      </c>
      <c r="K312">
        <f t="shared" si="33"/>
        <v>1</v>
      </c>
      <c r="L312" t="str">
        <f t="shared" si="31"/>
        <v>.</v>
      </c>
    </row>
    <row r="313" spans="1:12">
      <c r="A313" s="4" t="s">
        <v>494</v>
      </c>
      <c r="B313" s="8" t="s">
        <v>89</v>
      </c>
      <c r="C313" t="str">
        <f t="shared" si="28"/>
        <v>ddhub:EnergyDensityQuantity</v>
      </c>
      <c r="D313">
        <f t="shared" si="29"/>
        <v>1</v>
      </c>
      <c r="E313" t="str">
        <f t="shared" si="30"/>
        <v>ddhub:JoulePerLitre</v>
      </c>
      <c r="F313" t="s">
        <v>1559</v>
      </c>
      <c r="G313" t="s">
        <v>64</v>
      </c>
      <c r="H313" t="s">
        <v>1164</v>
      </c>
      <c r="J313" t="str">
        <f t="shared" si="32"/>
        <v>ddhub:EnergyDensityQuantity</v>
      </c>
      <c r="K313">
        <f t="shared" si="33"/>
        <v>1</v>
      </c>
      <c r="L313" t="str">
        <f t="shared" si="31"/>
        <v>.</v>
      </c>
    </row>
    <row r="314" spans="1:12">
      <c r="A314" s="4" t="s">
        <v>495</v>
      </c>
      <c r="B314" s="8" t="s">
        <v>142</v>
      </c>
      <c r="C314" t="str">
        <f t="shared" si="28"/>
        <v>ddhub:TemperatureQuantity</v>
      </c>
      <c r="D314">
        <f t="shared" si="29"/>
        <v>1</v>
      </c>
      <c r="E314" t="str">
        <f t="shared" si="30"/>
        <v>ddhub:Kelvin</v>
      </c>
      <c r="F314" t="s">
        <v>1560</v>
      </c>
      <c r="G314" t="s">
        <v>144</v>
      </c>
      <c r="H314" t="s">
        <v>1561</v>
      </c>
      <c r="J314" t="str">
        <f t="shared" si="32"/>
        <v>ddhub:TemperatureQuantity</v>
      </c>
      <c r="K314">
        <f t="shared" si="33"/>
        <v>1</v>
      </c>
      <c r="L314" t="str">
        <f t="shared" si="31"/>
        <v>.</v>
      </c>
    </row>
    <row r="315" spans="1:12">
      <c r="A315" s="4" t="s">
        <v>497</v>
      </c>
      <c r="B315" s="8" t="s">
        <v>334</v>
      </c>
      <c r="C315" t="str">
        <f t="shared" si="28"/>
        <v>ddhub:TemperatureGradientPerLengthQuantity</v>
      </c>
      <c r="D315">
        <f t="shared" si="29"/>
        <v>0</v>
      </c>
      <c r="E315" t="str">
        <f t="shared" si="30"/>
        <v>ddhub:KelvinPerMetre</v>
      </c>
      <c r="F315" t="s">
        <v>1562</v>
      </c>
      <c r="G315" t="s">
        <v>154</v>
      </c>
      <c r="H315" t="s">
        <v>1395</v>
      </c>
      <c r="J315" t="str">
        <f t="shared" si="32"/>
        <v>ddhub:TemperatureGradientPerLengthQuantity</v>
      </c>
      <c r="K315">
        <f t="shared" si="33"/>
        <v>0</v>
      </c>
      <c r="L315" t="str">
        <f t="shared" si="31"/>
        <v>.</v>
      </c>
    </row>
    <row r="316" spans="1:12">
      <c r="A316" s="4" t="s">
        <v>498</v>
      </c>
      <c r="B316" s="8" t="s">
        <v>13</v>
      </c>
      <c r="C316" t="str">
        <f t="shared" si="28"/>
        <v>ddhub:ElectricCurrentQuantity</v>
      </c>
      <c r="D316">
        <f t="shared" si="29"/>
        <v>1</v>
      </c>
      <c r="E316" t="str">
        <f t="shared" si="30"/>
        <v>ddhub:Kiloampere</v>
      </c>
      <c r="F316" t="s">
        <v>1563</v>
      </c>
      <c r="G316" t="s">
        <v>14</v>
      </c>
      <c r="H316" t="s">
        <v>1564</v>
      </c>
      <c r="J316" t="str">
        <f t="shared" si="32"/>
        <v>ddhub:ElectricCurrentQuantity</v>
      </c>
      <c r="K316">
        <f t="shared" si="33"/>
        <v>1</v>
      </c>
      <c r="L316" t="str">
        <f t="shared" si="31"/>
        <v>.</v>
      </c>
    </row>
    <row r="317" spans="1:12">
      <c r="A317" s="4" t="s">
        <v>499</v>
      </c>
      <c r="B317" s="8" t="s">
        <v>76</v>
      </c>
      <c r="C317" t="str">
        <f t="shared" si="28"/>
        <v>ddhub:EnergyQuantity</v>
      </c>
      <c r="D317">
        <f t="shared" si="29"/>
        <v>1</v>
      </c>
      <c r="E317" t="str">
        <f t="shared" si="30"/>
        <v>ddhub:KiloBritishThermalUnit</v>
      </c>
      <c r="F317" t="s">
        <v>1565</v>
      </c>
      <c r="G317" t="s">
        <v>67</v>
      </c>
      <c r="H317" t="s">
        <v>1566</v>
      </c>
      <c r="J317" t="str">
        <f t="shared" si="32"/>
        <v>ddhub:EnergyQuantity</v>
      </c>
      <c r="K317">
        <f t="shared" si="33"/>
        <v>1</v>
      </c>
      <c r="L317" t="str">
        <f t="shared" si="31"/>
        <v>.</v>
      </c>
    </row>
    <row r="318" spans="1:12">
      <c r="A318" s="4" t="s">
        <v>500</v>
      </c>
      <c r="B318" s="8" t="s">
        <v>89</v>
      </c>
      <c r="C318" t="str">
        <f t="shared" si="28"/>
        <v>ddhub:EnergyDensityQuantity</v>
      </c>
      <c r="D318">
        <f t="shared" si="29"/>
        <v>1</v>
      </c>
      <c r="E318" t="str">
        <f t="shared" si="30"/>
        <v>ddhub:KiloBritishThermalUnitPerCubicFoot</v>
      </c>
      <c r="F318" t="s">
        <v>1567</v>
      </c>
      <c r="G318" t="s">
        <v>64</v>
      </c>
      <c r="H318" t="s">
        <v>1164</v>
      </c>
      <c r="J318" t="str">
        <f t="shared" si="32"/>
        <v>ddhub:EnergyDensityQuantity</v>
      </c>
      <c r="K318">
        <f t="shared" si="33"/>
        <v>1</v>
      </c>
      <c r="L318" t="str">
        <f t="shared" si="31"/>
        <v>.</v>
      </c>
    </row>
    <row r="319" spans="1:12">
      <c r="A319" s="4" t="s">
        <v>501</v>
      </c>
      <c r="B319" s="8" t="s">
        <v>89</v>
      </c>
      <c r="C319" t="str">
        <f t="shared" si="28"/>
        <v>ddhub:EnergyDensityQuantity</v>
      </c>
      <c r="D319">
        <f t="shared" si="29"/>
        <v>1</v>
      </c>
      <c r="E319" t="str">
        <f t="shared" si="30"/>
        <v>ddhub:KiloBritishThermalUnitPerCubicInch</v>
      </c>
      <c r="F319" t="s">
        <v>1568</v>
      </c>
      <c r="G319" t="s">
        <v>64</v>
      </c>
      <c r="H319" t="s">
        <v>1164</v>
      </c>
      <c r="J319" t="str">
        <f t="shared" si="32"/>
        <v>ddhub:EnergyDensityQuantity</v>
      </c>
      <c r="K319">
        <f t="shared" si="33"/>
        <v>1</v>
      </c>
      <c r="L319" t="str">
        <f t="shared" si="31"/>
        <v>.</v>
      </c>
    </row>
    <row r="320" spans="1:12">
      <c r="A320" s="4" t="s">
        <v>502</v>
      </c>
      <c r="B320" s="8" t="s">
        <v>89</v>
      </c>
      <c r="C320" t="str">
        <f t="shared" si="28"/>
        <v>ddhub:EnergyDensityQuantity</v>
      </c>
      <c r="D320">
        <f t="shared" si="29"/>
        <v>1</v>
      </c>
      <c r="E320" t="str">
        <f t="shared" si="30"/>
        <v>ddhub:KiloBritishThermalUnitPerCubicMetre</v>
      </c>
      <c r="F320" t="s">
        <v>1569</v>
      </c>
      <c r="G320" t="s">
        <v>64</v>
      </c>
      <c r="H320" t="s">
        <v>1164</v>
      </c>
      <c r="J320" t="str">
        <f t="shared" si="32"/>
        <v>ddhub:EnergyDensityQuantity</v>
      </c>
      <c r="K320">
        <f t="shared" si="33"/>
        <v>1</v>
      </c>
      <c r="L320" t="str">
        <f t="shared" si="31"/>
        <v>.</v>
      </c>
    </row>
    <row r="321" spans="1:12">
      <c r="A321" s="4" t="s">
        <v>503</v>
      </c>
      <c r="B321" s="8" t="s">
        <v>89</v>
      </c>
      <c r="C321" t="str">
        <f t="shared" si="28"/>
        <v>ddhub:EnergyDensityQuantity</v>
      </c>
      <c r="D321">
        <f t="shared" si="29"/>
        <v>1</v>
      </c>
      <c r="E321" t="str">
        <f t="shared" si="30"/>
        <v>ddhub:KiloBritishThermalUnitPerGallonUk</v>
      </c>
      <c r="F321" t="s">
        <v>1570</v>
      </c>
      <c r="G321" t="s">
        <v>64</v>
      </c>
      <c r="H321" t="s">
        <v>1164</v>
      </c>
      <c r="J321" t="str">
        <f t="shared" si="32"/>
        <v>ddhub:EnergyDensityQuantity</v>
      </c>
      <c r="K321">
        <f t="shared" si="33"/>
        <v>1</v>
      </c>
      <c r="L321" t="str">
        <f t="shared" si="31"/>
        <v>.</v>
      </c>
    </row>
    <row r="322" spans="1:12">
      <c r="A322" s="4" t="s">
        <v>504</v>
      </c>
      <c r="B322" s="8" t="s">
        <v>89</v>
      </c>
      <c r="C322" t="str">
        <f t="shared" si="28"/>
        <v>ddhub:EnergyDensityQuantity</v>
      </c>
      <c r="D322">
        <f t="shared" si="29"/>
        <v>1</v>
      </c>
      <c r="E322" t="str">
        <f t="shared" si="30"/>
        <v>ddhub:KiloBritishThermalUnitPerGallonUs</v>
      </c>
      <c r="F322" t="s">
        <v>1571</v>
      </c>
      <c r="G322" t="s">
        <v>64</v>
      </c>
      <c r="H322" t="s">
        <v>1164</v>
      </c>
      <c r="J322" t="str">
        <f t="shared" si="32"/>
        <v>ddhub:EnergyDensityQuantity</v>
      </c>
      <c r="K322">
        <f t="shared" si="33"/>
        <v>1</v>
      </c>
      <c r="L322" t="str">
        <f t="shared" si="31"/>
        <v>.</v>
      </c>
    </row>
    <row r="323" spans="1:12">
      <c r="A323" s="4" t="s">
        <v>505</v>
      </c>
      <c r="B323" s="8" t="s">
        <v>89</v>
      </c>
      <c r="C323" t="str">
        <f t="shared" ref="C323:C386" si="34">VLOOKUP(A323,E$2:J$838,6)</f>
        <v>ddhub:EnergyDensityQuantity</v>
      </c>
      <c r="D323">
        <f t="shared" ref="D323:D386" si="35">IF(B323=C323,1,0)</f>
        <v>1</v>
      </c>
      <c r="E323" t="str">
        <f t="shared" ref="E323:E386" si="36">"ddhub:"&amp;F323</f>
        <v>ddhub:KiloBritishThermalUnitPerLitre</v>
      </c>
      <c r="F323" t="s">
        <v>1572</v>
      </c>
      <c r="G323" t="s">
        <v>64</v>
      </c>
      <c r="H323" t="s">
        <v>1164</v>
      </c>
      <c r="J323" t="str">
        <f t="shared" si="32"/>
        <v>ddhub:EnergyDensityQuantity</v>
      </c>
      <c r="K323">
        <f t="shared" si="33"/>
        <v>1</v>
      </c>
      <c r="L323" t="str">
        <f t="shared" ref="L323:L386" si="37">IF(D323=K323,".","?")</f>
        <v>.</v>
      </c>
    </row>
    <row r="324" spans="1:12">
      <c r="A324" s="4" t="s">
        <v>506</v>
      </c>
      <c r="B324" s="8" t="s">
        <v>76</v>
      </c>
      <c r="C324" t="str">
        <f t="shared" si="34"/>
        <v>ddhub:EnergyQuantity</v>
      </c>
      <c r="D324">
        <f t="shared" si="35"/>
        <v>1</v>
      </c>
      <c r="E324" t="str">
        <f t="shared" si="36"/>
        <v>ddhub:Kilocalorie</v>
      </c>
      <c r="F324" t="s">
        <v>1573</v>
      </c>
      <c r="G324" t="s">
        <v>67</v>
      </c>
      <c r="H324" t="s">
        <v>1574</v>
      </c>
      <c r="J324" t="str">
        <f t="shared" si="32"/>
        <v>ddhub:EnergyQuantity</v>
      </c>
      <c r="K324">
        <f t="shared" si="33"/>
        <v>1</v>
      </c>
      <c r="L324" t="str">
        <f t="shared" si="37"/>
        <v>.</v>
      </c>
    </row>
    <row r="325" spans="1:12">
      <c r="A325" s="4" t="s">
        <v>507</v>
      </c>
      <c r="B325" s="8" t="s">
        <v>89</v>
      </c>
      <c r="C325" t="str">
        <f t="shared" si="34"/>
        <v>ddhub:EnergyDensityQuantity</v>
      </c>
      <c r="D325">
        <f t="shared" si="35"/>
        <v>1</v>
      </c>
      <c r="E325" t="str">
        <f t="shared" si="36"/>
        <v>ddhub:KilocaloriePerCubicFoot</v>
      </c>
      <c r="F325" t="s">
        <v>1575</v>
      </c>
      <c r="G325" t="s">
        <v>64</v>
      </c>
      <c r="H325" t="s">
        <v>1164</v>
      </c>
      <c r="J325" t="str">
        <f t="shared" si="32"/>
        <v>ddhub:EnergyDensityQuantity</v>
      </c>
      <c r="K325">
        <f t="shared" si="33"/>
        <v>1</v>
      </c>
      <c r="L325" t="str">
        <f t="shared" si="37"/>
        <v>.</v>
      </c>
    </row>
    <row r="326" spans="1:12">
      <c r="A326" s="4" t="s">
        <v>508</v>
      </c>
      <c r="B326" s="8" t="s">
        <v>89</v>
      </c>
      <c r="C326" t="str">
        <f t="shared" si="34"/>
        <v>ddhub:EnergyDensityQuantity</v>
      </c>
      <c r="D326">
        <f t="shared" si="35"/>
        <v>1</v>
      </c>
      <c r="E326" t="str">
        <f t="shared" si="36"/>
        <v>ddhub:KilocaloriePerCubicInch</v>
      </c>
      <c r="F326" t="s">
        <v>1576</v>
      </c>
      <c r="G326" t="s">
        <v>64</v>
      </c>
      <c r="H326" t="s">
        <v>1164</v>
      </c>
      <c r="J326" t="str">
        <f t="shared" si="32"/>
        <v>ddhub:EnergyDensityQuantity</v>
      </c>
      <c r="K326">
        <f t="shared" si="33"/>
        <v>1</v>
      </c>
      <c r="L326" t="str">
        <f t="shared" si="37"/>
        <v>.</v>
      </c>
    </row>
    <row r="327" spans="1:12">
      <c r="A327" s="4" t="s">
        <v>509</v>
      </c>
      <c r="B327" s="8" t="s">
        <v>89</v>
      </c>
      <c r="C327" t="str">
        <f t="shared" si="34"/>
        <v>ddhub:EnergyDensityQuantity</v>
      </c>
      <c r="D327">
        <f t="shared" si="35"/>
        <v>1</v>
      </c>
      <c r="E327" t="str">
        <f t="shared" si="36"/>
        <v>ddhub:KilocaloriePerCubicMetre</v>
      </c>
      <c r="F327" t="s">
        <v>1577</v>
      </c>
      <c r="G327" t="s">
        <v>64</v>
      </c>
      <c r="H327" t="s">
        <v>1164</v>
      </c>
      <c r="J327" t="str">
        <f t="shared" si="32"/>
        <v>ddhub:EnergyDensityQuantity</v>
      </c>
      <c r="K327">
        <f t="shared" si="33"/>
        <v>1</v>
      </c>
      <c r="L327" t="str">
        <f t="shared" si="37"/>
        <v>.</v>
      </c>
    </row>
    <row r="328" spans="1:12">
      <c r="A328" s="4" t="s">
        <v>510</v>
      </c>
      <c r="B328" s="8" t="s">
        <v>89</v>
      </c>
      <c r="C328" t="str">
        <f t="shared" si="34"/>
        <v>ddhub:EnergyDensityQuantity</v>
      </c>
      <c r="D328">
        <f t="shared" si="35"/>
        <v>1</v>
      </c>
      <c r="E328" t="str">
        <f t="shared" si="36"/>
        <v>ddhub:KilocaloriePerGallonUk</v>
      </c>
      <c r="F328" t="s">
        <v>1578</v>
      </c>
      <c r="G328" t="s">
        <v>64</v>
      </c>
      <c r="H328" t="s">
        <v>1164</v>
      </c>
      <c r="J328" t="str">
        <f t="shared" si="32"/>
        <v>ddhub:EnergyDensityQuantity</v>
      </c>
      <c r="K328">
        <f t="shared" si="33"/>
        <v>1</v>
      </c>
      <c r="L328" t="str">
        <f t="shared" si="37"/>
        <v>.</v>
      </c>
    </row>
    <row r="329" spans="1:12">
      <c r="A329" s="4" t="s">
        <v>511</v>
      </c>
      <c r="B329" s="8" t="s">
        <v>89</v>
      </c>
      <c r="C329" t="str">
        <f t="shared" si="34"/>
        <v>ddhub:EnergyDensityQuantity</v>
      </c>
      <c r="D329">
        <f t="shared" si="35"/>
        <v>1</v>
      </c>
      <c r="E329" t="str">
        <f t="shared" si="36"/>
        <v>ddhub:KilocaloriePerGallonUs</v>
      </c>
      <c r="F329" t="s">
        <v>1579</v>
      </c>
      <c r="G329" t="s">
        <v>64</v>
      </c>
      <c r="H329" t="s">
        <v>1164</v>
      </c>
      <c r="J329" t="str">
        <f t="shared" si="32"/>
        <v>ddhub:EnergyDensityQuantity</v>
      </c>
      <c r="K329">
        <f t="shared" si="33"/>
        <v>1</v>
      </c>
      <c r="L329" t="str">
        <f t="shared" si="37"/>
        <v>.</v>
      </c>
    </row>
    <row r="330" spans="1:12">
      <c r="A330" s="4" t="s">
        <v>512</v>
      </c>
      <c r="B330" s="8" t="s">
        <v>334</v>
      </c>
      <c r="C330" s="13" t="str">
        <f t="shared" si="34"/>
        <v>ddhub:IsobaricSpecificHeatCapacityQuantity</v>
      </c>
      <c r="D330">
        <f t="shared" si="35"/>
        <v>0</v>
      </c>
      <c r="E330" t="str">
        <f t="shared" si="36"/>
        <v>ddhub:KilocaloriePerGramDegreeCelsius</v>
      </c>
      <c r="F330" t="s">
        <v>1580</v>
      </c>
      <c r="G330" t="s">
        <v>101</v>
      </c>
      <c r="H330" t="s">
        <v>1175</v>
      </c>
      <c r="J330" t="str">
        <f t="shared" si="32"/>
        <v>ddhub:IsobaricSpecificHeatCapacityQuantity</v>
      </c>
      <c r="K330">
        <f t="shared" si="33"/>
        <v>0</v>
      </c>
      <c r="L330" t="str">
        <f t="shared" si="37"/>
        <v>.</v>
      </c>
    </row>
    <row r="331" spans="1:12">
      <c r="A331" s="4" t="s">
        <v>514</v>
      </c>
      <c r="B331" s="8" t="s">
        <v>89</v>
      </c>
      <c r="C331" t="str">
        <f t="shared" si="34"/>
        <v>ddhub:EnergyDensityQuantity</v>
      </c>
      <c r="D331">
        <f t="shared" si="35"/>
        <v>1</v>
      </c>
      <c r="E331" t="str">
        <f t="shared" si="36"/>
        <v>ddhub:KilocaloriePerLitre</v>
      </c>
      <c r="F331" t="s">
        <v>1581</v>
      </c>
      <c r="G331" t="s">
        <v>64</v>
      </c>
      <c r="H331" t="s">
        <v>1164</v>
      </c>
      <c r="J331" t="str">
        <f t="shared" si="32"/>
        <v>ddhub:EnergyDensityQuantity</v>
      </c>
      <c r="K331">
        <f t="shared" si="33"/>
        <v>1</v>
      </c>
      <c r="L331" t="str">
        <f t="shared" si="37"/>
        <v>.</v>
      </c>
    </row>
    <row r="332" spans="1:12">
      <c r="A332" s="4" t="s">
        <v>515</v>
      </c>
      <c r="B332" s="8" t="s">
        <v>71</v>
      </c>
      <c r="C332" t="str">
        <f t="shared" si="34"/>
        <v>ddhub:LuminousIntensityQuantity</v>
      </c>
      <c r="D332">
        <f t="shared" si="35"/>
        <v>1</v>
      </c>
      <c r="E332" t="str">
        <f t="shared" si="36"/>
        <v>ddhub:Kilocandela</v>
      </c>
      <c r="F332" t="s">
        <v>1582</v>
      </c>
      <c r="G332" t="s">
        <v>72</v>
      </c>
      <c r="H332" t="s">
        <v>1583</v>
      </c>
      <c r="J332" t="str">
        <f t="shared" si="32"/>
        <v>ddhub:LuminousIntensityQuantity</v>
      </c>
      <c r="K332">
        <f t="shared" si="33"/>
        <v>1</v>
      </c>
      <c r="L332" t="str">
        <f t="shared" si="37"/>
        <v>.</v>
      </c>
    </row>
    <row r="333" spans="1:12">
      <c r="A333" s="4" t="s">
        <v>516</v>
      </c>
      <c r="B333" s="8" t="s">
        <v>1275</v>
      </c>
      <c r="C333" t="str">
        <f t="shared" si="34"/>
        <v>ddhub:ForceQuantity</v>
      </c>
      <c r="D333">
        <f t="shared" si="35"/>
        <v>1</v>
      </c>
      <c r="E333" t="str">
        <f t="shared" si="36"/>
        <v>ddhub:Kilodecanewton</v>
      </c>
      <c r="F333" t="s">
        <v>1584</v>
      </c>
      <c r="G333" t="s">
        <v>61</v>
      </c>
      <c r="H333" t="s">
        <v>1585</v>
      </c>
      <c r="J333" t="str">
        <f t="shared" si="32"/>
        <v>ddhub:ForceQuantity</v>
      </c>
      <c r="K333">
        <f t="shared" si="33"/>
        <v>1</v>
      </c>
      <c r="L333" t="str">
        <f t="shared" si="37"/>
        <v>.</v>
      </c>
    </row>
    <row r="334" spans="1:12">
      <c r="A334" s="4" t="s">
        <v>517</v>
      </c>
      <c r="B334" s="8" t="s">
        <v>334</v>
      </c>
      <c r="C334" t="str">
        <f t="shared" si="34"/>
        <v>ddhub:TorqueQuantity</v>
      </c>
      <c r="D334">
        <f t="shared" si="35"/>
        <v>0</v>
      </c>
      <c r="E334" t="str">
        <f t="shared" si="36"/>
        <v>ddhub:KilofootPound</v>
      </c>
      <c r="F334" t="s">
        <v>1586</v>
      </c>
      <c r="G334" t="s">
        <v>94</v>
      </c>
      <c r="H334" t="s">
        <v>1587</v>
      </c>
      <c r="J334" t="str">
        <f t="shared" si="32"/>
        <v>ddhub:TorqueQuantity</v>
      </c>
      <c r="K334">
        <f t="shared" si="33"/>
        <v>0</v>
      </c>
      <c r="L334" t="str">
        <f t="shared" si="37"/>
        <v>.</v>
      </c>
    </row>
    <row r="335" spans="1:12">
      <c r="A335" s="4" t="s">
        <v>518</v>
      </c>
      <c r="B335" s="8" t="s">
        <v>334</v>
      </c>
      <c r="C335" t="str">
        <f t="shared" si="34"/>
        <v>ddhub:TorqueGradientPerLengthQuantity</v>
      </c>
      <c r="D335">
        <f t="shared" si="35"/>
        <v>0</v>
      </c>
      <c r="E335" t="str">
        <f t="shared" si="36"/>
        <v>ddhub:KilofootPoundPerCentimetre</v>
      </c>
      <c r="F335" t="s">
        <v>1588</v>
      </c>
      <c r="G335" t="s">
        <v>164</v>
      </c>
      <c r="H335" t="s">
        <v>1281</v>
      </c>
      <c r="J335" t="str">
        <f t="shared" si="32"/>
        <v>ddhub:TorqueGradientPerLengthQuantity</v>
      </c>
      <c r="K335">
        <f t="shared" si="33"/>
        <v>0</v>
      </c>
      <c r="L335" t="str">
        <f t="shared" si="37"/>
        <v>.</v>
      </c>
    </row>
    <row r="336" spans="1:12">
      <c r="A336" s="4" t="s">
        <v>519</v>
      </c>
      <c r="B336" s="8" t="s">
        <v>334</v>
      </c>
      <c r="C336" t="str">
        <f t="shared" si="34"/>
        <v>ddhub:TorqueGradientPerLengthQuantity</v>
      </c>
      <c r="D336">
        <f t="shared" si="35"/>
        <v>0</v>
      </c>
      <c r="E336" t="str">
        <f t="shared" si="36"/>
        <v>ddhub:KilofootPoundPerDecimetre</v>
      </c>
      <c r="F336" t="s">
        <v>1589</v>
      </c>
      <c r="G336" t="s">
        <v>164</v>
      </c>
      <c r="H336" t="s">
        <v>1281</v>
      </c>
      <c r="J336" t="str">
        <f t="shared" si="32"/>
        <v>ddhub:TorqueGradientPerLengthQuantity</v>
      </c>
      <c r="K336">
        <f t="shared" si="33"/>
        <v>0</v>
      </c>
      <c r="L336" t="str">
        <f t="shared" si="37"/>
        <v>.</v>
      </c>
    </row>
    <row r="337" spans="1:12">
      <c r="A337" s="4" t="s">
        <v>520</v>
      </c>
      <c r="B337" s="8" t="s">
        <v>334</v>
      </c>
      <c r="C337" t="str">
        <f t="shared" si="34"/>
        <v>ddhub:TorqueGradientPerLengthQuantity</v>
      </c>
      <c r="D337">
        <f t="shared" si="35"/>
        <v>0</v>
      </c>
      <c r="E337" t="str">
        <f t="shared" si="36"/>
        <v>ddhub:KilofootPoundPerFoot</v>
      </c>
      <c r="F337" t="s">
        <v>1590</v>
      </c>
      <c r="G337" t="s">
        <v>164</v>
      </c>
      <c r="H337" t="s">
        <v>1281</v>
      </c>
      <c r="J337" t="str">
        <f t="shared" si="32"/>
        <v>ddhub:TorqueGradientPerLengthQuantity</v>
      </c>
      <c r="K337">
        <f t="shared" si="33"/>
        <v>0</v>
      </c>
      <c r="L337" t="str">
        <f t="shared" si="37"/>
        <v>.</v>
      </c>
    </row>
    <row r="338" spans="1:12">
      <c r="A338" s="4" t="s">
        <v>521</v>
      </c>
      <c r="B338" s="8" t="s">
        <v>334</v>
      </c>
      <c r="C338" t="str">
        <f t="shared" si="34"/>
        <v>ddhub:TorqueGradientPerLengthQuantity</v>
      </c>
      <c r="D338">
        <f t="shared" si="35"/>
        <v>0</v>
      </c>
      <c r="E338" t="str">
        <f t="shared" si="36"/>
        <v>ddhub:KilofootPoundPerInch</v>
      </c>
      <c r="F338" t="s">
        <v>1591</v>
      </c>
      <c r="G338" t="s">
        <v>164</v>
      </c>
      <c r="H338" t="s">
        <v>1281</v>
      </c>
      <c r="J338" t="str">
        <f t="shared" si="32"/>
        <v>ddhub:TorqueGradientPerLengthQuantity</v>
      </c>
      <c r="K338">
        <f t="shared" si="33"/>
        <v>0</v>
      </c>
      <c r="L338" t="str">
        <f t="shared" si="37"/>
        <v>.</v>
      </c>
    </row>
    <row r="339" spans="1:12">
      <c r="A339" s="4" t="s">
        <v>522</v>
      </c>
      <c r="B339" s="8" t="s">
        <v>334</v>
      </c>
      <c r="C339" t="str">
        <f t="shared" si="34"/>
        <v>ddhub:TorqueGradientPerLengthQuantity</v>
      </c>
      <c r="D339">
        <f t="shared" si="35"/>
        <v>0</v>
      </c>
      <c r="E339" t="str">
        <f t="shared" si="36"/>
        <v>ddhub:KilofootPoundPerMetre</v>
      </c>
      <c r="F339" t="s">
        <v>1592</v>
      </c>
      <c r="G339" t="s">
        <v>164</v>
      </c>
      <c r="H339" t="s">
        <v>1281</v>
      </c>
      <c r="J339" t="str">
        <f t="shared" si="32"/>
        <v>ddhub:TorqueGradientPerLengthQuantity</v>
      </c>
      <c r="K339">
        <f t="shared" si="33"/>
        <v>0</v>
      </c>
      <c r="L339" t="str">
        <f t="shared" si="37"/>
        <v>.</v>
      </c>
    </row>
    <row r="340" spans="1:12">
      <c r="A340" s="4" t="s">
        <v>523</v>
      </c>
      <c r="B340" s="8" t="s">
        <v>334</v>
      </c>
      <c r="C340" t="str">
        <f t="shared" si="34"/>
        <v>ddhub:TorqueGradientPerLengthQuantity</v>
      </c>
      <c r="D340">
        <f t="shared" si="35"/>
        <v>0</v>
      </c>
      <c r="E340" t="str">
        <f t="shared" si="36"/>
        <v>ddhub:KilofootPoundPerMillimetre</v>
      </c>
      <c r="F340" t="s">
        <v>1593</v>
      </c>
      <c r="G340" t="s">
        <v>164</v>
      </c>
      <c r="H340" t="s">
        <v>1281</v>
      </c>
      <c r="J340" t="str">
        <f t="shared" si="32"/>
        <v>ddhub:TorqueGradientPerLengthQuantity</v>
      </c>
      <c r="K340">
        <f t="shared" si="33"/>
        <v>0</v>
      </c>
      <c r="L340" t="str">
        <f t="shared" si="37"/>
        <v>.</v>
      </c>
    </row>
    <row r="341" spans="1:12">
      <c r="A341" s="4" t="s">
        <v>524</v>
      </c>
      <c r="B341" s="8" t="s">
        <v>34</v>
      </c>
      <c r="C341" t="str">
        <f t="shared" si="34"/>
        <v>ddhub:MassQuantity</v>
      </c>
      <c r="D341">
        <f t="shared" si="35"/>
        <v>1</v>
      </c>
      <c r="E341" t="str">
        <f t="shared" si="36"/>
        <v>ddhub:Kilogram</v>
      </c>
      <c r="F341" t="s">
        <v>1594</v>
      </c>
      <c r="G341" t="s">
        <v>35</v>
      </c>
      <c r="H341" t="s">
        <v>1595</v>
      </c>
      <c r="J341" t="str">
        <f t="shared" si="32"/>
        <v>ddhub:MassQuantity</v>
      </c>
      <c r="K341">
        <f t="shared" si="33"/>
        <v>1</v>
      </c>
      <c r="L341" t="str">
        <f t="shared" si="37"/>
        <v>.</v>
      </c>
    </row>
    <row r="342" spans="1:12">
      <c r="A342" s="4" t="s">
        <v>526</v>
      </c>
      <c r="B342" s="8" t="s">
        <v>1275</v>
      </c>
      <c r="C342" t="str">
        <f t="shared" si="34"/>
        <v>ddhub:ForceQuantity</v>
      </c>
      <c r="D342">
        <f t="shared" si="35"/>
        <v>1</v>
      </c>
      <c r="E342" t="str">
        <f t="shared" si="36"/>
        <v>ddhub:KilogramForce</v>
      </c>
      <c r="F342" t="s">
        <v>1596</v>
      </c>
      <c r="G342" t="s">
        <v>61</v>
      </c>
      <c r="H342" t="s">
        <v>1597</v>
      </c>
      <c r="J342" t="str">
        <f t="shared" si="32"/>
        <v>ddhub:ForceQuantity</v>
      </c>
      <c r="K342">
        <f t="shared" si="33"/>
        <v>1</v>
      </c>
      <c r="L342" t="str">
        <f t="shared" si="37"/>
        <v>.</v>
      </c>
    </row>
    <row r="343" spans="1:12">
      <c r="A343" s="4" t="s">
        <v>529</v>
      </c>
      <c r="B343" s="8" t="s">
        <v>236</v>
      </c>
      <c r="C343" t="str">
        <f t="shared" si="34"/>
        <v>ddhub:TorqueQuantity</v>
      </c>
      <c r="D343">
        <f t="shared" si="35"/>
        <v>1</v>
      </c>
      <c r="E343" t="str">
        <f t="shared" si="36"/>
        <v>ddhub:KilogramForceMetre</v>
      </c>
      <c r="F343" t="s">
        <v>1598</v>
      </c>
      <c r="G343" t="s">
        <v>94</v>
      </c>
      <c r="H343" t="s">
        <v>1528</v>
      </c>
      <c r="J343" t="str">
        <f t="shared" si="32"/>
        <v>ddhub:TorqueQuantity</v>
      </c>
      <c r="K343">
        <f t="shared" si="33"/>
        <v>1</v>
      </c>
      <c r="L343" t="str">
        <f t="shared" si="37"/>
        <v>.</v>
      </c>
    </row>
    <row r="344" spans="1:12">
      <c r="A344" s="4" t="s">
        <v>530</v>
      </c>
      <c r="B344" s="8" t="s">
        <v>238</v>
      </c>
      <c r="C344" t="str">
        <f t="shared" si="34"/>
        <v>ddhub:TorqueGradientPerLengthQuantity</v>
      </c>
      <c r="D344">
        <f t="shared" si="35"/>
        <v>1</v>
      </c>
      <c r="E344" t="str">
        <f t="shared" si="36"/>
        <v>ddhub:KilogramForceMetrePerCentimetre</v>
      </c>
      <c r="F344" t="s">
        <v>1599</v>
      </c>
      <c r="G344" t="s">
        <v>164</v>
      </c>
      <c r="H344" t="s">
        <v>1281</v>
      </c>
      <c r="J344" t="str">
        <f t="shared" si="32"/>
        <v>ddhub:TorqueGradientPerLengthQuantity</v>
      </c>
      <c r="K344">
        <f t="shared" si="33"/>
        <v>1</v>
      </c>
      <c r="L344" t="str">
        <f t="shared" si="37"/>
        <v>.</v>
      </c>
    </row>
    <row r="345" spans="1:12">
      <c r="A345" s="4" t="s">
        <v>531</v>
      </c>
      <c r="B345" s="8" t="s">
        <v>238</v>
      </c>
      <c r="C345" t="str">
        <f t="shared" si="34"/>
        <v>ddhub:TorqueGradientPerLengthQuantity</v>
      </c>
      <c r="D345">
        <f t="shared" si="35"/>
        <v>1</v>
      </c>
      <c r="E345" t="str">
        <f t="shared" si="36"/>
        <v>ddhub:KilogramForceMetrePerDecimetre</v>
      </c>
      <c r="F345" t="s">
        <v>1600</v>
      </c>
      <c r="G345" t="s">
        <v>164</v>
      </c>
      <c r="H345" t="s">
        <v>1281</v>
      </c>
      <c r="J345" t="str">
        <f t="shared" si="32"/>
        <v>ddhub:TorqueGradientPerLengthQuantity</v>
      </c>
      <c r="K345">
        <f t="shared" si="33"/>
        <v>1</v>
      </c>
      <c r="L345" t="str">
        <f t="shared" si="37"/>
        <v>.</v>
      </c>
    </row>
    <row r="346" spans="1:12">
      <c r="A346" s="4" t="s">
        <v>532</v>
      </c>
      <c r="B346" s="8" t="s">
        <v>238</v>
      </c>
      <c r="C346" t="str">
        <f t="shared" si="34"/>
        <v>ddhub:TorqueGradientPerLengthQuantity</v>
      </c>
      <c r="D346">
        <f t="shared" si="35"/>
        <v>1</v>
      </c>
      <c r="E346" t="str">
        <f t="shared" si="36"/>
        <v>ddhub:KilogramForceMetrePerFoot</v>
      </c>
      <c r="F346" t="s">
        <v>1601</v>
      </c>
      <c r="G346" t="s">
        <v>164</v>
      </c>
      <c r="H346" t="s">
        <v>1281</v>
      </c>
      <c r="J346" t="str">
        <f t="shared" si="32"/>
        <v>ddhub:TorqueGradientPerLengthQuantity</v>
      </c>
      <c r="K346">
        <f t="shared" si="33"/>
        <v>1</v>
      </c>
      <c r="L346" t="str">
        <f t="shared" si="37"/>
        <v>.</v>
      </c>
    </row>
    <row r="347" spans="1:12">
      <c r="A347" s="4" t="s">
        <v>533</v>
      </c>
      <c r="B347" s="8" t="s">
        <v>238</v>
      </c>
      <c r="C347" t="str">
        <f t="shared" si="34"/>
        <v>ddhub:TorqueGradientPerLengthQuantity</v>
      </c>
      <c r="D347">
        <f t="shared" si="35"/>
        <v>1</v>
      </c>
      <c r="E347" t="str">
        <f t="shared" si="36"/>
        <v>ddhub:KilogramForceMetrePerInch</v>
      </c>
      <c r="F347" t="s">
        <v>1602</v>
      </c>
      <c r="G347" t="s">
        <v>164</v>
      </c>
      <c r="H347" t="s">
        <v>1281</v>
      </c>
      <c r="J347" t="str">
        <f t="shared" si="32"/>
        <v>ddhub:TorqueGradientPerLengthQuantity</v>
      </c>
      <c r="K347">
        <f t="shared" si="33"/>
        <v>1</v>
      </c>
      <c r="L347" t="str">
        <f t="shared" si="37"/>
        <v>.</v>
      </c>
    </row>
    <row r="348" spans="1:12">
      <c r="A348" s="4" t="s">
        <v>534</v>
      </c>
      <c r="B348" s="8" t="s">
        <v>238</v>
      </c>
      <c r="C348" t="str">
        <f t="shared" si="34"/>
        <v>ddhub:TorqueGradientPerLengthQuantity</v>
      </c>
      <c r="D348">
        <f t="shared" si="35"/>
        <v>1</v>
      </c>
      <c r="E348" t="str">
        <f t="shared" si="36"/>
        <v>ddhub:KilogramForceMetrePerMetre</v>
      </c>
      <c r="F348" t="s">
        <v>1603</v>
      </c>
      <c r="G348" t="s">
        <v>164</v>
      </c>
      <c r="H348" t="s">
        <v>1281</v>
      </c>
      <c r="J348" t="str">
        <f t="shared" si="32"/>
        <v>ddhub:TorqueGradientPerLengthQuantity</v>
      </c>
      <c r="K348">
        <f t="shared" si="33"/>
        <v>1</v>
      </c>
      <c r="L348" t="str">
        <f t="shared" si="37"/>
        <v>.</v>
      </c>
    </row>
    <row r="349" spans="1:12">
      <c r="A349" s="4" t="s">
        <v>535</v>
      </c>
      <c r="B349" s="8" t="s">
        <v>238</v>
      </c>
      <c r="C349" t="str">
        <f t="shared" si="34"/>
        <v>ddhub:TorqueGradientPerLengthQuantity</v>
      </c>
      <c r="D349">
        <f t="shared" si="35"/>
        <v>1</v>
      </c>
      <c r="E349" t="str">
        <f t="shared" si="36"/>
        <v>ddhub:KilogramForceMetrePerMillimetre</v>
      </c>
      <c r="F349" t="s">
        <v>1604</v>
      </c>
      <c r="G349" t="s">
        <v>164</v>
      </c>
      <c r="H349" t="s">
        <v>1281</v>
      </c>
      <c r="J349" t="str">
        <f t="shared" si="32"/>
        <v>ddhub:TorqueGradientPerLengthQuantity</v>
      </c>
      <c r="K349">
        <f t="shared" si="33"/>
        <v>1</v>
      </c>
      <c r="L349" t="str">
        <f t="shared" si="37"/>
        <v>.</v>
      </c>
    </row>
    <row r="350" spans="1:12">
      <c r="A350" s="4" t="s">
        <v>536</v>
      </c>
      <c r="B350" s="8" t="s">
        <v>416</v>
      </c>
      <c r="C350" t="str">
        <f t="shared" si="34"/>
        <v>ddhub:MassDensityQuantity</v>
      </c>
      <c r="D350">
        <f t="shared" si="35"/>
        <v>1</v>
      </c>
      <c r="E350" t="str">
        <f t="shared" si="36"/>
        <v>ddhub:KilogramPerCubicMetre</v>
      </c>
      <c r="F350" t="s">
        <v>1605</v>
      </c>
      <c r="G350" t="s">
        <v>31</v>
      </c>
      <c r="H350" t="s">
        <v>1471</v>
      </c>
      <c r="J350" t="str">
        <f t="shared" si="32"/>
        <v>ddhub:MassDensityQuantity</v>
      </c>
      <c r="K350">
        <f t="shared" si="33"/>
        <v>1</v>
      </c>
      <c r="L350" t="str">
        <f t="shared" si="37"/>
        <v>.</v>
      </c>
    </row>
    <row r="351" spans="1:12">
      <c r="A351" s="4" t="s">
        <v>537</v>
      </c>
      <c r="B351" s="8" t="s">
        <v>418</v>
      </c>
      <c r="C351" t="str">
        <f t="shared" si="34"/>
        <v>ddhub:MassDensityGradientPerLengthQuantity</v>
      </c>
      <c r="D351">
        <f t="shared" si="35"/>
        <v>1</v>
      </c>
      <c r="E351" t="str">
        <f t="shared" si="36"/>
        <v>ddhub:KilogramPerCubicMetrePer100Metre</v>
      </c>
      <c r="F351" t="s">
        <v>1606</v>
      </c>
      <c r="G351" t="s">
        <v>112</v>
      </c>
      <c r="H351" t="s">
        <v>1473</v>
      </c>
      <c r="J351" t="str">
        <f t="shared" si="32"/>
        <v>ddhub:MassDensityGradientPerLengthQuantity</v>
      </c>
      <c r="K351">
        <f t="shared" si="33"/>
        <v>1</v>
      </c>
      <c r="L351" t="str">
        <f t="shared" si="37"/>
        <v>.</v>
      </c>
    </row>
    <row r="352" spans="1:12">
      <c r="A352" s="4" t="s">
        <v>538</v>
      </c>
      <c r="B352" s="8" t="s">
        <v>418</v>
      </c>
      <c r="C352" t="str">
        <f t="shared" si="34"/>
        <v>ddhub:MassDensityGradientPerLengthQuantity</v>
      </c>
      <c r="D352">
        <f t="shared" si="35"/>
        <v>1</v>
      </c>
      <c r="E352" t="str">
        <f t="shared" si="36"/>
        <v>ddhub:KilogramPerCubicMetrePer10Metre</v>
      </c>
      <c r="F352" t="s">
        <v>1607</v>
      </c>
      <c r="G352" t="s">
        <v>112</v>
      </c>
      <c r="H352" t="s">
        <v>1473</v>
      </c>
      <c r="J352" t="str">
        <f t="shared" si="32"/>
        <v>ddhub:MassDensityGradientPerLengthQuantity</v>
      </c>
      <c r="K352">
        <f t="shared" si="33"/>
        <v>1</v>
      </c>
      <c r="L352" t="str">
        <f t="shared" si="37"/>
        <v>.</v>
      </c>
    </row>
    <row r="353" spans="1:12">
      <c r="A353" s="4" t="s">
        <v>539</v>
      </c>
      <c r="B353" s="8" t="s">
        <v>418</v>
      </c>
      <c r="C353" t="str">
        <f t="shared" si="34"/>
        <v>ddhub:MassDensityGradientPerLengthQuantity</v>
      </c>
      <c r="D353">
        <f t="shared" si="35"/>
        <v>1</v>
      </c>
      <c r="E353" t="str">
        <f t="shared" si="36"/>
        <v>ddhub:KilogramPerCubicMetrePer30Metre</v>
      </c>
      <c r="F353" t="s">
        <v>1608</v>
      </c>
      <c r="G353" t="s">
        <v>112</v>
      </c>
      <c r="H353" t="s">
        <v>1473</v>
      </c>
      <c r="J353" t="str">
        <f t="shared" si="32"/>
        <v>ddhub:MassDensityGradientPerLengthQuantity</v>
      </c>
      <c r="K353">
        <f t="shared" si="33"/>
        <v>1</v>
      </c>
      <c r="L353" t="str">
        <f t="shared" si="37"/>
        <v>.</v>
      </c>
    </row>
    <row r="354" spans="1:12">
      <c r="A354" s="4" t="s">
        <v>540</v>
      </c>
      <c r="B354" s="8" t="s">
        <v>418</v>
      </c>
      <c r="C354" t="str">
        <f t="shared" si="34"/>
        <v>ddhub:MassDensityGradientPerTemperatureQuantity</v>
      </c>
      <c r="D354">
        <f t="shared" si="35"/>
        <v>0</v>
      </c>
      <c r="E354" t="str">
        <f t="shared" si="36"/>
        <v>ddhub:KilogramPerCubicMetrePerKelvin</v>
      </c>
      <c r="F354" t="s">
        <v>1609</v>
      </c>
      <c r="G354" t="s">
        <v>115</v>
      </c>
      <c r="H354" t="s">
        <v>1610</v>
      </c>
      <c r="J354" t="str">
        <f t="shared" si="32"/>
        <v>ddhub:MassDensityGradientPerTemperatureQuantity</v>
      </c>
      <c r="K354">
        <f t="shared" si="33"/>
        <v>0</v>
      </c>
      <c r="L354" t="str">
        <f t="shared" si="37"/>
        <v>.</v>
      </c>
    </row>
    <row r="355" spans="1:12">
      <c r="A355" s="4" t="s">
        <v>541</v>
      </c>
      <c r="B355" s="8" t="s">
        <v>418</v>
      </c>
      <c r="C355" t="str">
        <f t="shared" si="34"/>
        <v>ddhub:MassDensityGradientPerLengthQuantity</v>
      </c>
      <c r="D355">
        <f t="shared" si="35"/>
        <v>1</v>
      </c>
      <c r="E355" t="str">
        <f t="shared" si="36"/>
        <v>ddhub:KilogramPerCubicMetrePerMetre</v>
      </c>
      <c r="F355" t="s">
        <v>1611</v>
      </c>
      <c r="G355" t="s">
        <v>112</v>
      </c>
      <c r="H355" t="s">
        <v>1473</v>
      </c>
      <c r="J355" t="str">
        <f t="shared" si="32"/>
        <v>ddhub:MassDensityGradientPerLengthQuantity</v>
      </c>
      <c r="K355">
        <f t="shared" si="33"/>
        <v>1</v>
      </c>
      <c r="L355" t="str">
        <f t="shared" si="37"/>
        <v>.</v>
      </c>
    </row>
    <row r="356" spans="1:12">
      <c r="A356" s="4" t="s">
        <v>542</v>
      </c>
      <c r="B356" s="8" t="s">
        <v>426</v>
      </c>
      <c r="C356" t="str">
        <f t="shared" si="34"/>
        <v>ddhub:MassDensityRateOfChangeQuantity</v>
      </c>
      <c r="D356">
        <f t="shared" si="35"/>
        <v>1</v>
      </c>
      <c r="E356" t="str">
        <f t="shared" si="36"/>
        <v>ddhub:KilogramPerCubicMetrePerSecond</v>
      </c>
      <c r="F356" t="s">
        <v>1612</v>
      </c>
      <c r="G356" t="s">
        <v>118</v>
      </c>
      <c r="H356" t="s">
        <v>1613</v>
      </c>
      <c r="J356" t="str">
        <f t="shared" si="32"/>
        <v>ddhub:MassDensityRateOfChangeQuantity</v>
      </c>
      <c r="K356">
        <f t="shared" si="33"/>
        <v>1</v>
      </c>
      <c r="L356" t="str">
        <f t="shared" si="37"/>
        <v>.</v>
      </c>
    </row>
    <row r="357" spans="1:12">
      <c r="A357" s="4" t="s">
        <v>544</v>
      </c>
      <c r="B357" s="8" t="s">
        <v>545</v>
      </c>
      <c r="C357" t="str">
        <f t="shared" si="34"/>
        <v>ddhub:MassRateQuantity</v>
      </c>
      <c r="D357">
        <f t="shared" si="35"/>
        <v>1</v>
      </c>
      <c r="E357" t="str">
        <f t="shared" si="36"/>
        <v>ddhub:KilogramPerHour</v>
      </c>
      <c r="F357" t="s">
        <v>1614</v>
      </c>
      <c r="G357" t="s">
        <v>123</v>
      </c>
      <c r="H357" t="s">
        <v>1615</v>
      </c>
      <c r="J357" t="str">
        <f t="shared" si="32"/>
        <v>ddhub:MassRateQuantity</v>
      </c>
      <c r="K357">
        <f t="shared" si="33"/>
        <v>1</v>
      </c>
      <c r="L357" t="str">
        <f t="shared" si="37"/>
        <v>.</v>
      </c>
    </row>
    <row r="358" spans="1:12">
      <c r="A358" s="4" t="s">
        <v>546</v>
      </c>
      <c r="B358" s="8" t="s">
        <v>432</v>
      </c>
      <c r="C358" t="str">
        <f t="shared" si="34"/>
        <v>ddhub:MassGradientPerLengthQuantity</v>
      </c>
      <c r="D358">
        <f t="shared" si="35"/>
        <v>1</v>
      </c>
      <c r="E358" t="str">
        <f t="shared" si="36"/>
        <v>ddhub:KilogramPerMetre</v>
      </c>
      <c r="F358" t="s">
        <v>1616</v>
      </c>
      <c r="G358" t="s">
        <v>120</v>
      </c>
      <c r="H358" t="s">
        <v>1485</v>
      </c>
      <c r="J358" t="str">
        <f t="shared" si="32"/>
        <v>ddhub:MassGradientPerLengthQuantity</v>
      </c>
      <c r="K358">
        <f t="shared" si="33"/>
        <v>1</v>
      </c>
      <c r="L358" t="str">
        <f t="shared" si="37"/>
        <v>.</v>
      </c>
    </row>
    <row r="359" spans="1:12">
      <c r="A359" s="4" t="s">
        <v>548</v>
      </c>
      <c r="B359" s="8" t="s">
        <v>545</v>
      </c>
      <c r="C359" t="str">
        <f t="shared" si="34"/>
        <v>ddhub:MassRateQuantity</v>
      </c>
      <c r="D359">
        <f t="shared" si="35"/>
        <v>1</v>
      </c>
      <c r="E359" t="str">
        <f t="shared" si="36"/>
        <v>ddhub:KilogramPerMinute</v>
      </c>
      <c r="F359" t="s">
        <v>1617</v>
      </c>
      <c r="G359" t="s">
        <v>123</v>
      </c>
      <c r="H359" t="s">
        <v>1615</v>
      </c>
      <c r="J359" t="str">
        <f t="shared" si="32"/>
        <v>ddhub:MassRateQuantity</v>
      </c>
      <c r="K359">
        <f t="shared" si="33"/>
        <v>1</v>
      </c>
      <c r="L359" t="str">
        <f t="shared" si="37"/>
        <v>.</v>
      </c>
    </row>
    <row r="360" spans="1:12">
      <c r="A360" s="4" t="s">
        <v>549</v>
      </c>
      <c r="B360" s="8" t="s">
        <v>545</v>
      </c>
      <c r="C360" t="str">
        <f t="shared" si="34"/>
        <v>ddhub:MassRateQuantity</v>
      </c>
      <c r="D360">
        <f t="shared" si="35"/>
        <v>1</v>
      </c>
      <c r="E360" t="str">
        <f t="shared" si="36"/>
        <v>ddhub:KilogramPerSecond</v>
      </c>
      <c r="F360" t="s">
        <v>1618</v>
      </c>
      <c r="G360" t="s">
        <v>123</v>
      </c>
      <c r="H360" t="s">
        <v>1615</v>
      </c>
      <c r="J360" t="str">
        <f t="shared" si="32"/>
        <v>ddhub:MassRateQuantity</v>
      </c>
      <c r="K360">
        <f t="shared" si="33"/>
        <v>1</v>
      </c>
      <c r="L360" t="str">
        <f t="shared" si="37"/>
        <v>.</v>
      </c>
    </row>
    <row r="361" spans="1:12">
      <c r="A361" s="4" t="s">
        <v>550</v>
      </c>
      <c r="B361" s="8" t="s">
        <v>545</v>
      </c>
      <c r="C361" t="str">
        <f t="shared" si="34"/>
        <v>ddhub:MassRateQuantity</v>
      </c>
      <c r="D361">
        <f t="shared" si="35"/>
        <v>1</v>
      </c>
      <c r="E361" t="str">
        <f t="shared" si="36"/>
        <v>ddhub:KilogramPerYear</v>
      </c>
      <c r="F361" t="s">
        <v>1619</v>
      </c>
      <c r="G361" t="s">
        <v>123</v>
      </c>
      <c r="H361" t="s">
        <v>1615</v>
      </c>
      <c r="J361" t="str">
        <f t="shared" si="32"/>
        <v>ddhub:MassRateQuantity</v>
      </c>
      <c r="K361">
        <f t="shared" si="33"/>
        <v>1</v>
      </c>
      <c r="L361" t="str">
        <f t="shared" si="37"/>
        <v>.</v>
      </c>
    </row>
    <row r="362" spans="1:12">
      <c r="A362" s="4" t="s">
        <v>551</v>
      </c>
      <c r="B362" s="8" t="s">
        <v>384</v>
      </c>
      <c r="C362" t="str">
        <f t="shared" si="34"/>
        <v>ddhub:FrequencyQuantity</v>
      </c>
      <c r="D362">
        <f t="shared" si="35"/>
        <v>1</v>
      </c>
      <c r="E362" t="str">
        <f t="shared" si="36"/>
        <v>ddhub:Kilohertz</v>
      </c>
      <c r="F362" t="s">
        <v>1620</v>
      </c>
      <c r="G362" t="s">
        <v>77</v>
      </c>
      <c r="H362" t="s">
        <v>1621</v>
      </c>
      <c r="J362" t="str">
        <f t="shared" si="32"/>
        <v>ddhub:FrequencyQuantity</v>
      </c>
      <c r="K362">
        <f t="shared" si="33"/>
        <v>1</v>
      </c>
      <c r="L362" t="str">
        <f t="shared" si="37"/>
        <v>.</v>
      </c>
    </row>
    <row r="363" spans="1:12">
      <c r="A363" s="4" t="s">
        <v>553</v>
      </c>
      <c r="B363" s="8" t="s">
        <v>384</v>
      </c>
      <c r="C363" t="str">
        <f t="shared" si="34"/>
        <v>ddhub:FrequencyRateOfChangeQuantity</v>
      </c>
      <c r="D363">
        <f t="shared" si="35"/>
        <v>0</v>
      </c>
      <c r="E363" t="str">
        <f t="shared" si="36"/>
        <v>ddhub:KiloHertzPerDay</v>
      </c>
      <c r="F363" t="s">
        <v>1622</v>
      </c>
      <c r="G363" t="s">
        <v>81</v>
      </c>
      <c r="H363" t="s">
        <v>1441</v>
      </c>
      <c r="J363" t="str">
        <f t="shared" si="32"/>
        <v>ddhub:FrequencyRateOfChangeQuantity</v>
      </c>
      <c r="K363">
        <f t="shared" si="33"/>
        <v>0</v>
      </c>
      <c r="L363" t="str">
        <f t="shared" si="37"/>
        <v>.</v>
      </c>
    </row>
    <row r="364" spans="1:12">
      <c r="A364" s="4" t="s">
        <v>554</v>
      </c>
      <c r="B364" s="8" t="s">
        <v>384</v>
      </c>
      <c r="C364" t="str">
        <f t="shared" si="34"/>
        <v>ddhub:FrequencyRateOfChangeQuantity</v>
      </c>
      <c r="D364">
        <f t="shared" si="35"/>
        <v>0</v>
      </c>
      <c r="E364" t="str">
        <f t="shared" si="36"/>
        <v>ddhub:KiloHertzPerHour</v>
      </c>
      <c r="F364" t="s">
        <v>1623</v>
      </c>
      <c r="G364" t="s">
        <v>81</v>
      </c>
      <c r="H364" t="s">
        <v>1441</v>
      </c>
      <c r="J364" t="str">
        <f t="shared" si="32"/>
        <v>ddhub:FrequencyRateOfChangeQuantity</v>
      </c>
      <c r="K364">
        <f t="shared" si="33"/>
        <v>0</v>
      </c>
      <c r="L364" t="str">
        <f t="shared" si="37"/>
        <v>.</v>
      </c>
    </row>
    <row r="365" spans="1:12">
      <c r="A365" s="4" t="s">
        <v>555</v>
      </c>
      <c r="B365" s="8" t="s">
        <v>384</v>
      </c>
      <c r="C365" t="str">
        <f t="shared" si="34"/>
        <v>ddhub:FrequencyRateOfChangeQuantity</v>
      </c>
      <c r="D365">
        <f t="shared" si="35"/>
        <v>0</v>
      </c>
      <c r="E365" t="str">
        <f t="shared" si="36"/>
        <v>ddhub:KiloHertzPerMinute</v>
      </c>
      <c r="F365" t="s">
        <v>1624</v>
      </c>
      <c r="G365" t="s">
        <v>81</v>
      </c>
      <c r="H365" t="s">
        <v>1441</v>
      </c>
      <c r="J365" t="str">
        <f t="shared" si="32"/>
        <v>ddhub:FrequencyRateOfChangeQuantity</v>
      </c>
      <c r="K365">
        <f t="shared" si="33"/>
        <v>0</v>
      </c>
      <c r="L365" t="str">
        <f t="shared" si="37"/>
        <v>.</v>
      </c>
    </row>
    <row r="366" spans="1:12">
      <c r="A366" s="4" t="s">
        <v>556</v>
      </c>
      <c r="B366" s="8" t="s">
        <v>384</v>
      </c>
      <c r="C366" t="str">
        <f t="shared" si="34"/>
        <v>ddhub:FrequencyRateOfChangeQuantity</v>
      </c>
      <c r="D366">
        <f t="shared" si="35"/>
        <v>0</v>
      </c>
      <c r="E366" t="str">
        <f t="shared" si="36"/>
        <v>ddhub:KiloHertzPerSecond</v>
      </c>
      <c r="F366" t="s">
        <v>1625</v>
      </c>
      <c r="G366" t="s">
        <v>81</v>
      </c>
      <c r="H366" t="s">
        <v>1441</v>
      </c>
      <c r="J366" t="str">
        <f t="shared" si="32"/>
        <v>ddhub:FrequencyRateOfChangeQuantity</v>
      </c>
      <c r="K366">
        <f t="shared" si="33"/>
        <v>0</v>
      </c>
      <c r="L366" t="str">
        <f t="shared" si="37"/>
        <v>.</v>
      </c>
    </row>
    <row r="367" spans="1:12">
      <c r="A367" s="4" t="s">
        <v>557</v>
      </c>
      <c r="B367" s="8" t="s">
        <v>384</v>
      </c>
      <c r="C367" t="str">
        <f t="shared" si="34"/>
        <v>ddhub:FrequencyRateOfChangeQuantity</v>
      </c>
      <c r="D367">
        <f t="shared" si="35"/>
        <v>0</v>
      </c>
      <c r="E367" t="str">
        <f t="shared" si="36"/>
        <v>ddhub:KiloHertzPerYear</v>
      </c>
      <c r="F367" t="s">
        <v>1626</v>
      </c>
      <c r="G367" t="s">
        <v>81</v>
      </c>
      <c r="H367" t="s">
        <v>1441</v>
      </c>
      <c r="J367" t="str">
        <f t="shared" si="32"/>
        <v>ddhub:FrequencyRateOfChangeQuantity</v>
      </c>
      <c r="K367">
        <f t="shared" si="33"/>
        <v>0</v>
      </c>
      <c r="L367" t="str">
        <f t="shared" si="37"/>
        <v>.</v>
      </c>
    </row>
    <row r="368" spans="1:12">
      <c r="A368" s="4" t="s">
        <v>558</v>
      </c>
      <c r="B368" s="8" t="s">
        <v>76</v>
      </c>
      <c r="C368" t="str">
        <f t="shared" si="34"/>
        <v>ddhub:EnergyQuantity</v>
      </c>
      <c r="D368">
        <f t="shared" si="35"/>
        <v>1</v>
      </c>
      <c r="E368" t="str">
        <f t="shared" si="36"/>
        <v>ddhub:Kilojoule</v>
      </c>
      <c r="F368" t="s">
        <v>1627</v>
      </c>
      <c r="G368" t="s">
        <v>67</v>
      </c>
      <c r="H368" t="s">
        <v>1628</v>
      </c>
      <c r="J368" t="str">
        <f t="shared" si="32"/>
        <v>ddhub:EnergyQuantity</v>
      </c>
      <c r="K368">
        <f t="shared" si="33"/>
        <v>1</v>
      </c>
      <c r="L368" t="str">
        <f t="shared" si="37"/>
        <v>.</v>
      </c>
    </row>
    <row r="369" spans="1:12">
      <c r="A369" s="4" t="s">
        <v>560</v>
      </c>
      <c r="B369" s="8" t="s">
        <v>89</v>
      </c>
      <c r="C369" t="str">
        <f t="shared" si="34"/>
        <v>ddhub:EnergyDensityQuantity</v>
      </c>
      <c r="D369">
        <f t="shared" si="35"/>
        <v>1</v>
      </c>
      <c r="E369" t="str">
        <f t="shared" si="36"/>
        <v>ddhub:KilojoulePerCubicFoot</v>
      </c>
      <c r="F369" t="s">
        <v>1629</v>
      </c>
      <c r="G369" t="s">
        <v>64</v>
      </c>
      <c r="H369" t="s">
        <v>1164</v>
      </c>
      <c r="J369" t="str">
        <f t="shared" si="32"/>
        <v>ddhub:EnergyDensityQuantity</v>
      </c>
      <c r="K369">
        <f t="shared" si="33"/>
        <v>1</v>
      </c>
      <c r="L369" t="str">
        <f t="shared" si="37"/>
        <v>.</v>
      </c>
    </row>
    <row r="370" spans="1:12">
      <c r="A370" s="4" t="s">
        <v>561</v>
      </c>
      <c r="B370" s="8" t="s">
        <v>89</v>
      </c>
      <c r="C370" t="str">
        <f t="shared" si="34"/>
        <v>ddhub:EnergyDensityQuantity</v>
      </c>
      <c r="D370">
        <f t="shared" si="35"/>
        <v>1</v>
      </c>
      <c r="E370" t="str">
        <f t="shared" si="36"/>
        <v>ddhub:KilojoulePerCubicInch</v>
      </c>
      <c r="F370" t="s">
        <v>1630</v>
      </c>
      <c r="G370" t="s">
        <v>64</v>
      </c>
      <c r="H370" t="s">
        <v>1164</v>
      </c>
      <c r="J370" t="str">
        <f t="shared" si="32"/>
        <v>ddhub:EnergyDensityQuantity</v>
      </c>
      <c r="K370">
        <f t="shared" si="33"/>
        <v>1</v>
      </c>
      <c r="L370" t="str">
        <f t="shared" si="37"/>
        <v>.</v>
      </c>
    </row>
    <row r="371" spans="1:12">
      <c r="A371" s="4" t="s">
        <v>562</v>
      </c>
      <c r="B371" s="8" t="s">
        <v>89</v>
      </c>
      <c r="C371" t="str">
        <f t="shared" si="34"/>
        <v>ddhub:EnergyDensityQuantity</v>
      </c>
      <c r="D371">
        <f t="shared" si="35"/>
        <v>1</v>
      </c>
      <c r="E371" t="str">
        <f t="shared" si="36"/>
        <v>ddhub:KilojoulePerCubicMetre</v>
      </c>
      <c r="F371" t="s">
        <v>1631</v>
      </c>
      <c r="G371" t="s">
        <v>64</v>
      </c>
      <c r="H371" t="s">
        <v>1164</v>
      </c>
      <c r="J371" t="str">
        <f t="shared" si="32"/>
        <v>ddhub:EnergyDensityQuantity</v>
      </c>
      <c r="K371">
        <f t="shared" si="33"/>
        <v>1</v>
      </c>
      <c r="L371" t="str">
        <f t="shared" si="37"/>
        <v>.</v>
      </c>
    </row>
    <row r="372" spans="1:12">
      <c r="A372" s="4" t="s">
        <v>563</v>
      </c>
      <c r="B372" s="8" t="s">
        <v>89</v>
      </c>
      <c r="C372" t="str">
        <f t="shared" si="34"/>
        <v>ddhub:EnergyDensityQuantity</v>
      </c>
      <c r="D372">
        <f t="shared" si="35"/>
        <v>1</v>
      </c>
      <c r="E372" t="str">
        <f t="shared" si="36"/>
        <v>ddhub:KilojoulePerGallonUk</v>
      </c>
      <c r="F372" t="s">
        <v>1632</v>
      </c>
      <c r="G372" t="s">
        <v>64</v>
      </c>
      <c r="H372" t="s">
        <v>1164</v>
      </c>
      <c r="J372" t="str">
        <f t="shared" si="32"/>
        <v>ddhub:EnergyDensityQuantity</v>
      </c>
      <c r="K372">
        <f t="shared" si="33"/>
        <v>1</v>
      </c>
      <c r="L372" t="str">
        <f t="shared" si="37"/>
        <v>.</v>
      </c>
    </row>
    <row r="373" spans="1:12">
      <c r="A373" s="4" t="s">
        <v>564</v>
      </c>
      <c r="B373" s="8" t="s">
        <v>89</v>
      </c>
      <c r="C373" t="str">
        <f t="shared" si="34"/>
        <v>ddhub:EnergyDensityQuantity</v>
      </c>
      <c r="D373">
        <f t="shared" si="35"/>
        <v>1</v>
      </c>
      <c r="E373" t="str">
        <f t="shared" si="36"/>
        <v>ddhub:KilojoulePerGallonUs</v>
      </c>
      <c r="F373" t="s">
        <v>1633</v>
      </c>
      <c r="G373" t="s">
        <v>64</v>
      </c>
      <c r="H373" t="s">
        <v>1164</v>
      </c>
      <c r="J373" t="str">
        <f t="shared" ref="J373:J436" si="38">"ddhub:"&amp;G373</f>
        <v>ddhub:EnergyDensityQuantity</v>
      </c>
      <c r="K373">
        <f t="shared" ref="K373:K436" si="39">IF(B373=J373,1,0)</f>
        <v>1</v>
      </c>
      <c r="L373" t="str">
        <f t="shared" si="37"/>
        <v>.</v>
      </c>
    </row>
    <row r="374" spans="1:12">
      <c r="A374" s="4" t="s">
        <v>565</v>
      </c>
      <c r="B374" s="8" t="s">
        <v>89</v>
      </c>
      <c r="C374" t="str">
        <f t="shared" si="34"/>
        <v>ddhub:EnergyDensityQuantity</v>
      </c>
      <c r="D374">
        <f t="shared" si="35"/>
        <v>1</v>
      </c>
      <c r="E374" t="str">
        <f t="shared" si="36"/>
        <v>ddhub:KilojoulePerLitre</v>
      </c>
      <c r="F374" t="s">
        <v>1634</v>
      </c>
      <c r="G374" t="s">
        <v>64</v>
      </c>
      <c r="H374" t="s">
        <v>1164</v>
      </c>
      <c r="J374" t="str">
        <f t="shared" si="38"/>
        <v>ddhub:EnergyDensityQuantity</v>
      </c>
      <c r="K374">
        <f t="shared" si="39"/>
        <v>1</v>
      </c>
      <c r="L374" t="str">
        <f t="shared" si="37"/>
        <v>.</v>
      </c>
    </row>
    <row r="375" spans="1:12">
      <c r="A375" s="4" t="s">
        <v>566</v>
      </c>
      <c r="B375" s="8" t="s">
        <v>9</v>
      </c>
      <c r="C375" t="str">
        <f t="shared" si="34"/>
        <v>ddhub:MagneticFluxQuantity</v>
      </c>
      <c r="D375">
        <f t="shared" si="35"/>
        <v>0</v>
      </c>
      <c r="E375" t="str">
        <f t="shared" si="36"/>
        <v>ddhub:Kiloline</v>
      </c>
      <c r="F375" t="s">
        <v>1635</v>
      </c>
      <c r="G375" t="s">
        <v>109</v>
      </c>
      <c r="H375" t="s">
        <v>1636</v>
      </c>
      <c r="J375" t="str">
        <f t="shared" si="38"/>
        <v>ddhub:MagneticFluxQuantity</v>
      </c>
      <c r="K375">
        <f t="shared" si="39"/>
        <v>0</v>
      </c>
      <c r="L375" t="str">
        <f t="shared" si="37"/>
        <v>.</v>
      </c>
    </row>
    <row r="376" spans="1:12">
      <c r="A376" s="4" t="s">
        <v>567</v>
      </c>
      <c r="B376" s="5" t="s">
        <v>9</v>
      </c>
      <c r="C376" t="str">
        <f t="shared" si="34"/>
        <v>ddhub:LengthQuantity</v>
      </c>
      <c r="D376">
        <f t="shared" si="35"/>
        <v>1</v>
      </c>
      <c r="E376" t="str">
        <f t="shared" si="36"/>
        <v>ddhub:Kilometre</v>
      </c>
      <c r="F376" t="s">
        <v>1637</v>
      </c>
      <c r="G376" t="s">
        <v>10</v>
      </c>
      <c r="H376" t="s">
        <v>1638</v>
      </c>
      <c r="J376" t="str">
        <f t="shared" si="38"/>
        <v>ddhub:LengthQuantity</v>
      </c>
      <c r="K376">
        <f t="shared" si="39"/>
        <v>1</v>
      </c>
      <c r="L376" t="str">
        <f t="shared" si="37"/>
        <v>.</v>
      </c>
    </row>
    <row r="377" spans="1:12">
      <c r="A377" s="4" t="s">
        <v>569</v>
      </c>
      <c r="B377" s="8" t="s">
        <v>172</v>
      </c>
      <c r="C377" t="str">
        <f t="shared" si="34"/>
        <v>ddhub:VelocityQuantity</v>
      </c>
      <c r="D377">
        <f t="shared" si="35"/>
        <v>1</v>
      </c>
      <c r="E377" t="str">
        <f t="shared" si="36"/>
        <v>ddhub:KilometrePerDay</v>
      </c>
      <c r="F377" t="s">
        <v>1639</v>
      </c>
      <c r="G377" t="s">
        <v>68</v>
      </c>
      <c r="H377" t="s">
        <v>1218</v>
      </c>
      <c r="J377" t="str">
        <f t="shared" si="38"/>
        <v>ddhub:VelocityQuantity</v>
      </c>
      <c r="K377">
        <f t="shared" si="39"/>
        <v>1</v>
      </c>
      <c r="L377" t="str">
        <f t="shared" si="37"/>
        <v>.</v>
      </c>
    </row>
    <row r="378" spans="1:12">
      <c r="A378" s="4" t="s">
        <v>570</v>
      </c>
      <c r="B378" s="8" t="s">
        <v>172</v>
      </c>
      <c r="C378" t="str">
        <f t="shared" si="34"/>
        <v>ddhub:VelocityQuantity</v>
      </c>
      <c r="D378">
        <f t="shared" si="35"/>
        <v>1</v>
      </c>
      <c r="E378" t="str">
        <f t="shared" si="36"/>
        <v>ddhub:KilometrePerHour</v>
      </c>
      <c r="F378" t="s">
        <v>1640</v>
      </c>
      <c r="G378" t="s">
        <v>68</v>
      </c>
      <c r="H378" t="s">
        <v>1218</v>
      </c>
      <c r="J378" t="str">
        <f t="shared" si="38"/>
        <v>ddhub:VelocityQuantity</v>
      </c>
      <c r="K378">
        <f t="shared" si="39"/>
        <v>1</v>
      </c>
      <c r="L378" t="str">
        <f t="shared" si="37"/>
        <v>.</v>
      </c>
    </row>
    <row r="379" spans="1:12">
      <c r="A379" s="4" t="s">
        <v>571</v>
      </c>
      <c r="B379" s="8" t="s">
        <v>176</v>
      </c>
      <c r="C379" t="str">
        <f t="shared" si="34"/>
        <v>ddhub:AccelerationQuantity</v>
      </c>
      <c r="D379">
        <f t="shared" si="35"/>
        <v>1</v>
      </c>
      <c r="E379" t="str">
        <f t="shared" si="36"/>
        <v>ddhub:KilometrePerHourPerSecond</v>
      </c>
      <c r="F379" t="s">
        <v>1641</v>
      </c>
      <c r="G379" t="s">
        <v>11</v>
      </c>
      <c r="H379" t="s">
        <v>1221</v>
      </c>
      <c r="J379" t="str">
        <f t="shared" si="38"/>
        <v>ddhub:AccelerationQuantity</v>
      </c>
      <c r="K379">
        <f t="shared" si="39"/>
        <v>1</v>
      </c>
      <c r="L379" t="str">
        <f t="shared" si="37"/>
        <v>.</v>
      </c>
    </row>
    <row r="380" spans="1:12">
      <c r="A380" s="4" t="s">
        <v>572</v>
      </c>
      <c r="B380" s="8" t="s">
        <v>172</v>
      </c>
      <c r="C380" t="str">
        <f t="shared" si="34"/>
        <v>ddhub:VelocityQuantity</v>
      </c>
      <c r="D380">
        <f t="shared" si="35"/>
        <v>1</v>
      </c>
      <c r="E380" t="str">
        <f t="shared" si="36"/>
        <v>ddhub:KilometrePerMinute</v>
      </c>
      <c r="F380" t="s">
        <v>1642</v>
      </c>
      <c r="G380" t="s">
        <v>68</v>
      </c>
      <c r="H380" t="s">
        <v>1218</v>
      </c>
      <c r="J380" t="str">
        <f t="shared" si="38"/>
        <v>ddhub:VelocityQuantity</v>
      </c>
      <c r="K380">
        <f t="shared" si="39"/>
        <v>1</v>
      </c>
      <c r="L380" t="str">
        <f t="shared" si="37"/>
        <v>.</v>
      </c>
    </row>
    <row r="381" spans="1:12">
      <c r="A381" s="4" t="s">
        <v>573</v>
      </c>
      <c r="B381" s="8" t="s">
        <v>176</v>
      </c>
      <c r="C381" t="str">
        <f t="shared" si="34"/>
        <v>ddhub:AccelerationQuantity</v>
      </c>
      <c r="D381">
        <f t="shared" si="35"/>
        <v>1</v>
      </c>
      <c r="E381" t="str">
        <f t="shared" si="36"/>
        <v>ddhub:KilometrePerMinutePerSecond</v>
      </c>
      <c r="F381" t="s">
        <v>1643</v>
      </c>
      <c r="G381" t="s">
        <v>11</v>
      </c>
      <c r="H381" t="s">
        <v>1221</v>
      </c>
      <c r="J381" t="str">
        <f t="shared" si="38"/>
        <v>ddhub:AccelerationQuantity</v>
      </c>
      <c r="K381">
        <f t="shared" si="39"/>
        <v>1</v>
      </c>
      <c r="L381" t="str">
        <f t="shared" si="37"/>
        <v>.</v>
      </c>
    </row>
    <row r="382" spans="1:12">
      <c r="A382" s="4" t="s">
        <v>574</v>
      </c>
      <c r="B382" s="8" t="s">
        <v>172</v>
      </c>
      <c r="C382" t="str">
        <f t="shared" si="34"/>
        <v>ddhub:VelocityQuantity</v>
      </c>
      <c r="D382">
        <f t="shared" si="35"/>
        <v>1</v>
      </c>
      <c r="E382" t="str">
        <f t="shared" si="36"/>
        <v>ddhub:KilometrePerSecond</v>
      </c>
      <c r="F382" t="s">
        <v>1644</v>
      </c>
      <c r="G382" t="s">
        <v>68</v>
      </c>
      <c r="H382" t="s">
        <v>1218</v>
      </c>
      <c r="J382" t="str">
        <f t="shared" si="38"/>
        <v>ddhub:VelocityQuantity</v>
      </c>
      <c r="K382">
        <f t="shared" si="39"/>
        <v>1</v>
      </c>
      <c r="L382" t="str">
        <f t="shared" si="37"/>
        <v>.</v>
      </c>
    </row>
    <row r="383" spans="1:12">
      <c r="A383" s="4" t="s">
        <v>575</v>
      </c>
      <c r="B383" s="8" t="s">
        <v>176</v>
      </c>
      <c r="C383" t="str">
        <f t="shared" si="34"/>
        <v>ddhub:AccelerationQuantity</v>
      </c>
      <c r="D383">
        <f t="shared" si="35"/>
        <v>1</v>
      </c>
      <c r="E383" t="str">
        <f t="shared" si="36"/>
        <v>ddhub:KilometrePerSecondSquared</v>
      </c>
      <c r="F383" t="s">
        <v>1645</v>
      </c>
      <c r="G383" t="s">
        <v>11</v>
      </c>
      <c r="H383" t="s">
        <v>1229</v>
      </c>
      <c r="J383" t="str">
        <f t="shared" si="38"/>
        <v>ddhub:AccelerationQuantity</v>
      </c>
      <c r="K383">
        <f t="shared" si="39"/>
        <v>1</v>
      </c>
      <c r="L383" t="str">
        <f t="shared" si="37"/>
        <v>.</v>
      </c>
    </row>
    <row r="384" spans="1:12">
      <c r="A384" s="4" t="s">
        <v>576</v>
      </c>
      <c r="B384" s="8" t="s">
        <v>192</v>
      </c>
      <c r="C384" t="str">
        <f t="shared" si="34"/>
        <v>ddhub:AmountSubstanceQuantity</v>
      </c>
      <c r="D384">
        <f t="shared" si="35"/>
        <v>1</v>
      </c>
      <c r="E384" t="str">
        <f t="shared" si="36"/>
        <v>ddhub:Kilomole</v>
      </c>
      <c r="F384" t="s">
        <v>1646</v>
      </c>
      <c r="G384" t="s">
        <v>15</v>
      </c>
      <c r="H384" t="s">
        <v>1647</v>
      </c>
      <c r="J384" t="str">
        <f t="shared" si="38"/>
        <v>ddhub:AmountSubstanceQuantity</v>
      </c>
      <c r="K384">
        <f t="shared" si="39"/>
        <v>1</v>
      </c>
      <c r="L384" t="str">
        <f t="shared" si="37"/>
        <v>.</v>
      </c>
    </row>
    <row r="385" spans="1:12">
      <c r="A385" s="4" t="s">
        <v>577</v>
      </c>
      <c r="B385" s="8" t="s">
        <v>1275</v>
      </c>
      <c r="C385" t="str">
        <f t="shared" si="34"/>
        <v>ddhub:ForceQuantity</v>
      </c>
      <c r="D385">
        <f t="shared" si="35"/>
        <v>1</v>
      </c>
      <c r="E385" t="str">
        <f t="shared" si="36"/>
        <v>ddhub:Kilonewton</v>
      </c>
      <c r="F385" t="s">
        <v>1648</v>
      </c>
      <c r="G385" t="s">
        <v>61</v>
      </c>
      <c r="H385" t="s">
        <v>1649</v>
      </c>
      <c r="J385" t="str">
        <f t="shared" si="38"/>
        <v>ddhub:ForceQuantity</v>
      </c>
      <c r="K385">
        <f t="shared" si="39"/>
        <v>1</v>
      </c>
      <c r="L385" t="str">
        <f t="shared" si="37"/>
        <v>.</v>
      </c>
    </row>
    <row r="386" spans="1:12">
      <c r="A386" s="4" t="s">
        <v>579</v>
      </c>
      <c r="B386" s="8" t="s">
        <v>236</v>
      </c>
      <c r="C386" t="str">
        <f t="shared" si="34"/>
        <v>ddhub:TorqueQuantity</v>
      </c>
      <c r="D386">
        <f t="shared" si="35"/>
        <v>1</v>
      </c>
      <c r="E386" t="str">
        <f t="shared" si="36"/>
        <v>ddhub:KilonewtonMetre</v>
      </c>
      <c r="F386" t="s">
        <v>1650</v>
      </c>
      <c r="G386" t="s">
        <v>94</v>
      </c>
      <c r="H386" t="s">
        <v>1651</v>
      </c>
      <c r="J386" t="str">
        <f t="shared" si="38"/>
        <v>ddhub:TorqueQuantity</v>
      </c>
      <c r="K386">
        <f t="shared" si="39"/>
        <v>1</v>
      </c>
      <c r="L386" t="str">
        <f t="shared" si="37"/>
        <v>.</v>
      </c>
    </row>
    <row r="387" spans="1:12">
      <c r="A387" s="4" t="s">
        <v>581</v>
      </c>
      <c r="B387" s="8" t="s">
        <v>238</v>
      </c>
      <c r="C387" t="str">
        <f t="shared" ref="C387:C450" si="40">VLOOKUP(A387,E$2:J$838,6)</f>
        <v>ddhub:TorqueGradientPerLengthQuantity</v>
      </c>
      <c r="D387">
        <f t="shared" ref="D387:D450" si="41">IF(B387=C387,1,0)</f>
        <v>1</v>
      </c>
      <c r="E387" t="str">
        <f t="shared" ref="E387:E450" si="42">"ddhub:"&amp;F387</f>
        <v>ddhub:KilonewtonMetrePerCentimetre</v>
      </c>
      <c r="F387" t="s">
        <v>1652</v>
      </c>
      <c r="G387" t="s">
        <v>164</v>
      </c>
      <c r="H387" t="s">
        <v>1281</v>
      </c>
      <c r="J387" t="str">
        <f t="shared" si="38"/>
        <v>ddhub:TorqueGradientPerLengthQuantity</v>
      </c>
      <c r="K387">
        <f t="shared" si="39"/>
        <v>1</v>
      </c>
      <c r="L387" t="str">
        <f t="shared" ref="L387:L450" si="43">IF(D387=K387,".","?")</f>
        <v>.</v>
      </c>
    </row>
    <row r="388" spans="1:12">
      <c r="A388" s="4" t="s">
        <v>582</v>
      </c>
      <c r="B388" s="8" t="s">
        <v>238</v>
      </c>
      <c r="C388" t="str">
        <f t="shared" si="40"/>
        <v>ddhub:TorqueGradientPerLengthQuantity</v>
      </c>
      <c r="D388">
        <f t="shared" si="41"/>
        <v>1</v>
      </c>
      <c r="E388" t="str">
        <f t="shared" si="42"/>
        <v>ddhub:KilonewtonMetrePerDecimetre</v>
      </c>
      <c r="F388" t="s">
        <v>1653</v>
      </c>
      <c r="G388" t="s">
        <v>164</v>
      </c>
      <c r="H388" t="s">
        <v>1281</v>
      </c>
      <c r="J388" t="str">
        <f t="shared" si="38"/>
        <v>ddhub:TorqueGradientPerLengthQuantity</v>
      </c>
      <c r="K388">
        <f t="shared" si="39"/>
        <v>1</v>
      </c>
      <c r="L388" t="str">
        <f t="shared" si="43"/>
        <v>.</v>
      </c>
    </row>
    <row r="389" spans="1:12">
      <c r="A389" s="4" t="s">
        <v>583</v>
      </c>
      <c r="B389" s="8" t="s">
        <v>238</v>
      </c>
      <c r="C389" t="str">
        <f t="shared" si="40"/>
        <v>ddhub:TorqueGradientPerLengthQuantity</v>
      </c>
      <c r="D389">
        <f t="shared" si="41"/>
        <v>1</v>
      </c>
      <c r="E389" t="str">
        <f t="shared" si="42"/>
        <v>ddhub:KilonewtonMetrePerFoot</v>
      </c>
      <c r="F389" t="s">
        <v>1654</v>
      </c>
      <c r="G389" t="s">
        <v>164</v>
      </c>
      <c r="H389" t="s">
        <v>1281</v>
      </c>
      <c r="J389" t="str">
        <f t="shared" si="38"/>
        <v>ddhub:TorqueGradientPerLengthQuantity</v>
      </c>
      <c r="K389">
        <f t="shared" si="39"/>
        <v>1</v>
      </c>
      <c r="L389" t="str">
        <f t="shared" si="43"/>
        <v>.</v>
      </c>
    </row>
    <row r="390" spans="1:12">
      <c r="A390" s="4" t="s">
        <v>584</v>
      </c>
      <c r="B390" s="8" t="s">
        <v>238</v>
      </c>
      <c r="C390" t="str">
        <f t="shared" si="40"/>
        <v>ddhub:TorqueGradientPerLengthQuantity</v>
      </c>
      <c r="D390">
        <f t="shared" si="41"/>
        <v>1</v>
      </c>
      <c r="E390" t="str">
        <f t="shared" si="42"/>
        <v>ddhub:KilonewtonMetrePerInch</v>
      </c>
      <c r="F390" t="s">
        <v>1655</v>
      </c>
      <c r="G390" t="s">
        <v>164</v>
      </c>
      <c r="H390" t="s">
        <v>1281</v>
      </c>
      <c r="J390" t="str">
        <f t="shared" si="38"/>
        <v>ddhub:TorqueGradientPerLengthQuantity</v>
      </c>
      <c r="K390">
        <f t="shared" si="39"/>
        <v>1</v>
      </c>
      <c r="L390" t="str">
        <f t="shared" si="43"/>
        <v>.</v>
      </c>
    </row>
    <row r="391" spans="1:12">
      <c r="A391" s="4" t="s">
        <v>585</v>
      </c>
      <c r="B391" s="8" t="s">
        <v>238</v>
      </c>
      <c r="C391" t="str">
        <f t="shared" si="40"/>
        <v>ddhub:TorqueGradientPerLengthQuantity</v>
      </c>
      <c r="D391">
        <f t="shared" si="41"/>
        <v>1</v>
      </c>
      <c r="E391" t="str">
        <f t="shared" si="42"/>
        <v>ddhub:KilonewtonMetrePerMetre</v>
      </c>
      <c r="F391" t="s">
        <v>1656</v>
      </c>
      <c r="G391" t="s">
        <v>164</v>
      </c>
      <c r="H391" t="s">
        <v>1281</v>
      </c>
      <c r="J391" t="str">
        <f t="shared" si="38"/>
        <v>ddhub:TorqueGradientPerLengthQuantity</v>
      </c>
      <c r="K391">
        <f t="shared" si="39"/>
        <v>1</v>
      </c>
      <c r="L391" t="str">
        <f t="shared" si="43"/>
        <v>.</v>
      </c>
    </row>
    <row r="392" spans="1:12">
      <c r="A392" s="4" t="s">
        <v>586</v>
      </c>
      <c r="B392" s="8" t="s">
        <v>238</v>
      </c>
      <c r="C392" t="str">
        <f t="shared" si="40"/>
        <v>ddhub:TorqueGradientPerLengthQuantity</v>
      </c>
      <c r="D392">
        <f t="shared" si="41"/>
        <v>1</v>
      </c>
      <c r="E392" t="str">
        <f t="shared" si="42"/>
        <v>ddhub:KilonewtonMetrePerMillimetre</v>
      </c>
      <c r="F392" t="s">
        <v>1657</v>
      </c>
      <c r="G392" t="s">
        <v>164</v>
      </c>
      <c r="H392" t="s">
        <v>1281</v>
      </c>
      <c r="J392" t="str">
        <f t="shared" si="38"/>
        <v>ddhub:TorqueGradientPerLengthQuantity</v>
      </c>
      <c r="K392">
        <f t="shared" si="39"/>
        <v>1</v>
      </c>
      <c r="L392" t="str">
        <f t="shared" si="43"/>
        <v>.</v>
      </c>
    </row>
    <row r="393" spans="1:12">
      <c r="A393" s="4" t="s">
        <v>587</v>
      </c>
      <c r="B393" s="8" t="s">
        <v>246</v>
      </c>
      <c r="C393" t="str">
        <f t="shared" si="40"/>
        <v>ddhub:ForceGradientPerLengthQuantity</v>
      </c>
      <c r="D393">
        <f t="shared" si="41"/>
        <v>1</v>
      </c>
      <c r="E393" t="str">
        <f t="shared" si="42"/>
        <v>ddhub:KilonewtonPer10Metre</v>
      </c>
      <c r="F393" t="s">
        <v>1658</v>
      </c>
      <c r="G393" t="s">
        <v>73</v>
      </c>
      <c r="H393" t="s">
        <v>1288</v>
      </c>
      <c r="J393" t="str">
        <f t="shared" si="38"/>
        <v>ddhub:ForceGradientPerLengthQuantity</v>
      </c>
      <c r="K393">
        <f t="shared" si="39"/>
        <v>1</v>
      </c>
      <c r="L393" t="str">
        <f t="shared" si="43"/>
        <v>.</v>
      </c>
    </row>
    <row r="394" spans="1:12">
      <c r="A394" s="4" t="s">
        <v>588</v>
      </c>
      <c r="B394" s="8" t="s">
        <v>246</v>
      </c>
      <c r="C394" t="str">
        <f t="shared" si="40"/>
        <v>ddhub:ForceGradientPerLengthQuantity</v>
      </c>
      <c r="D394">
        <f t="shared" si="41"/>
        <v>1</v>
      </c>
      <c r="E394" t="str">
        <f t="shared" si="42"/>
        <v>ddhub:KilonewtonPer30Metre</v>
      </c>
      <c r="F394" t="s">
        <v>1659</v>
      </c>
      <c r="G394" t="s">
        <v>73</v>
      </c>
      <c r="H394" t="s">
        <v>1288</v>
      </c>
      <c r="J394" t="str">
        <f t="shared" si="38"/>
        <v>ddhub:ForceGradientPerLengthQuantity</v>
      </c>
      <c r="K394">
        <f t="shared" si="39"/>
        <v>1</v>
      </c>
      <c r="L394" t="str">
        <f t="shared" si="43"/>
        <v>.</v>
      </c>
    </row>
    <row r="395" spans="1:12">
      <c r="A395" s="4" t="s">
        <v>589</v>
      </c>
      <c r="B395" s="8" t="s">
        <v>170</v>
      </c>
      <c r="C395" t="str">
        <f t="shared" si="40"/>
        <v>ddhub:ForceGradientPerLengthQuantity</v>
      </c>
      <c r="D395">
        <f t="shared" si="41"/>
        <v>0</v>
      </c>
      <c r="E395" t="str">
        <f t="shared" si="42"/>
        <v>ddhub:KilonewtonPerCentimetre</v>
      </c>
      <c r="F395" t="s">
        <v>1660</v>
      </c>
      <c r="G395" t="s">
        <v>73</v>
      </c>
      <c r="H395" t="s">
        <v>1288</v>
      </c>
      <c r="J395" t="str">
        <f t="shared" si="38"/>
        <v>ddhub:ForceGradientPerLengthQuantity</v>
      </c>
      <c r="K395">
        <f t="shared" si="39"/>
        <v>0</v>
      </c>
      <c r="L395" t="str">
        <f t="shared" si="43"/>
        <v>.</v>
      </c>
    </row>
    <row r="396" spans="1:12">
      <c r="A396" s="4" t="s">
        <v>590</v>
      </c>
      <c r="B396" s="8" t="s">
        <v>170</v>
      </c>
      <c r="C396" t="str">
        <f t="shared" si="40"/>
        <v>ddhub:ForceGradientPerLengthQuantity</v>
      </c>
      <c r="D396">
        <f t="shared" si="41"/>
        <v>0</v>
      </c>
      <c r="E396" t="str">
        <f t="shared" si="42"/>
        <v>ddhub:KilonewtonPerDecimetre</v>
      </c>
      <c r="F396" t="s">
        <v>1661</v>
      </c>
      <c r="G396" t="s">
        <v>73</v>
      </c>
      <c r="H396" t="s">
        <v>1288</v>
      </c>
      <c r="J396" t="str">
        <f t="shared" si="38"/>
        <v>ddhub:ForceGradientPerLengthQuantity</v>
      </c>
      <c r="K396">
        <f t="shared" si="39"/>
        <v>0</v>
      </c>
      <c r="L396" t="str">
        <f t="shared" si="43"/>
        <v>.</v>
      </c>
    </row>
    <row r="397" spans="1:12">
      <c r="A397" s="4" t="s">
        <v>591</v>
      </c>
      <c r="B397" s="8" t="s">
        <v>246</v>
      </c>
      <c r="C397" t="str">
        <f t="shared" si="40"/>
        <v>ddhub:ForceGradientPerLengthQuantity</v>
      </c>
      <c r="D397">
        <f t="shared" si="41"/>
        <v>1</v>
      </c>
      <c r="E397" t="str">
        <f t="shared" si="42"/>
        <v>ddhub:KilonewtonPerMetre</v>
      </c>
      <c r="F397" t="s">
        <v>1662</v>
      </c>
      <c r="G397" t="s">
        <v>73</v>
      </c>
      <c r="H397" t="s">
        <v>1288</v>
      </c>
      <c r="J397" t="str">
        <f t="shared" si="38"/>
        <v>ddhub:ForceGradientPerLengthQuantity</v>
      </c>
      <c r="K397">
        <f t="shared" si="39"/>
        <v>1</v>
      </c>
      <c r="L397" t="str">
        <f t="shared" si="43"/>
        <v>.</v>
      </c>
    </row>
    <row r="398" spans="1:12">
      <c r="A398" s="4" t="s">
        <v>592</v>
      </c>
      <c r="B398" s="8" t="s">
        <v>246</v>
      </c>
      <c r="C398" t="str">
        <f t="shared" si="40"/>
        <v>ddhub:ForceGradientPerLengthQuantity</v>
      </c>
      <c r="D398">
        <f t="shared" si="41"/>
        <v>1</v>
      </c>
      <c r="E398" t="str">
        <f t="shared" si="42"/>
        <v>ddhub:KilonewtonPerMillimetre</v>
      </c>
      <c r="F398" t="s">
        <v>1663</v>
      </c>
      <c r="G398" t="s">
        <v>73</v>
      </c>
      <c r="H398" t="s">
        <v>1288</v>
      </c>
      <c r="J398" t="str">
        <f t="shared" si="38"/>
        <v>ddhub:ForceGradientPerLengthQuantity</v>
      </c>
      <c r="K398">
        <f t="shared" si="39"/>
        <v>1</v>
      </c>
      <c r="L398" t="str">
        <f t="shared" si="43"/>
        <v>.</v>
      </c>
    </row>
    <row r="399" spans="1:12">
      <c r="A399" s="4" t="s">
        <v>593</v>
      </c>
      <c r="B399" s="8" t="s">
        <v>170</v>
      </c>
      <c r="C399" t="str">
        <f t="shared" si="40"/>
        <v>ddhub:PressureQuantity</v>
      </c>
      <c r="D399">
        <f t="shared" si="41"/>
        <v>1</v>
      </c>
      <c r="E399" t="str">
        <f t="shared" si="42"/>
        <v>ddhub:KilonewtonPerSquareMetre</v>
      </c>
      <c r="F399" t="s">
        <v>1664</v>
      </c>
      <c r="G399" t="s">
        <v>43</v>
      </c>
      <c r="H399" t="s">
        <v>1665</v>
      </c>
      <c r="J399" t="str">
        <f t="shared" si="38"/>
        <v>ddhub:PressureQuantity</v>
      </c>
      <c r="K399">
        <f t="shared" si="39"/>
        <v>1</v>
      </c>
      <c r="L399" t="str">
        <f t="shared" si="43"/>
        <v>.</v>
      </c>
    </row>
    <row r="400" spans="1:12">
      <c r="A400" s="4" t="s">
        <v>594</v>
      </c>
      <c r="B400" s="8" t="s">
        <v>334</v>
      </c>
      <c r="C400" t="str">
        <f t="shared" si="40"/>
        <v>ddhub:ElectricResistivityQuantity</v>
      </c>
      <c r="D400">
        <f t="shared" si="41"/>
        <v>0</v>
      </c>
      <c r="E400" t="str">
        <f t="shared" si="42"/>
        <v>ddhub:KiloOhmMetre</v>
      </c>
      <c r="F400" t="s">
        <v>1666</v>
      </c>
      <c r="G400" t="s">
        <v>58</v>
      </c>
      <c r="H400" t="s">
        <v>1455</v>
      </c>
      <c r="J400" t="str">
        <f t="shared" si="38"/>
        <v>ddhub:ElectricResistivityQuantity</v>
      </c>
      <c r="K400">
        <f t="shared" si="39"/>
        <v>0</v>
      </c>
      <c r="L400" t="str">
        <f t="shared" si="43"/>
        <v>.</v>
      </c>
    </row>
    <row r="401" spans="1:12">
      <c r="A401" s="4" t="s">
        <v>595</v>
      </c>
      <c r="B401" s="8" t="s">
        <v>170</v>
      </c>
      <c r="C401" t="str">
        <f t="shared" si="40"/>
        <v>ddhub:PressureQuantity</v>
      </c>
      <c r="D401">
        <f t="shared" si="41"/>
        <v>1</v>
      </c>
      <c r="E401" t="str">
        <f t="shared" si="42"/>
        <v>ddhub:Kilopascal</v>
      </c>
      <c r="F401" t="s">
        <v>1667</v>
      </c>
      <c r="G401" t="s">
        <v>43</v>
      </c>
      <c r="H401" t="s">
        <v>1668</v>
      </c>
      <c r="J401" t="str">
        <f t="shared" si="38"/>
        <v>ddhub:PressureQuantity</v>
      </c>
      <c r="K401">
        <f t="shared" si="39"/>
        <v>1</v>
      </c>
      <c r="L401" t="str">
        <f t="shared" si="43"/>
        <v>.</v>
      </c>
    </row>
    <row r="402" spans="1:12">
      <c r="A402" s="4" t="s">
        <v>597</v>
      </c>
      <c r="B402" s="8" t="s">
        <v>34</v>
      </c>
      <c r="C402" t="str">
        <f t="shared" si="40"/>
        <v>ddhub:MassQuantity</v>
      </c>
      <c r="D402">
        <f t="shared" si="41"/>
        <v>1</v>
      </c>
      <c r="E402" t="str">
        <f t="shared" si="42"/>
        <v>ddhub:Kilopound</v>
      </c>
      <c r="F402" t="s">
        <v>1669</v>
      </c>
      <c r="G402" t="s">
        <v>35</v>
      </c>
      <c r="H402" t="s">
        <v>1670</v>
      </c>
      <c r="J402" t="str">
        <f t="shared" si="38"/>
        <v>ddhub:MassQuantity</v>
      </c>
      <c r="K402">
        <f t="shared" si="39"/>
        <v>1</v>
      </c>
      <c r="L402" t="str">
        <f t="shared" si="43"/>
        <v>.</v>
      </c>
    </row>
    <row r="403" spans="1:12">
      <c r="A403" s="4" t="s">
        <v>598</v>
      </c>
      <c r="B403" s="8" t="s">
        <v>1275</v>
      </c>
      <c r="C403" t="str">
        <f t="shared" si="40"/>
        <v>ddhub:ForceQuantity</v>
      </c>
      <c r="D403">
        <f t="shared" si="41"/>
        <v>1</v>
      </c>
      <c r="E403" t="str">
        <f t="shared" si="42"/>
        <v>ddhub:KilopoundForce</v>
      </c>
      <c r="F403" t="s">
        <v>1671</v>
      </c>
      <c r="G403" t="s">
        <v>61</v>
      </c>
      <c r="H403" t="s">
        <v>1672</v>
      </c>
      <c r="J403" t="str">
        <f t="shared" si="38"/>
        <v>ddhub:ForceQuantity</v>
      </c>
      <c r="K403">
        <f t="shared" si="39"/>
        <v>1</v>
      </c>
      <c r="L403" t="str">
        <f t="shared" si="43"/>
        <v>.</v>
      </c>
    </row>
    <row r="404" spans="1:12">
      <c r="A404" s="4" t="s">
        <v>599</v>
      </c>
      <c r="B404" s="8" t="s">
        <v>432</v>
      </c>
      <c r="C404" t="str">
        <f t="shared" si="40"/>
        <v>ddhub:MassGradientPerLengthQuantity</v>
      </c>
      <c r="D404">
        <f t="shared" si="41"/>
        <v>1</v>
      </c>
      <c r="E404" t="str">
        <f t="shared" si="42"/>
        <v>ddhub:KilopoundPer100Foot</v>
      </c>
      <c r="F404" t="s">
        <v>1673</v>
      </c>
      <c r="G404" t="s">
        <v>120</v>
      </c>
      <c r="H404" t="s">
        <v>1485</v>
      </c>
      <c r="J404" t="str">
        <f t="shared" si="38"/>
        <v>ddhub:MassGradientPerLengthQuantity</v>
      </c>
      <c r="K404">
        <f t="shared" si="39"/>
        <v>1</v>
      </c>
      <c r="L404" t="str">
        <f t="shared" si="43"/>
        <v>.</v>
      </c>
    </row>
    <row r="405" spans="1:12">
      <c r="A405" s="4" t="s">
        <v>600</v>
      </c>
      <c r="B405" s="8" t="s">
        <v>432</v>
      </c>
      <c r="C405" t="str">
        <f t="shared" si="40"/>
        <v>ddhub:MassGradientPerLengthQuantity</v>
      </c>
      <c r="D405">
        <f t="shared" si="41"/>
        <v>1</v>
      </c>
      <c r="E405" t="str">
        <f t="shared" si="42"/>
        <v>ddhub:KilopoundPer30Foot</v>
      </c>
      <c r="F405" t="s">
        <v>1674</v>
      </c>
      <c r="G405" t="s">
        <v>120</v>
      </c>
      <c r="H405" t="s">
        <v>1485</v>
      </c>
      <c r="J405" t="str">
        <f t="shared" si="38"/>
        <v>ddhub:MassGradientPerLengthQuantity</v>
      </c>
      <c r="K405">
        <f t="shared" si="39"/>
        <v>1</v>
      </c>
      <c r="L405" t="str">
        <f t="shared" si="43"/>
        <v>.</v>
      </c>
    </row>
    <row r="406" spans="1:12">
      <c r="A406" s="4" t="s">
        <v>601</v>
      </c>
      <c r="B406" s="8" t="s">
        <v>432</v>
      </c>
      <c r="C406" t="str">
        <f t="shared" si="40"/>
        <v>ddhub:MassGradientPerLengthQuantity</v>
      </c>
      <c r="D406">
        <f t="shared" si="41"/>
        <v>1</v>
      </c>
      <c r="E406" t="str">
        <f t="shared" si="42"/>
        <v>ddhub:KilopoundPerFoot</v>
      </c>
      <c r="F406" t="s">
        <v>1675</v>
      </c>
      <c r="G406" t="s">
        <v>120</v>
      </c>
      <c r="H406" t="s">
        <v>1485</v>
      </c>
      <c r="J406" t="str">
        <f t="shared" si="38"/>
        <v>ddhub:MassGradientPerLengthQuantity</v>
      </c>
      <c r="K406">
        <f t="shared" si="39"/>
        <v>1</v>
      </c>
      <c r="L406" t="str">
        <f t="shared" si="43"/>
        <v>.</v>
      </c>
    </row>
    <row r="407" spans="1:12">
      <c r="A407" s="4" t="s">
        <v>602</v>
      </c>
      <c r="B407" s="8" t="s">
        <v>432</v>
      </c>
      <c r="C407" t="str">
        <f t="shared" si="40"/>
        <v>ddhub:MassGradientPerLengthQuantity</v>
      </c>
      <c r="D407">
        <f t="shared" si="41"/>
        <v>1</v>
      </c>
      <c r="E407" t="str">
        <f t="shared" si="42"/>
        <v>ddhub:KilopoundPerInch</v>
      </c>
      <c r="F407" t="s">
        <v>1676</v>
      </c>
      <c r="G407" t="s">
        <v>120</v>
      </c>
      <c r="H407" t="s">
        <v>1485</v>
      </c>
      <c r="J407" t="str">
        <f t="shared" si="38"/>
        <v>ddhub:MassGradientPerLengthQuantity</v>
      </c>
      <c r="K407">
        <f t="shared" si="39"/>
        <v>1</v>
      </c>
      <c r="L407" t="str">
        <f t="shared" si="43"/>
        <v>.</v>
      </c>
    </row>
    <row r="408" spans="1:12">
      <c r="A408" s="4" t="s">
        <v>603</v>
      </c>
      <c r="B408" s="8" t="s">
        <v>170</v>
      </c>
      <c r="C408" t="str">
        <f t="shared" si="40"/>
        <v>ddhub:PressureQuantity</v>
      </c>
      <c r="D408">
        <f t="shared" si="41"/>
        <v>1</v>
      </c>
      <c r="E408" t="str">
        <f t="shared" si="42"/>
        <v>ddhub:KilopoundPerSquareInch</v>
      </c>
      <c r="F408" t="s">
        <v>1677</v>
      </c>
      <c r="G408" t="s">
        <v>43</v>
      </c>
      <c r="H408" t="s">
        <v>1665</v>
      </c>
      <c r="J408" t="str">
        <f t="shared" si="38"/>
        <v>ddhub:PressureQuantity</v>
      </c>
      <c r="K408">
        <f t="shared" si="39"/>
        <v>1</v>
      </c>
      <c r="L408" t="str">
        <f t="shared" si="43"/>
        <v>.</v>
      </c>
    </row>
    <row r="409" spans="1:12">
      <c r="A409" s="4" t="s">
        <v>604</v>
      </c>
      <c r="B409" s="8" t="s">
        <v>34</v>
      </c>
      <c r="C409" t="str">
        <f t="shared" si="40"/>
        <v>ddhub:MassQuantity</v>
      </c>
      <c r="D409">
        <f t="shared" si="41"/>
        <v>1</v>
      </c>
      <c r="E409" t="str">
        <f t="shared" si="42"/>
        <v>ddhub:Kilotonne</v>
      </c>
      <c r="F409" t="s">
        <v>1678</v>
      </c>
      <c r="G409" t="s">
        <v>35</v>
      </c>
      <c r="H409" t="s">
        <v>1679</v>
      </c>
      <c r="J409" t="str">
        <f t="shared" si="38"/>
        <v>ddhub:MassQuantity</v>
      </c>
      <c r="K409">
        <f t="shared" si="39"/>
        <v>1</v>
      </c>
      <c r="L409" t="str">
        <f t="shared" si="43"/>
        <v>.</v>
      </c>
    </row>
    <row r="410" spans="1:12">
      <c r="A410" s="4" t="s">
        <v>605</v>
      </c>
      <c r="B410" s="8" t="s">
        <v>334</v>
      </c>
      <c r="C410" t="str">
        <f t="shared" si="40"/>
        <v>zzz:TBD</v>
      </c>
      <c r="D410">
        <f t="shared" si="41"/>
        <v>1</v>
      </c>
      <c r="E410" t="str">
        <f t="shared" si="42"/>
        <v>ddhub:Kilovolt</v>
      </c>
      <c r="F410" t="s">
        <v>1680</v>
      </c>
      <c r="G410" t="s">
        <v>1153</v>
      </c>
      <c r="H410" t="s">
        <v>1237</v>
      </c>
      <c r="J410" s="8" t="s">
        <v>334</v>
      </c>
      <c r="K410">
        <f t="shared" si="39"/>
        <v>1</v>
      </c>
      <c r="L410" t="str">
        <f t="shared" si="43"/>
        <v>.</v>
      </c>
    </row>
    <row r="411" spans="1:12">
      <c r="A411" s="4" t="s">
        <v>607</v>
      </c>
      <c r="B411" s="8" t="s">
        <v>38</v>
      </c>
      <c r="C411" t="str">
        <f t="shared" si="40"/>
        <v>ddhub:PowerQuantity</v>
      </c>
      <c r="D411">
        <f t="shared" si="41"/>
        <v>1</v>
      </c>
      <c r="E411" t="str">
        <f t="shared" si="42"/>
        <v>ddhub:Kilowatt</v>
      </c>
      <c r="F411" t="s">
        <v>1681</v>
      </c>
      <c r="G411" t="s">
        <v>39</v>
      </c>
      <c r="H411" t="s">
        <v>1682</v>
      </c>
      <c r="J411" t="str">
        <f t="shared" si="38"/>
        <v>ddhub:PowerQuantity</v>
      </c>
      <c r="K411">
        <f t="shared" si="39"/>
        <v>1</v>
      </c>
      <c r="L411" t="str">
        <f t="shared" si="43"/>
        <v>.</v>
      </c>
    </row>
    <row r="412" spans="1:12">
      <c r="A412" s="4" t="s">
        <v>609</v>
      </c>
      <c r="B412" s="8" t="s">
        <v>172</v>
      </c>
      <c r="C412" t="str">
        <f t="shared" si="40"/>
        <v>ddhub:AccelerationQuantity</v>
      </c>
      <c r="D412">
        <f t="shared" si="41"/>
        <v>0</v>
      </c>
      <c r="E412" t="str">
        <f t="shared" si="42"/>
        <v>ddhub:KnotPerSecond</v>
      </c>
      <c r="F412" t="s">
        <v>1683</v>
      </c>
      <c r="G412" t="s">
        <v>11</v>
      </c>
      <c r="H412" t="s">
        <v>1684</v>
      </c>
      <c r="J412" t="str">
        <f t="shared" si="38"/>
        <v>ddhub:AccelerationQuantity</v>
      </c>
      <c r="K412">
        <f t="shared" si="39"/>
        <v>0</v>
      </c>
      <c r="L412" t="str">
        <f t="shared" si="43"/>
        <v>.</v>
      </c>
    </row>
    <row r="413" spans="1:12">
      <c r="A413" s="4" t="s">
        <v>610</v>
      </c>
      <c r="B413" s="8" t="s">
        <v>9</v>
      </c>
      <c r="C413" t="str">
        <f t="shared" si="40"/>
        <v>ddhub:LengthQuantity</v>
      </c>
      <c r="D413">
        <f t="shared" si="41"/>
        <v>1</v>
      </c>
      <c r="E413" t="str">
        <f t="shared" si="42"/>
        <v>ddhub:LightYear</v>
      </c>
      <c r="F413" t="s">
        <v>1685</v>
      </c>
      <c r="G413" t="s">
        <v>10</v>
      </c>
      <c r="H413" t="s">
        <v>1686</v>
      </c>
      <c r="J413" t="str">
        <f t="shared" si="38"/>
        <v>ddhub:LengthQuantity</v>
      </c>
      <c r="K413">
        <f t="shared" si="39"/>
        <v>1</v>
      </c>
      <c r="L413" t="str">
        <f t="shared" si="43"/>
        <v>.</v>
      </c>
    </row>
    <row r="414" spans="1:12">
      <c r="A414" s="4" t="s">
        <v>611</v>
      </c>
      <c r="B414" s="8" t="s">
        <v>9</v>
      </c>
      <c r="C414" t="str">
        <f t="shared" si="40"/>
        <v>ddhub:MagneticFluxQuantity</v>
      </c>
      <c r="D414">
        <f t="shared" si="41"/>
        <v>0</v>
      </c>
      <c r="E414" t="str">
        <f t="shared" si="42"/>
        <v>ddhub:Line</v>
      </c>
      <c r="F414" t="s">
        <v>1687</v>
      </c>
      <c r="G414" t="s">
        <v>109</v>
      </c>
      <c r="H414" t="s">
        <v>1688</v>
      </c>
      <c r="J414" t="str">
        <f t="shared" si="38"/>
        <v>ddhub:MagneticFluxQuantity</v>
      </c>
      <c r="K414">
        <f t="shared" si="39"/>
        <v>0</v>
      </c>
      <c r="L414" t="str">
        <f t="shared" si="43"/>
        <v>.</v>
      </c>
    </row>
    <row r="415" spans="1:12">
      <c r="A415" s="4" t="s">
        <v>612</v>
      </c>
      <c r="B415" s="8" t="s">
        <v>50</v>
      </c>
      <c r="C415" t="str">
        <f t="shared" si="40"/>
        <v>ddhub:VolumeQuantity</v>
      </c>
      <c r="D415">
        <f t="shared" si="41"/>
        <v>1</v>
      </c>
      <c r="E415" t="str">
        <f t="shared" si="42"/>
        <v>ddhub:Litre</v>
      </c>
      <c r="F415" t="s">
        <v>1689</v>
      </c>
      <c r="G415" t="s">
        <v>51</v>
      </c>
      <c r="H415" t="s">
        <v>1690</v>
      </c>
      <c r="J415" t="str">
        <f t="shared" si="38"/>
        <v>ddhub:VolumeQuantity</v>
      </c>
      <c r="K415">
        <f t="shared" si="39"/>
        <v>1</v>
      </c>
      <c r="L415" t="str">
        <f t="shared" si="43"/>
        <v>.</v>
      </c>
    </row>
    <row r="416" spans="1:12">
      <c r="A416" s="4" t="s">
        <v>613</v>
      </c>
      <c r="B416" s="8" t="s">
        <v>56</v>
      </c>
      <c r="C416" t="str">
        <f t="shared" si="40"/>
        <v>ddhub:VolumetricFlowRateQuantity</v>
      </c>
      <c r="D416">
        <f t="shared" si="41"/>
        <v>1</v>
      </c>
      <c r="E416" t="str">
        <f t="shared" si="42"/>
        <v>ddhub:LitrePerDay</v>
      </c>
      <c r="F416" t="s">
        <v>1691</v>
      </c>
      <c r="G416" t="s">
        <v>53</v>
      </c>
      <c r="H416" t="s">
        <v>1251</v>
      </c>
      <c r="J416" t="str">
        <f t="shared" si="38"/>
        <v>ddhub:VolumetricFlowRateQuantity</v>
      </c>
      <c r="K416">
        <f t="shared" si="39"/>
        <v>1</v>
      </c>
      <c r="L416" t="str">
        <f t="shared" si="43"/>
        <v>.</v>
      </c>
    </row>
    <row r="417" spans="1:12">
      <c r="A417" s="4" t="s">
        <v>614</v>
      </c>
      <c r="B417" s="8" t="s">
        <v>56</v>
      </c>
      <c r="C417" t="str">
        <f t="shared" si="40"/>
        <v>ddhub:VolumetricFlowRateQuantity</v>
      </c>
      <c r="D417">
        <f t="shared" si="41"/>
        <v>1</v>
      </c>
      <c r="E417" t="str">
        <f t="shared" si="42"/>
        <v>ddhub:LitrePerHour</v>
      </c>
      <c r="F417" t="s">
        <v>1692</v>
      </c>
      <c r="G417" t="s">
        <v>53</v>
      </c>
      <c r="H417" t="s">
        <v>1251</v>
      </c>
      <c r="J417" t="str">
        <f t="shared" si="38"/>
        <v>ddhub:VolumetricFlowRateQuantity</v>
      </c>
      <c r="K417">
        <f t="shared" si="39"/>
        <v>1</v>
      </c>
      <c r="L417" t="str">
        <f t="shared" si="43"/>
        <v>.</v>
      </c>
    </row>
    <row r="418" spans="1:12">
      <c r="A418" s="4" t="s">
        <v>615</v>
      </c>
      <c r="B418" s="8" t="s">
        <v>56</v>
      </c>
      <c r="C418" t="str">
        <f t="shared" si="40"/>
        <v>ddhub:VolumetricFlowRateQuantity</v>
      </c>
      <c r="D418">
        <f t="shared" si="41"/>
        <v>1</v>
      </c>
      <c r="E418" t="str">
        <f t="shared" si="42"/>
        <v>ddhub:LitrePerMinute</v>
      </c>
      <c r="F418" t="s">
        <v>1693</v>
      </c>
      <c r="G418" t="s">
        <v>53</v>
      </c>
      <c r="H418" t="s">
        <v>1251</v>
      </c>
      <c r="J418" t="str">
        <f t="shared" si="38"/>
        <v>ddhub:VolumetricFlowRateQuantity</v>
      </c>
      <c r="K418">
        <f t="shared" si="39"/>
        <v>1</v>
      </c>
      <c r="L418" t="str">
        <f t="shared" si="43"/>
        <v>.</v>
      </c>
    </row>
    <row r="419" spans="1:12">
      <c r="A419" s="4" t="s">
        <v>616</v>
      </c>
      <c r="B419" s="8" t="s">
        <v>56</v>
      </c>
      <c r="C419" t="str">
        <f t="shared" si="40"/>
        <v>ddhub:VolumetricFlowRateOfChangeQuantity</v>
      </c>
      <c r="D419">
        <f t="shared" si="41"/>
        <v>0</v>
      </c>
      <c r="E419" t="str">
        <f t="shared" si="42"/>
        <v>ddhub:LitrePerMinutePerSecond</v>
      </c>
      <c r="F419" t="s">
        <v>1694</v>
      </c>
      <c r="G419" t="s">
        <v>173</v>
      </c>
      <c r="H419" t="s">
        <v>1695</v>
      </c>
      <c r="J419" t="str">
        <f t="shared" si="38"/>
        <v>ddhub:VolumetricFlowRateOfChangeQuantity</v>
      </c>
      <c r="K419">
        <f t="shared" si="39"/>
        <v>0</v>
      </c>
      <c r="L419" t="str">
        <f t="shared" si="43"/>
        <v>.</v>
      </c>
    </row>
    <row r="420" spans="1:12">
      <c r="A420" s="4" t="s">
        <v>617</v>
      </c>
      <c r="B420" s="8" t="s">
        <v>56</v>
      </c>
      <c r="C420" t="str">
        <f t="shared" si="40"/>
        <v>ddhub:VolumetricFlowRateOfChangeQuantity</v>
      </c>
      <c r="D420">
        <f t="shared" si="41"/>
        <v>0</v>
      </c>
      <c r="E420" t="str">
        <f t="shared" si="42"/>
        <v>ddhub:LitrePerMinuteSquared</v>
      </c>
      <c r="F420" t="s">
        <v>1696</v>
      </c>
      <c r="G420" t="s">
        <v>173</v>
      </c>
      <c r="H420" t="s">
        <v>1695</v>
      </c>
      <c r="J420" t="str">
        <f t="shared" si="38"/>
        <v>ddhub:VolumetricFlowRateOfChangeQuantity</v>
      </c>
      <c r="K420">
        <f t="shared" si="39"/>
        <v>0</v>
      </c>
      <c r="L420" t="str">
        <f t="shared" si="43"/>
        <v>.</v>
      </c>
    </row>
    <row r="421" spans="1:12">
      <c r="A421" s="4" t="s">
        <v>618</v>
      </c>
      <c r="B421" s="8" t="s">
        <v>56</v>
      </c>
      <c r="C421" t="str">
        <f t="shared" si="40"/>
        <v>ddhub:VolumetricFlowRateQuantity</v>
      </c>
      <c r="D421">
        <f t="shared" si="41"/>
        <v>1</v>
      </c>
      <c r="E421" t="str">
        <f t="shared" si="42"/>
        <v>ddhub:LitrePerSecond</v>
      </c>
      <c r="F421" t="s">
        <v>1697</v>
      </c>
      <c r="G421" t="s">
        <v>53</v>
      </c>
      <c r="H421" t="s">
        <v>1251</v>
      </c>
      <c r="J421" t="str">
        <f t="shared" si="38"/>
        <v>ddhub:VolumetricFlowRateQuantity</v>
      </c>
      <c r="K421">
        <f t="shared" si="39"/>
        <v>1</v>
      </c>
      <c r="L421" t="str">
        <f t="shared" si="43"/>
        <v>.</v>
      </c>
    </row>
    <row r="422" spans="1:12">
      <c r="A422" s="4" t="s">
        <v>619</v>
      </c>
      <c r="B422" s="8" t="s">
        <v>334</v>
      </c>
      <c r="C422" t="str">
        <f t="shared" si="40"/>
        <v>ddhub:VolumetricFlowRateOfChangeQuantity</v>
      </c>
      <c r="D422">
        <f t="shared" si="41"/>
        <v>0</v>
      </c>
      <c r="E422" t="str">
        <f t="shared" si="42"/>
        <v>ddhub:LitrePerSecondSquared</v>
      </c>
      <c r="F422" t="s">
        <v>1698</v>
      </c>
      <c r="G422" t="s">
        <v>173</v>
      </c>
      <c r="H422" t="s">
        <v>1695</v>
      </c>
      <c r="J422" t="str">
        <f t="shared" si="38"/>
        <v>ddhub:VolumetricFlowRateOfChangeQuantity</v>
      </c>
      <c r="K422">
        <f t="shared" si="39"/>
        <v>0</v>
      </c>
      <c r="L422" t="str">
        <f t="shared" si="43"/>
        <v>.</v>
      </c>
    </row>
    <row r="423" spans="1:12">
      <c r="A423" s="4" t="s">
        <v>620</v>
      </c>
      <c r="B423" s="8" t="s">
        <v>334</v>
      </c>
      <c r="C423" t="str">
        <f t="shared" si="40"/>
        <v>ddhub:VolumetricFlowRateQuantity</v>
      </c>
      <c r="D423">
        <f t="shared" si="41"/>
        <v>0</v>
      </c>
      <c r="E423" t="str">
        <f t="shared" si="42"/>
        <v>ddhub:LitrePerYear</v>
      </c>
      <c r="F423" t="s">
        <v>1699</v>
      </c>
      <c r="G423" t="s">
        <v>53</v>
      </c>
      <c r="H423" t="s">
        <v>1251</v>
      </c>
      <c r="J423" t="str">
        <f t="shared" si="38"/>
        <v>ddhub:VolumetricFlowRateQuantity</v>
      </c>
      <c r="K423">
        <f t="shared" si="39"/>
        <v>0</v>
      </c>
      <c r="L423" t="str">
        <f t="shared" si="43"/>
        <v>.</v>
      </c>
    </row>
    <row r="424" spans="1:12">
      <c r="A424" s="4" t="s">
        <v>621</v>
      </c>
      <c r="B424" s="8" t="s">
        <v>71</v>
      </c>
      <c r="C424" t="str">
        <f t="shared" si="40"/>
        <v>ddhub:LuminousIntensityQuantity</v>
      </c>
      <c r="D424">
        <f t="shared" si="41"/>
        <v>1</v>
      </c>
      <c r="E424" t="str">
        <f t="shared" si="42"/>
        <v>ddhub:LumenPerSteradian</v>
      </c>
      <c r="F424" t="s">
        <v>1700</v>
      </c>
      <c r="G424" t="s">
        <v>72</v>
      </c>
      <c r="H424" t="s">
        <v>1701</v>
      </c>
      <c r="J424" t="str">
        <f t="shared" si="38"/>
        <v>ddhub:LuminousIntensityQuantity</v>
      </c>
      <c r="K424">
        <f t="shared" si="39"/>
        <v>1</v>
      </c>
      <c r="L424" t="str">
        <f t="shared" si="43"/>
        <v>.</v>
      </c>
    </row>
    <row r="425" spans="1:12">
      <c r="A425" s="4" t="s">
        <v>622</v>
      </c>
      <c r="B425" s="8" t="s">
        <v>381</v>
      </c>
      <c r="C425" t="str">
        <f t="shared" si="40"/>
        <v>ddhub:MagneticFluxQuantity</v>
      </c>
      <c r="D425">
        <f t="shared" si="41"/>
        <v>1</v>
      </c>
      <c r="E425" t="str">
        <f t="shared" si="42"/>
        <v>ddhub:MagneticFluxQuantum</v>
      </c>
      <c r="F425" t="s">
        <v>1702</v>
      </c>
      <c r="G425" t="s">
        <v>109</v>
      </c>
      <c r="H425" t="s">
        <v>1703</v>
      </c>
      <c r="J425" t="str">
        <f t="shared" si="38"/>
        <v>ddhub:MagneticFluxQuantity</v>
      </c>
      <c r="K425">
        <f t="shared" si="39"/>
        <v>1</v>
      </c>
      <c r="L425" t="str">
        <f t="shared" si="43"/>
        <v>.</v>
      </c>
    </row>
    <row r="426" spans="1:12">
      <c r="A426" s="4" t="s">
        <v>623</v>
      </c>
      <c r="B426" s="8" t="s">
        <v>381</v>
      </c>
      <c r="C426" t="str">
        <f t="shared" si="40"/>
        <v>ddhub:MagneticFluxQuantity</v>
      </c>
      <c r="D426">
        <f t="shared" si="41"/>
        <v>1</v>
      </c>
      <c r="E426" t="str">
        <f t="shared" si="42"/>
        <v>ddhub:Maxwell</v>
      </c>
      <c r="F426" t="s">
        <v>1704</v>
      </c>
      <c r="G426" t="s">
        <v>109</v>
      </c>
      <c r="H426" t="s">
        <v>1435</v>
      </c>
      <c r="J426" t="str">
        <f t="shared" si="38"/>
        <v>ddhub:MagneticFluxQuantity</v>
      </c>
      <c r="K426">
        <f t="shared" si="39"/>
        <v>1</v>
      </c>
      <c r="L426" t="str">
        <f t="shared" si="43"/>
        <v>.</v>
      </c>
    </row>
    <row r="427" spans="1:12">
      <c r="A427" s="4" t="s">
        <v>624</v>
      </c>
      <c r="B427" s="8" t="s">
        <v>379</v>
      </c>
      <c r="C427" t="str">
        <f t="shared" si="40"/>
        <v>ddhub:MagneticFluxDensityQuantity</v>
      </c>
      <c r="D427">
        <f t="shared" si="41"/>
        <v>1</v>
      </c>
      <c r="E427" t="str">
        <f t="shared" si="42"/>
        <v>ddhub:MaxwellPerSquareCentimetre</v>
      </c>
      <c r="F427" t="s">
        <v>1705</v>
      </c>
      <c r="G427" t="s">
        <v>107</v>
      </c>
      <c r="H427" t="s">
        <v>1706</v>
      </c>
      <c r="J427" t="str">
        <f t="shared" si="38"/>
        <v>ddhub:MagneticFluxDensityQuantity</v>
      </c>
      <c r="K427">
        <f t="shared" si="39"/>
        <v>1</v>
      </c>
      <c r="L427" t="str">
        <f t="shared" si="43"/>
        <v>.</v>
      </c>
    </row>
    <row r="428" spans="1:12">
      <c r="A428" s="4" t="s">
        <v>625</v>
      </c>
      <c r="B428" s="8" t="s">
        <v>13</v>
      </c>
      <c r="C428" t="str">
        <f t="shared" si="40"/>
        <v>ddhub:ElectricCurrentQuantity</v>
      </c>
      <c r="D428">
        <f t="shared" si="41"/>
        <v>1</v>
      </c>
      <c r="E428" t="str">
        <f t="shared" si="42"/>
        <v>ddhub:Megaampere</v>
      </c>
      <c r="F428" t="s">
        <v>1707</v>
      </c>
      <c r="G428" t="s">
        <v>14</v>
      </c>
      <c r="H428" t="s">
        <v>1708</v>
      </c>
      <c r="J428" t="str">
        <f t="shared" si="38"/>
        <v>ddhub:ElectricCurrentQuantity</v>
      </c>
      <c r="K428">
        <f t="shared" si="39"/>
        <v>1</v>
      </c>
      <c r="L428" t="str">
        <f t="shared" si="43"/>
        <v>.</v>
      </c>
    </row>
    <row r="429" spans="1:12">
      <c r="A429" s="4" t="s">
        <v>626</v>
      </c>
      <c r="B429" s="8" t="s">
        <v>76</v>
      </c>
      <c r="C429" t="str">
        <f t="shared" si="40"/>
        <v>ddhub:EnergyQuantity</v>
      </c>
      <c r="D429">
        <f t="shared" si="41"/>
        <v>1</v>
      </c>
      <c r="E429" t="str">
        <f t="shared" si="42"/>
        <v>ddhub:MegaBritishThermalUnit</v>
      </c>
      <c r="F429" t="s">
        <v>1709</v>
      </c>
      <c r="G429" t="s">
        <v>67</v>
      </c>
      <c r="H429" t="s">
        <v>1710</v>
      </c>
      <c r="J429" t="str">
        <f t="shared" si="38"/>
        <v>ddhub:EnergyQuantity</v>
      </c>
      <c r="K429">
        <f t="shared" si="39"/>
        <v>1</v>
      </c>
      <c r="L429" t="str">
        <f t="shared" si="43"/>
        <v>.</v>
      </c>
    </row>
    <row r="430" spans="1:12">
      <c r="A430" s="4" t="s">
        <v>627</v>
      </c>
      <c r="B430" s="8" t="s">
        <v>384</v>
      </c>
      <c r="C430" t="str">
        <f t="shared" si="40"/>
        <v>ddhub:FrequencyQuantity</v>
      </c>
      <c r="D430">
        <f t="shared" si="41"/>
        <v>1</v>
      </c>
      <c r="E430" t="str">
        <f t="shared" si="42"/>
        <v>ddhub:Megahertz</v>
      </c>
      <c r="F430" t="s">
        <v>1711</v>
      </c>
      <c r="G430" t="s">
        <v>77</v>
      </c>
      <c r="H430" t="s">
        <v>1712</v>
      </c>
      <c r="J430" t="str">
        <f t="shared" si="38"/>
        <v>ddhub:FrequencyQuantity</v>
      </c>
      <c r="K430">
        <f t="shared" si="39"/>
        <v>1</v>
      </c>
      <c r="L430" t="str">
        <f t="shared" si="43"/>
        <v>.</v>
      </c>
    </row>
    <row r="431" spans="1:12">
      <c r="A431" s="4" t="s">
        <v>629</v>
      </c>
      <c r="B431" s="8" t="s">
        <v>384</v>
      </c>
      <c r="C431" t="str">
        <f t="shared" si="40"/>
        <v>ddhub:FrequencyRateOfChangeQuantity</v>
      </c>
      <c r="D431">
        <f t="shared" si="41"/>
        <v>0</v>
      </c>
      <c r="E431" t="str">
        <f t="shared" si="42"/>
        <v>ddhub:MegaHertzPerDay</v>
      </c>
      <c r="F431" t="s">
        <v>1713</v>
      </c>
      <c r="G431" t="s">
        <v>81</v>
      </c>
      <c r="H431" t="s">
        <v>1441</v>
      </c>
      <c r="J431" t="str">
        <f t="shared" si="38"/>
        <v>ddhub:FrequencyRateOfChangeQuantity</v>
      </c>
      <c r="K431">
        <f t="shared" si="39"/>
        <v>0</v>
      </c>
      <c r="L431" t="str">
        <f t="shared" si="43"/>
        <v>.</v>
      </c>
    </row>
    <row r="432" spans="1:12">
      <c r="A432" s="4" t="s">
        <v>630</v>
      </c>
      <c r="B432" s="8" t="s">
        <v>384</v>
      </c>
      <c r="C432" t="str">
        <f t="shared" si="40"/>
        <v>ddhub:FrequencyRateOfChangeQuantity</v>
      </c>
      <c r="D432">
        <f t="shared" si="41"/>
        <v>0</v>
      </c>
      <c r="E432" t="str">
        <f t="shared" si="42"/>
        <v>ddhub:MegaHertzPerHour</v>
      </c>
      <c r="F432" t="s">
        <v>1714</v>
      </c>
      <c r="G432" t="s">
        <v>81</v>
      </c>
      <c r="H432" t="s">
        <v>1441</v>
      </c>
      <c r="J432" t="str">
        <f t="shared" si="38"/>
        <v>ddhub:FrequencyRateOfChangeQuantity</v>
      </c>
      <c r="K432">
        <f t="shared" si="39"/>
        <v>0</v>
      </c>
      <c r="L432" t="str">
        <f t="shared" si="43"/>
        <v>.</v>
      </c>
    </row>
    <row r="433" spans="1:12">
      <c r="A433" s="4" t="s">
        <v>631</v>
      </c>
      <c r="B433" s="8" t="s">
        <v>384</v>
      </c>
      <c r="C433" t="str">
        <f t="shared" si="40"/>
        <v>ddhub:FrequencyRateOfChangeQuantity</v>
      </c>
      <c r="D433">
        <f t="shared" si="41"/>
        <v>0</v>
      </c>
      <c r="E433" t="str">
        <f t="shared" si="42"/>
        <v>ddhub:MegaHertzPerMinute</v>
      </c>
      <c r="F433" t="s">
        <v>1715</v>
      </c>
      <c r="G433" t="s">
        <v>81</v>
      </c>
      <c r="H433" t="s">
        <v>1441</v>
      </c>
      <c r="J433" t="str">
        <f t="shared" si="38"/>
        <v>ddhub:FrequencyRateOfChangeQuantity</v>
      </c>
      <c r="K433">
        <f t="shared" si="39"/>
        <v>0</v>
      </c>
      <c r="L433" t="str">
        <f t="shared" si="43"/>
        <v>.</v>
      </c>
    </row>
    <row r="434" spans="1:12">
      <c r="A434" s="4" t="s">
        <v>632</v>
      </c>
      <c r="B434" s="8" t="s">
        <v>384</v>
      </c>
      <c r="C434" t="str">
        <f t="shared" si="40"/>
        <v>ddhub:FrequencyRateOfChangeQuantity</v>
      </c>
      <c r="D434">
        <f t="shared" si="41"/>
        <v>0</v>
      </c>
      <c r="E434" t="str">
        <f t="shared" si="42"/>
        <v>ddhub:MegaHertzPerSecond</v>
      </c>
      <c r="F434" t="s">
        <v>1716</v>
      </c>
      <c r="G434" t="s">
        <v>81</v>
      </c>
      <c r="H434" t="s">
        <v>1441</v>
      </c>
      <c r="J434" t="str">
        <f t="shared" si="38"/>
        <v>ddhub:FrequencyRateOfChangeQuantity</v>
      </c>
      <c r="K434">
        <f t="shared" si="39"/>
        <v>0</v>
      </c>
      <c r="L434" t="str">
        <f t="shared" si="43"/>
        <v>.</v>
      </c>
    </row>
    <row r="435" spans="1:12">
      <c r="A435" s="4" t="s">
        <v>633</v>
      </c>
      <c r="B435" s="8" t="s">
        <v>384</v>
      </c>
      <c r="C435" t="str">
        <f t="shared" si="40"/>
        <v>ddhub:FrequencyRateOfChangeQuantity</v>
      </c>
      <c r="D435">
        <f t="shared" si="41"/>
        <v>0</v>
      </c>
      <c r="E435" t="str">
        <f t="shared" si="42"/>
        <v>ddhub:MegaHertzPerYear</v>
      </c>
      <c r="F435" t="s">
        <v>1717</v>
      </c>
      <c r="G435" t="s">
        <v>81</v>
      </c>
      <c r="H435" t="s">
        <v>1441</v>
      </c>
      <c r="J435" t="str">
        <f t="shared" si="38"/>
        <v>ddhub:FrequencyRateOfChangeQuantity</v>
      </c>
      <c r="K435">
        <f t="shared" si="39"/>
        <v>0</v>
      </c>
      <c r="L435" t="str">
        <f t="shared" si="43"/>
        <v>.</v>
      </c>
    </row>
    <row r="436" spans="1:12">
      <c r="A436" s="4" t="s">
        <v>634</v>
      </c>
      <c r="B436" s="8" t="s">
        <v>76</v>
      </c>
      <c r="C436" t="str">
        <f t="shared" si="40"/>
        <v>ddhub:EnergyQuantity</v>
      </c>
      <c r="D436">
        <f t="shared" si="41"/>
        <v>1</v>
      </c>
      <c r="E436" t="str">
        <f t="shared" si="42"/>
        <v>ddhub:Megajoule</v>
      </c>
      <c r="F436" t="s">
        <v>1718</v>
      </c>
      <c r="G436" t="s">
        <v>67</v>
      </c>
      <c r="H436" t="s">
        <v>1719</v>
      </c>
      <c r="J436" t="str">
        <f t="shared" si="38"/>
        <v>ddhub:EnergyQuantity</v>
      </c>
      <c r="K436">
        <f t="shared" si="39"/>
        <v>1</v>
      </c>
      <c r="L436" t="str">
        <f t="shared" si="43"/>
        <v>.</v>
      </c>
    </row>
    <row r="437" spans="1:12">
      <c r="A437" s="4" t="s">
        <v>636</v>
      </c>
      <c r="B437" s="8" t="s">
        <v>89</v>
      </c>
      <c r="C437" t="str">
        <f t="shared" si="40"/>
        <v>ddhub:EnergyDensityQuantity</v>
      </c>
      <c r="D437">
        <f t="shared" si="41"/>
        <v>1</v>
      </c>
      <c r="E437" t="str">
        <f t="shared" si="42"/>
        <v>ddhub:MegajoulePerCubicFoot</v>
      </c>
      <c r="F437" t="s">
        <v>1720</v>
      </c>
      <c r="G437" t="s">
        <v>64</v>
      </c>
      <c r="H437" t="s">
        <v>1164</v>
      </c>
      <c r="J437" t="str">
        <f t="shared" ref="J437:J500" si="44">"ddhub:"&amp;G437</f>
        <v>ddhub:EnergyDensityQuantity</v>
      </c>
      <c r="K437">
        <f t="shared" ref="K437:K500" si="45">IF(B437=J437,1,0)</f>
        <v>1</v>
      </c>
      <c r="L437" t="str">
        <f t="shared" si="43"/>
        <v>.</v>
      </c>
    </row>
    <row r="438" spans="1:12">
      <c r="A438" s="4" t="s">
        <v>637</v>
      </c>
      <c r="B438" s="8" t="s">
        <v>89</v>
      </c>
      <c r="C438" t="str">
        <f t="shared" si="40"/>
        <v>ddhub:EnergyDensityQuantity</v>
      </c>
      <c r="D438">
        <f t="shared" si="41"/>
        <v>1</v>
      </c>
      <c r="E438" t="str">
        <f t="shared" si="42"/>
        <v>ddhub:MegajoulePerCubicInch</v>
      </c>
      <c r="F438" t="s">
        <v>1721</v>
      </c>
      <c r="G438" t="s">
        <v>64</v>
      </c>
      <c r="H438" t="s">
        <v>1164</v>
      </c>
      <c r="J438" t="str">
        <f t="shared" si="44"/>
        <v>ddhub:EnergyDensityQuantity</v>
      </c>
      <c r="K438">
        <f t="shared" si="45"/>
        <v>1</v>
      </c>
      <c r="L438" t="str">
        <f t="shared" si="43"/>
        <v>.</v>
      </c>
    </row>
    <row r="439" spans="1:12">
      <c r="A439" s="4" t="s">
        <v>638</v>
      </c>
      <c r="B439" s="8" t="s">
        <v>89</v>
      </c>
      <c r="C439" t="str">
        <f t="shared" si="40"/>
        <v>ddhub:EnergyDensityQuantity</v>
      </c>
      <c r="D439">
        <f t="shared" si="41"/>
        <v>1</v>
      </c>
      <c r="E439" t="str">
        <f t="shared" si="42"/>
        <v>ddhub:MegajoulePerCubicMetre</v>
      </c>
      <c r="F439" t="s">
        <v>1722</v>
      </c>
      <c r="G439" t="s">
        <v>64</v>
      </c>
      <c r="H439" t="s">
        <v>1164</v>
      </c>
      <c r="J439" t="str">
        <f t="shared" si="44"/>
        <v>ddhub:EnergyDensityQuantity</v>
      </c>
      <c r="K439">
        <f t="shared" si="45"/>
        <v>1</v>
      </c>
      <c r="L439" t="str">
        <f t="shared" si="43"/>
        <v>.</v>
      </c>
    </row>
    <row r="440" spans="1:12">
      <c r="A440" s="4" t="s">
        <v>639</v>
      </c>
      <c r="B440" s="8" t="s">
        <v>89</v>
      </c>
      <c r="C440" t="str">
        <f t="shared" si="40"/>
        <v>ddhub:EnergyDensityQuantity</v>
      </c>
      <c r="D440">
        <f t="shared" si="41"/>
        <v>1</v>
      </c>
      <c r="E440" t="str">
        <f t="shared" si="42"/>
        <v>ddhub:MegajoulePerGallonUk</v>
      </c>
      <c r="F440" t="s">
        <v>1723</v>
      </c>
      <c r="G440" t="s">
        <v>64</v>
      </c>
      <c r="H440" t="s">
        <v>1164</v>
      </c>
      <c r="J440" t="str">
        <f t="shared" si="44"/>
        <v>ddhub:EnergyDensityQuantity</v>
      </c>
      <c r="K440">
        <f t="shared" si="45"/>
        <v>1</v>
      </c>
      <c r="L440" t="str">
        <f t="shared" si="43"/>
        <v>.</v>
      </c>
    </row>
    <row r="441" spans="1:12">
      <c r="A441" s="4" t="s">
        <v>640</v>
      </c>
      <c r="B441" s="8" t="s">
        <v>89</v>
      </c>
      <c r="C441" t="str">
        <f t="shared" si="40"/>
        <v>ddhub:EnergyDensityQuantity</v>
      </c>
      <c r="D441">
        <f t="shared" si="41"/>
        <v>1</v>
      </c>
      <c r="E441" t="str">
        <f t="shared" si="42"/>
        <v>ddhub:MegajoulePerGallonUs</v>
      </c>
      <c r="F441" t="s">
        <v>1724</v>
      </c>
      <c r="G441" t="s">
        <v>64</v>
      </c>
      <c r="H441" t="s">
        <v>1164</v>
      </c>
      <c r="J441" t="str">
        <f t="shared" si="44"/>
        <v>ddhub:EnergyDensityQuantity</v>
      </c>
      <c r="K441">
        <f t="shared" si="45"/>
        <v>1</v>
      </c>
      <c r="L441" t="str">
        <f t="shared" si="43"/>
        <v>.</v>
      </c>
    </row>
    <row r="442" spans="1:12">
      <c r="A442" s="4" t="s">
        <v>641</v>
      </c>
      <c r="B442" s="8" t="s">
        <v>89</v>
      </c>
      <c r="C442" t="str">
        <f t="shared" si="40"/>
        <v>ddhub:EnergyDensityQuantity</v>
      </c>
      <c r="D442">
        <f t="shared" si="41"/>
        <v>1</v>
      </c>
      <c r="E442" t="str">
        <f t="shared" si="42"/>
        <v>ddhub:MegajoulePerLitre</v>
      </c>
      <c r="F442" t="s">
        <v>1725</v>
      </c>
      <c r="G442" t="s">
        <v>64</v>
      </c>
      <c r="H442" t="s">
        <v>1164</v>
      </c>
      <c r="J442" t="str">
        <f t="shared" si="44"/>
        <v>ddhub:EnergyDensityQuantity</v>
      </c>
      <c r="K442">
        <f t="shared" si="45"/>
        <v>1</v>
      </c>
      <c r="L442" t="str">
        <f t="shared" si="43"/>
        <v>.</v>
      </c>
    </row>
    <row r="443" spans="1:12">
      <c r="A443" s="4" t="s">
        <v>642</v>
      </c>
      <c r="B443" s="8" t="s">
        <v>9</v>
      </c>
      <c r="C443" t="str">
        <f t="shared" si="40"/>
        <v>ddhub:MagneticFluxQuantity</v>
      </c>
      <c r="D443">
        <f t="shared" si="41"/>
        <v>0</v>
      </c>
      <c r="E443" t="str">
        <f t="shared" si="42"/>
        <v>ddhub:Megaline</v>
      </c>
      <c r="F443" t="s">
        <v>1726</v>
      </c>
      <c r="G443" t="s">
        <v>109</v>
      </c>
      <c r="H443" t="s">
        <v>1727</v>
      </c>
      <c r="J443" t="str">
        <f t="shared" si="44"/>
        <v>ddhub:MagneticFluxQuantity</v>
      </c>
      <c r="K443">
        <f t="shared" si="45"/>
        <v>0</v>
      </c>
      <c r="L443" t="str">
        <f t="shared" si="43"/>
        <v>.</v>
      </c>
    </row>
    <row r="444" spans="1:12">
      <c r="A444" s="4" t="s">
        <v>643</v>
      </c>
      <c r="B444" s="8" t="s">
        <v>334</v>
      </c>
      <c r="C444" t="str">
        <f t="shared" si="40"/>
        <v>ddhub:ElectricResistivityQuantity</v>
      </c>
      <c r="D444">
        <f t="shared" si="41"/>
        <v>0</v>
      </c>
      <c r="E444" t="str">
        <f t="shared" si="42"/>
        <v>ddhub:MegaOhmMetre</v>
      </c>
      <c r="F444" t="s">
        <v>1728</v>
      </c>
      <c r="G444" t="s">
        <v>58</v>
      </c>
      <c r="H444" t="s">
        <v>1455</v>
      </c>
      <c r="J444" t="str">
        <f t="shared" si="44"/>
        <v>ddhub:ElectricResistivityQuantity</v>
      </c>
      <c r="K444">
        <f t="shared" si="45"/>
        <v>0</v>
      </c>
      <c r="L444" t="str">
        <f t="shared" si="43"/>
        <v>.</v>
      </c>
    </row>
    <row r="445" spans="1:12">
      <c r="A445" s="4" t="s">
        <v>644</v>
      </c>
      <c r="B445" s="8" t="s">
        <v>170</v>
      </c>
      <c r="C445" t="str">
        <f t="shared" si="40"/>
        <v>ddhub:PressureQuantity</v>
      </c>
      <c r="D445">
        <f t="shared" si="41"/>
        <v>1</v>
      </c>
      <c r="E445" t="str">
        <f t="shared" si="42"/>
        <v>ddhub:Megapascal</v>
      </c>
      <c r="F445" t="s">
        <v>1729</v>
      </c>
      <c r="G445" t="s">
        <v>43</v>
      </c>
      <c r="H445" t="s">
        <v>1730</v>
      </c>
      <c r="J445" t="str">
        <f t="shared" si="44"/>
        <v>ddhub:PressureQuantity</v>
      </c>
      <c r="K445">
        <f t="shared" si="45"/>
        <v>1</v>
      </c>
      <c r="L445" t="str">
        <f t="shared" si="43"/>
        <v>.</v>
      </c>
    </row>
    <row r="446" spans="1:12">
      <c r="A446" s="4" t="s">
        <v>646</v>
      </c>
      <c r="B446" s="8" t="s">
        <v>170</v>
      </c>
      <c r="C446" t="str">
        <f t="shared" si="40"/>
        <v>ddhub:PressureQuantity</v>
      </c>
      <c r="D446">
        <f t="shared" si="41"/>
        <v>1</v>
      </c>
      <c r="E446" t="str">
        <f t="shared" si="42"/>
        <v>ddhub:MegapoundPerSquareInch</v>
      </c>
      <c r="F446" t="s">
        <v>1731</v>
      </c>
      <c r="G446" t="s">
        <v>43</v>
      </c>
      <c r="H446" t="s">
        <v>1665</v>
      </c>
      <c r="J446" t="str">
        <f t="shared" si="44"/>
        <v>ddhub:PressureQuantity</v>
      </c>
      <c r="K446">
        <f t="shared" si="45"/>
        <v>1</v>
      </c>
      <c r="L446" t="str">
        <f t="shared" si="43"/>
        <v>.</v>
      </c>
    </row>
    <row r="447" spans="1:12">
      <c r="A447" s="4" t="s">
        <v>647</v>
      </c>
      <c r="B447" s="8" t="s">
        <v>34</v>
      </c>
      <c r="C447" t="str">
        <f t="shared" si="40"/>
        <v>ddhub:MassQuantity</v>
      </c>
      <c r="D447">
        <f t="shared" si="41"/>
        <v>1</v>
      </c>
      <c r="E447" t="str">
        <f t="shared" si="42"/>
        <v>ddhub:Megatonne</v>
      </c>
      <c r="F447" t="s">
        <v>1732</v>
      </c>
      <c r="G447" t="s">
        <v>35</v>
      </c>
      <c r="H447" t="s">
        <v>1733</v>
      </c>
      <c r="J447" t="str">
        <f t="shared" si="44"/>
        <v>ddhub:MassQuantity</v>
      </c>
      <c r="K447">
        <f t="shared" si="45"/>
        <v>1</v>
      </c>
      <c r="L447" t="str">
        <f t="shared" si="43"/>
        <v>.</v>
      </c>
    </row>
    <row r="448" spans="1:12">
      <c r="A448" s="4" t="s">
        <v>648</v>
      </c>
      <c r="B448" s="8" t="s">
        <v>334</v>
      </c>
      <c r="C448" t="str">
        <f t="shared" si="40"/>
        <v>zzz:TBD</v>
      </c>
      <c r="D448">
        <f t="shared" si="41"/>
        <v>1</v>
      </c>
      <c r="E448" t="str">
        <f t="shared" si="42"/>
        <v>ddhub:Megavolt</v>
      </c>
      <c r="F448" t="s">
        <v>1734</v>
      </c>
      <c r="G448" t="s">
        <v>1153</v>
      </c>
      <c r="H448" t="s">
        <v>1237</v>
      </c>
      <c r="J448" s="8" t="s">
        <v>334</v>
      </c>
      <c r="K448">
        <f t="shared" si="45"/>
        <v>1</v>
      </c>
      <c r="L448" t="str">
        <f t="shared" si="43"/>
        <v>.</v>
      </c>
    </row>
    <row r="449" spans="1:12">
      <c r="A449" s="4" t="s">
        <v>651</v>
      </c>
      <c r="B449" s="8" t="s">
        <v>38</v>
      </c>
      <c r="C449" t="str">
        <f t="shared" si="40"/>
        <v>ddhub:PowerQuantity</v>
      </c>
      <c r="D449">
        <f t="shared" si="41"/>
        <v>1</v>
      </c>
      <c r="E449" t="str">
        <f t="shared" si="42"/>
        <v>ddhub:Megawatt</v>
      </c>
      <c r="F449" t="s">
        <v>1735</v>
      </c>
      <c r="G449" t="s">
        <v>39</v>
      </c>
      <c r="H449" t="s">
        <v>1736</v>
      </c>
      <c r="J449" t="str">
        <f t="shared" si="44"/>
        <v>ddhub:PowerQuantity</v>
      </c>
      <c r="K449">
        <f t="shared" si="45"/>
        <v>1</v>
      </c>
      <c r="L449" t="str">
        <f t="shared" si="43"/>
        <v>.</v>
      </c>
    </row>
    <row r="450" spans="1:12">
      <c r="A450" s="4" t="s">
        <v>653</v>
      </c>
      <c r="B450" s="5" t="s">
        <v>9</v>
      </c>
      <c r="C450" t="str">
        <f t="shared" si="40"/>
        <v>ddhub:LengthQuantity</v>
      </c>
      <c r="D450">
        <f t="shared" si="41"/>
        <v>1</v>
      </c>
      <c r="E450" t="str">
        <f t="shared" si="42"/>
        <v>ddhub:Metre</v>
      </c>
      <c r="F450" t="s">
        <v>1737</v>
      </c>
      <c r="G450" t="s">
        <v>10</v>
      </c>
      <c r="H450" t="s">
        <v>1738</v>
      </c>
      <c r="J450" t="str">
        <f t="shared" si="44"/>
        <v>ddhub:LengthQuantity</v>
      </c>
      <c r="K450">
        <f t="shared" si="45"/>
        <v>1</v>
      </c>
      <c r="L450" t="str">
        <f t="shared" si="43"/>
        <v>.</v>
      </c>
    </row>
    <row r="451" spans="1:12">
      <c r="A451" s="4" t="s">
        <v>655</v>
      </c>
      <c r="B451" s="8" t="s">
        <v>172</v>
      </c>
      <c r="C451" t="str">
        <f t="shared" ref="C451:C514" si="46">VLOOKUP(A451,E$2:J$838,6)</f>
        <v>ddhub:VelocityQuantity</v>
      </c>
      <c r="D451">
        <f t="shared" ref="D451:D514" si="47">IF(B451=C451,1,0)</f>
        <v>1</v>
      </c>
      <c r="E451" t="str">
        <f t="shared" ref="E451:E514" si="48">"ddhub:"&amp;F451</f>
        <v>ddhub:MetrePerDay</v>
      </c>
      <c r="F451" t="s">
        <v>1739</v>
      </c>
      <c r="G451" t="s">
        <v>68</v>
      </c>
      <c r="H451" t="s">
        <v>1218</v>
      </c>
      <c r="J451" t="str">
        <f t="shared" si="44"/>
        <v>ddhub:VelocityQuantity</v>
      </c>
      <c r="K451">
        <f t="shared" si="45"/>
        <v>1</v>
      </c>
      <c r="L451" t="str">
        <f t="shared" ref="L451:L514" si="49">IF(D451=K451,".","?")</f>
        <v>.</v>
      </c>
    </row>
    <row r="452" spans="1:12">
      <c r="A452" s="4" t="s">
        <v>656</v>
      </c>
      <c r="B452" s="8" t="s">
        <v>172</v>
      </c>
      <c r="C452" t="str">
        <f t="shared" si="46"/>
        <v>ddhub:VelocityQuantity</v>
      </c>
      <c r="D452">
        <f t="shared" si="47"/>
        <v>1</v>
      </c>
      <c r="E452" t="str">
        <f t="shared" si="48"/>
        <v>ddhub:MetrePerHour</v>
      </c>
      <c r="F452" t="s">
        <v>1740</v>
      </c>
      <c r="G452" t="s">
        <v>68</v>
      </c>
      <c r="H452" t="s">
        <v>1218</v>
      </c>
      <c r="J452" t="str">
        <f t="shared" si="44"/>
        <v>ddhub:VelocityQuantity</v>
      </c>
      <c r="K452">
        <f t="shared" si="45"/>
        <v>1</v>
      </c>
      <c r="L452" t="str">
        <f t="shared" si="49"/>
        <v>.</v>
      </c>
    </row>
    <row r="453" spans="1:12">
      <c r="A453" s="4" t="s">
        <v>657</v>
      </c>
      <c r="B453" s="8" t="s">
        <v>172</v>
      </c>
      <c r="C453" t="str">
        <f t="shared" si="46"/>
        <v>ddhub:DimensionlessQuantity</v>
      </c>
      <c r="D453">
        <f t="shared" si="47"/>
        <v>0</v>
      </c>
      <c r="E453" t="str">
        <f t="shared" si="48"/>
        <v>ddhub:MetrePerKilometre</v>
      </c>
      <c r="F453" t="s">
        <v>1741</v>
      </c>
      <c r="G453" t="s">
        <v>44</v>
      </c>
      <c r="H453" t="s">
        <v>1223</v>
      </c>
      <c r="J453" t="str">
        <f t="shared" si="44"/>
        <v>ddhub:DimensionlessQuantity</v>
      </c>
      <c r="K453">
        <f t="shared" si="45"/>
        <v>0</v>
      </c>
      <c r="L453" t="str">
        <f t="shared" si="49"/>
        <v>.</v>
      </c>
    </row>
    <row r="454" spans="1:12">
      <c r="A454" s="4" t="s">
        <v>658</v>
      </c>
      <c r="B454" s="8" t="s">
        <v>332</v>
      </c>
      <c r="C454" t="str">
        <f t="shared" si="46"/>
        <v>ddhub:DimensionlessQuantity</v>
      </c>
      <c r="D454">
        <f t="shared" si="47"/>
        <v>1</v>
      </c>
      <c r="E454" t="str">
        <f t="shared" si="48"/>
        <v>ddhub:MetrePerMetre</v>
      </c>
      <c r="F454" t="s">
        <v>1742</v>
      </c>
      <c r="G454" t="s">
        <v>44</v>
      </c>
      <c r="H454" t="s">
        <v>1223</v>
      </c>
      <c r="J454" t="str">
        <f t="shared" si="44"/>
        <v>ddhub:DimensionlessQuantity</v>
      </c>
      <c r="K454">
        <f t="shared" si="45"/>
        <v>1</v>
      </c>
      <c r="L454" t="str">
        <f t="shared" si="49"/>
        <v>.</v>
      </c>
    </row>
    <row r="455" spans="1:12">
      <c r="A455" s="4" t="s">
        <v>659</v>
      </c>
      <c r="B455" s="8" t="s">
        <v>172</v>
      </c>
      <c r="C455" t="str">
        <f t="shared" si="46"/>
        <v>ddhub:VelocityQuantity</v>
      </c>
      <c r="D455">
        <f t="shared" si="47"/>
        <v>1</v>
      </c>
      <c r="E455" t="str">
        <f t="shared" si="48"/>
        <v>ddhub:MetrePerMinute</v>
      </c>
      <c r="F455" t="s">
        <v>1743</v>
      </c>
      <c r="G455" t="s">
        <v>68</v>
      </c>
      <c r="H455" t="s">
        <v>1218</v>
      </c>
      <c r="J455" t="str">
        <f t="shared" si="44"/>
        <v>ddhub:VelocityQuantity</v>
      </c>
      <c r="K455">
        <f t="shared" si="45"/>
        <v>1</v>
      </c>
      <c r="L455" t="str">
        <f t="shared" si="49"/>
        <v>.</v>
      </c>
    </row>
    <row r="456" spans="1:12">
      <c r="A456" s="4" t="s">
        <v>660</v>
      </c>
      <c r="B456" s="8" t="s">
        <v>172</v>
      </c>
      <c r="C456" t="str">
        <f t="shared" si="46"/>
        <v>ddhub:VelocityQuantity</v>
      </c>
      <c r="D456">
        <f t="shared" si="47"/>
        <v>1</v>
      </c>
      <c r="E456" t="str">
        <f t="shared" si="48"/>
        <v>ddhub:MetrePerSecond</v>
      </c>
      <c r="F456" t="s">
        <v>1744</v>
      </c>
      <c r="G456" t="s">
        <v>68</v>
      </c>
      <c r="H456" t="s">
        <v>1218</v>
      </c>
      <c r="J456" t="str">
        <f t="shared" si="44"/>
        <v>ddhub:VelocityQuantity</v>
      </c>
      <c r="K456">
        <f t="shared" si="45"/>
        <v>1</v>
      </c>
      <c r="L456" t="str">
        <f t="shared" si="49"/>
        <v>.</v>
      </c>
    </row>
    <row r="457" spans="1:12">
      <c r="A457" s="4" t="s">
        <v>661</v>
      </c>
      <c r="B457" s="8" t="s">
        <v>176</v>
      </c>
      <c r="C457" t="str">
        <f t="shared" si="46"/>
        <v>ddhub:AccelerationQuantity</v>
      </c>
      <c r="D457">
        <f t="shared" si="47"/>
        <v>1</v>
      </c>
      <c r="E457" t="str">
        <f t="shared" si="48"/>
        <v>ddhub:MetrePerSecondPerMillisecond</v>
      </c>
      <c r="F457" t="s">
        <v>1745</v>
      </c>
      <c r="G457" t="s">
        <v>11</v>
      </c>
      <c r="H457" t="s">
        <v>1221</v>
      </c>
      <c r="J457" t="str">
        <f t="shared" si="44"/>
        <v>ddhub:AccelerationQuantity</v>
      </c>
      <c r="K457">
        <f t="shared" si="45"/>
        <v>1</v>
      </c>
      <c r="L457" t="str">
        <f t="shared" si="49"/>
        <v>.</v>
      </c>
    </row>
    <row r="458" spans="1:12">
      <c r="A458" s="4" t="s">
        <v>662</v>
      </c>
      <c r="B458" s="8" t="s">
        <v>176</v>
      </c>
      <c r="C458" t="str">
        <f t="shared" si="46"/>
        <v>ddhub:AccelerationQuantity</v>
      </c>
      <c r="D458">
        <f t="shared" si="47"/>
        <v>1</v>
      </c>
      <c r="E458" t="str">
        <f t="shared" si="48"/>
        <v>ddhub:MetrePerSecondSquared</v>
      </c>
      <c r="F458" t="s">
        <v>1746</v>
      </c>
      <c r="G458" t="s">
        <v>11</v>
      </c>
      <c r="H458" t="s">
        <v>1229</v>
      </c>
      <c r="J458" t="str">
        <f t="shared" si="44"/>
        <v>ddhub:AccelerationQuantity</v>
      </c>
      <c r="K458">
        <f t="shared" si="45"/>
        <v>1</v>
      </c>
      <c r="L458" t="str">
        <f t="shared" si="49"/>
        <v>.</v>
      </c>
    </row>
    <row r="459" spans="1:12">
      <c r="A459" s="4" t="s">
        <v>663</v>
      </c>
      <c r="B459" s="8" t="s">
        <v>13</v>
      </c>
      <c r="C459" t="str">
        <f t="shared" si="46"/>
        <v>ddhub:ElectricCurrentQuantity</v>
      </c>
      <c r="D459">
        <f t="shared" si="47"/>
        <v>1</v>
      </c>
      <c r="E459" t="str">
        <f t="shared" si="48"/>
        <v>ddhub:Microampere</v>
      </c>
      <c r="F459" t="s">
        <v>1747</v>
      </c>
      <c r="G459" t="s">
        <v>14</v>
      </c>
      <c r="H459" t="s">
        <v>1748</v>
      </c>
      <c r="J459" t="str">
        <f t="shared" si="44"/>
        <v>ddhub:ElectricCurrentQuantity</v>
      </c>
      <c r="K459">
        <f t="shared" si="45"/>
        <v>1</v>
      </c>
      <c r="L459" t="str">
        <f t="shared" si="49"/>
        <v>.</v>
      </c>
    </row>
    <row r="460" spans="1:12">
      <c r="A460" s="4" t="s">
        <v>664</v>
      </c>
      <c r="B460" s="8" t="s">
        <v>170</v>
      </c>
      <c r="C460" t="str">
        <f t="shared" si="46"/>
        <v>ddhub:PressureQuantity</v>
      </c>
      <c r="D460">
        <f t="shared" si="47"/>
        <v>1</v>
      </c>
      <c r="E460" t="str">
        <f t="shared" si="48"/>
        <v>ddhub:Microbar</v>
      </c>
      <c r="F460" t="s">
        <v>1749</v>
      </c>
      <c r="G460" t="s">
        <v>43</v>
      </c>
      <c r="H460" t="s">
        <v>1750</v>
      </c>
      <c r="J460" t="str">
        <f t="shared" si="44"/>
        <v>ddhub:PressureQuantity</v>
      </c>
      <c r="K460">
        <f t="shared" si="45"/>
        <v>1</v>
      </c>
      <c r="L460" t="str">
        <f t="shared" si="49"/>
        <v>.</v>
      </c>
    </row>
    <row r="461" spans="1:12">
      <c r="A461" s="4" t="s">
        <v>665</v>
      </c>
      <c r="B461" s="8" t="s">
        <v>334</v>
      </c>
      <c r="C461" t="str">
        <f t="shared" si="46"/>
        <v>ddhub:PorousMediumPermeabilityQuantity</v>
      </c>
      <c r="D461">
        <f t="shared" si="47"/>
        <v>0</v>
      </c>
      <c r="E461" t="str">
        <f t="shared" si="48"/>
        <v>ddhub:Microdarcy</v>
      </c>
      <c r="F461" t="s">
        <v>1751</v>
      </c>
      <c r="G461" t="s">
        <v>128</v>
      </c>
      <c r="H461" t="s">
        <v>1266</v>
      </c>
      <c r="J461" t="str">
        <f t="shared" si="44"/>
        <v>ddhub:PorousMediumPermeabilityQuantity</v>
      </c>
      <c r="K461">
        <f t="shared" si="45"/>
        <v>0</v>
      </c>
      <c r="L461" t="str">
        <f t="shared" si="49"/>
        <v>.</v>
      </c>
    </row>
    <row r="462" spans="1:12">
      <c r="A462" s="4" t="s">
        <v>666</v>
      </c>
      <c r="B462" s="8" t="s">
        <v>334</v>
      </c>
      <c r="C462" t="str">
        <f t="shared" si="46"/>
        <v>ddhub:ElectricCapacitanceQuantity</v>
      </c>
      <c r="D462">
        <f t="shared" si="47"/>
        <v>0</v>
      </c>
      <c r="E462" t="str">
        <f t="shared" si="48"/>
        <v>ddhub:Microfarad</v>
      </c>
      <c r="F462" t="s">
        <v>1752</v>
      </c>
      <c r="G462" t="s">
        <v>52</v>
      </c>
      <c r="H462" t="s">
        <v>1753</v>
      </c>
      <c r="J462" t="str">
        <f t="shared" si="44"/>
        <v>ddhub:ElectricCapacitanceQuantity</v>
      </c>
      <c r="K462">
        <f t="shared" si="45"/>
        <v>0</v>
      </c>
      <c r="L462" t="str">
        <f t="shared" si="49"/>
        <v>.</v>
      </c>
    </row>
    <row r="463" spans="1:12">
      <c r="A463" s="4" t="s">
        <v>667</v>
      </c>
      <c r="B463" s="8" t="s">
        <v>34</v>
      </c>
      <c r="C463" t="str">
        <f t="shared" si="46"/>
        <v>ddhub:MassQuantity</v>
      </c>
      <c r="D463">
        <f t="shared" si="47"/>
        <v>1</v>
      </c>
      <c r="E463" t="str">
        <f t="shared" si="48"/>
        <v>ddhub:Microgram</v>
      </c>
      <c r="F463" t="s">
        <v>1754</v>
      </c>
      <c r="G463" t="s">
        <v>35</v>
      </c>
      <c r="H463" t="s">
        <v>1755</v>
      </c>
      <c r="J463" t="str">
        <f t="shared" si="44"/>
        <v>ddhub:MassQuantity</v>
      </c>
      <c r="K463">
        <f t="shared" si="45"/>
        <v>1</v>
      </c>
      <c r="L463" t="str">
        <f t="shared" si="49"/>
        <v>.</v>
      </c>
    </row>
    <row r="464" spans="1:12">
      <c r="A464" s="4" t="s">
        <v>669</v>
      </c>
      <c r="B464" s="5" t="s">
        <v>9</v>
      </c>
      <c r="C464" t="str">
        <f t="shared" si="46"/>
        <v>ddhub:LengthQuantity</v>
      </c>
      <c r="D464">
        <f t="shared" si="47"/>
        <v>1</v>
      </c>
      <c r="E464" t="str">
        <f t="shared" si="48"/>
        <v>ddhub:Micrometre</v>
      </c>
      <c r="F464" t="s">
        <v>1756</v>
      </c>
      <c r="G464" t="s">
        <v>10</v>
      </c>
      <c r="H464" t="s">
        <v>1757</v>
      </c>
      <c r="J464" t="str">
        <f t="shared" si="44"/>
        <v>ddhub:LengthQuantity</v>
      </c>
      <c r="K464">
        <f t="shared" si="45"/>
        <v>1</v>
      </c>
      <c r="L464" t="str">
        <f t="shared" si="49"/>
        <v>.</v>
      </c>
    </row>
    <row r="465" spans="1:12">
      <c r="A465" s="4" t="s">
        <v>671</v>
      </c>
      <c r="B465" s="8" t="s">
        <v>332</v>
      </c>
      <c r="C465" t="str">
        <f t="shared" si="46"/>
        <v>ddhub:DimensionlessQuantity</v>
      </c>
      <c r="D465">
        <f t="shared" si="47"/>
        <v>1</v>
      </c>
      <c r="E465" t="str">
        <f t="shared" si="48"/>
        <v>ddhub:MicrometrePerKilometre</v>
      </c>
      <c r="F465" t="s">
        <v>1758</v>
      </c>
      <c r="G465" t="s">
        <v>44</v>
      </c>
      <c r="H465" t="s">
        <v>1223</v>
      </c>
      <c r="J465" t="str">
        <f t="shared" si="44"/>
        <v>ddhub:DimensionlessQuantity</v>
      </c>
      <c r="K465">
        <f t="shared" si="45"/>
        <v>1</v>
      </c>
      <c r="L465" t="str">
        <f t="shared" si="49"/>
        <v>.</v>
      </c>
    </row>
    <row r="466" spans="1:12">
      <c r="A466" s="4" t="s">
        <v>672</v>
      </c>
      <c r="B466" s="8" t="s">
        <v>332</v>
      </c>
      <c r="C466" t="str">
        <f t="shared" si="46"/>
        <v>ddhub:DimensionlessQuantity</v>
      </c>
      <c r="D466">
        <f t="shared" si="47"/>
        <v>1</v>
      </c>
      <c r="E466" t="str">
        <f t="shared" si="48"/>
        <v>ddhub:MicrometrePerMetre</v>
      </c>
      <c r="F466" t="s">
        <v>1759</v>
      </c>
      <c r="G466" t="s">
        <v>44</v>
      </c>
      <c r="H466" t="s">
        <v>1223</v>
      </c>
      <c r="J466" t="str">
        <f t="shared" si="44"/>
        <v>ddhub:DimensionlessQuantity</v>
      </c>
      <c r="K466">
        <f t="shared" si="45"/>
        <v>1</v>
      </c>
      <c r="L466" t="str">
        <f t="shared" si="49"/>
        <v>.</v>
      </c>
    </row>
    <row r="467" spans="1:12">
      <c r="A467" s="4" t="s">
        <v>673</v>
      </c>
      <c r="B467" s="8" t="s">
        <v>334</v>
      </c>
      <c r="C467" t="str">
        <f t="shared" si="46"/>
        <v>ddhub:AmountSubstanceQuantity</v>
      </c>
      <c r="D467">
        <f t="shared" si="47"/>
        <v>0</v>
      </c>
      <c r="E467" t="str">
        <f t="shared" si="48"/>
        <v>ddhub:Micromole</v>
      </c>
      <c r="F467" t="s">
        <v>1760</v>
      </c>
      <c r="G467" t="s">
        <v>15</v>
      </c>
      <c r="H467" t="s">
        <v>1761</v>
      </c>
      <c r="J467" t="str">
        <f t="shared" si="44"/>
        <v>ddhub:AmountSubstanceQuantity</v>
      </c>
      <c r="K467">
        <f t="shared" si="45"/>
        <v>0</v>
      </c>
      <c r="L467" t="str">
        <f t="shared" si="49"/>
        <v>.</v>
      </c>
    </row>
    <row r="468" spans="1:12">
      <c r="A468" s="4" t="s">
        <v>674</v>
      </c>
      <c r="B468" s="8" t="s">
        <v>195</v>
      </c>
      <c r="C468" t="str">
        <f t="shared" si="46"/>
        <v>ddhub:DynamicViscosityQuantity</v>
      </c>
      <c r="D468">
        <f t="shared" si="47"/>
        <v>1</v>
      </c>
      <c r="E468" t="str">
        <f t="shared" si="48"/>
        <v>ddhub:MicropascalSecond</v>
      </c>
      <c r="F468" t="s">
        <v>1762</v>
      </c>
      <c r="G468" t="s">
        <v>48</v>
      </c>
      <c r="H468" t="s">
        <v>1763</v>
      </c>
      <c r="J468" t="str">
        <f t="shared" si="44"/>
        <v>ddhub:DynamicViscosityQuantity</v>
      </c>
      <c r="K468">
        <f t="shared" si="45"/>
        <v>1</v>
      </c>
      <c r="L468" t="str">
        <f t="shared" si="49"/>
        <v>.</v>
      </c>
    </row>
    <row r="469" spans="1:12">
      <c r="A469" s="4" t="s">
        <v>675</v>
      </c>
      <c r="B469" s="8" t="s">
        <v>195</v>
      </c>
      <c r="C469" t="str">
        <f t="shared" si="46"/>
        <v>ddhub:DynamicViscosityQuantity</v>
      </c>
      <c r="D469">
        <f t="shared" si="47"/>
        <v>1</v>
      </c>
      <c r="E469" t="str">
        <f t="shared" si="48"/>
        <v>ddhub:Micropoise</v>
      </c>
      <c r="F469" t="s">
        <v>1764</v>
      </c>
      <c r="G469" t="s">
        <v>48</v>
      </c>
      <c r="H469" t="s">
        <v>1765</v>
      </c>
      <c r="J469" t="str">
        <f t="shared" si="44"/>
        <v>ddhub:DynamicViscosityQuantity</v>
      </c>
      <c r="K469">
        <f t="shared" si="45"/>
        <v>1</v>
      </c>
      <c r="L469" t="str">
        <f t="shared" si="49"/>
        <v>.</v>
      </c>
    </row>
    <row r="470" spans="1:12">
      <c r="A470" s="4" t="s">
        <v>676</v>
      </c>
      <c r="B470" s="8" t="s">
        <v>201</v>
      </c>
      <c r="C470" t="str">
        <f t="shared" si="46"/>
        <v>ddhub:TimeQuantity</v>
      </c>
      <c r="D470">
        <f t="shared" si="47"/>
        <v>1</v>
      </c>
      <c r="E470" t="str">
        <f t="shared" si="48"/>
        <v>ddhub:Microsecond</v>
      </c>
      <c r="F470" t="s">
        <v>1766</v>
      </c>
      <c r="G470" t="s">
        <v>162</v>
      </c>
      <c r="H470" t="s">
        <v>1767</v>
      </c>
      <c r="J470" t="str">
        <f t="shared" si="44"/>
        <v>ddhub:TimeQuantity</v>
      </c>
      <c r="K470">
        <f t="shared" si="45"/>
        <v>1</v>
      </c>
      <c r="L470" t="str">
        <f t="shared" si="49"/>
        <v>.</v>
      </c>
    </row>
    <row r="471" spans="1:12">
      <c r="A471" s="4" t="s">
        <v>678</v>
      </c>
      <c r="B471" s="8" t="s">
        <v>334</v>
      </c>
      <c r="C471" t="str">
        <f t="shared" si="46"/>
        <v>ddhub:MagneticFluxDensityQuantity</v>
      </c>
      <c r="D471">
        <f t="shared" si="47"/>
        <v>0</v>
      </c>
      <c r="E471" t="str">
        <f t="shared" si="48"/>
        <v>ddhub:Microtesla</v>
      </c>
      <c r="F471" t="s">
        <v>1768</v>
      </c>
      <c r="G471" t="s">
        <v>107</v>
      </c>
      <c r="H471" t="s">
        <v>1769</v>
      </c>
      <c r="J471" t="str">
        <f t="shared" si="44"/>
        <v>ddhub:MagneticFluxDensityQuantity</v>
      </c>
      <c r="K471">
        <f t="shared" si="45"/>
        <v>0</v>
      </c>
      <c r="L471" t="str">
        <f t="shared" si="49"/>
        <v>.</v>
      </c>
    </row>
    <row r="472" spans="1:12">
      <c r="A472" s="4" t="s">
        <v>679</v>
      </c>
      <c r="B472" s="8" t="s">
        <v>334</v>
      </c>
      <c r="C472" t="str">
        <f t="shared" si="46"/>
        <v>zzz:TBD</v>
      </c>
      <c r="D472">
        <f t="shared" si="47"/>
        <v>1</v>
      </c>
      <c r="E472" t="str">
        <f t="shared" si="48"/>
        <v>ddhub:Microvolt</v>
      </c>
      <c r="F472" t="s">
        <v>1770</v>
      </c>
      <c r="G472" t="s">
        <v>1153</v>
      </c>
      <c r="H472" t="s">
        <v>1237</v>
      </c>
      <c r="J472" s="8" t="s">
        <v>334</v>
      </c>
      <c r="K472">
        <f t="shared" si="45"/>
        <v>1</v>
      </c>
      <c r="L472" t="str">
        <f t="shared" si="49"/>
        <v>.</v>
      </c>
    </row>
    <row r="473" spans="1:12">
      <c r="A473" s="4" t="s">
        <v>681</v>
      </c>
      <c r="B473" s="8" t="s">
        <v>38</v>
      </c>
      <c r="C473" t="str">
        <f t="shared" si="46"/>
        <v>ddhub:PowerQuantity</v>
      </c>
      <c r="D473">
        <f t="shared" si="47"/>
        <v>1</v>
      </c>
      <c r="E473" t="str">
        <f t="shared" si="48"/>
        <v>ddhub:Microwatt</v>
      </c>
      <c r="F473" t="s">
        <v>1771</v>
      </c>
      <c r="G473" t="s">
        <v>39</v>
      </c>
      <c r="H473" t="s">
        <v>1772</v>
      </c>
      <c r="J473" t="str">
        <f t="shared" si="44"/>
        <v>ddhub:PowerQuantity</v>
      </c>
      <c r="K473">
        <f t="shared" si="45"/>
        <v>1</v>
      </c>
      <c r="L473" t="str">
        <f t="shared" si="49"/>
        <v>.</v>
      </c>
    </row>
    <row r="474" spans="1:12">
      <c r="A474" s="4" t="s">
        <v>683</v>
      </c>
      <c r="B474" s="8" t="s">
        <v>379</v>
      </c>
      <c r="C474" t="str">
        <f t="shared" si="46"/>
        <v>ddhub:MagneticFluxQuantity</v>
      </c>
      <c r="D474">
        <f t="shared" si="47"/>
        <v>0</v>
      </c>
      <c r="E474" t="str">
        <f t="shared" si="48"/>
        <v>ddhub:Microweber</v>
      </c>
      <c r="F474" t="s">
        <v>1773</v>
      </c>
      <c r="G474" t="s">
        <v>109</v>
      </c>
      <c r="H474" t="s">
        <v>1774</v>
      </c>
      <c r="J474" t="str">
        <f t="shared" si="44"/>
        <v>ddhub:MagneticFluxQuantity</v>
      </c>
      <c r="K474">
        <f t="shared" si="45"/>
        <v>0</v>
      </c>
      <c r="L474" t="str">
        <f t="shared" si="49"/>
        <v>.</v>
      </c>
    </row>
    <row r="475" spans="1:12">
      <c r="A475" s="4" t="s">
        <v>684</v>
      </c>
      <c r="B475" s="8" t="s">
        <v>9</v>
      </c>
      <c r="C475" t="str">
        <f t="shared" si="46"/>
        <v>ddhub:LengthQuantity</v>
      </c>
      <c r="D475">
        <f t="shared" si="47"/>
        <v>1</v>
      </c>
      <c r="E475" t="str">
        <f t="shared" si="48"/>
        <v>ddhub:Mil</v>
      </c>
      <c r="F475" t="s">
        <v>1775</v>
      </c>
      <c r="G475" t="s">
        <v>10</v>
      </c>
      <c r="H475" t="s">
        <v>1776</v>
      </c>
      <c r="J475" t="str">
        <f t="shared" si="44"/>
        <v>ddhub:LengthQuantity</v>
      </c>
      <c r="K475">
        <f t="shared" si="45"/>
        <v>1</v>
      </c>
      <c r="L475" t="str">
        <f t="shared" si="49"/>
        <v>.</v>
      </c>
    </row>
    <row r="476" spans="1:12">
      <c r="A476" s="4" t="s">
        <v>685</v>
      </c>
      <c r="B476" s="8" t="s">
        <v>9</v>
      </c>
      <c r="C476" t="str">
        <f t="shared" si="46"/>
        <v>ddhub:LengthQuantity</v>
      </c>
      <c r="D476">
        <f t="shared" si="47"/>
        <v>1</v>
      </c>
      <c r="E476" t="str">
        <f t="shared" si="48"/>
        <v>ddhub:Mile</v>
      </c>
      <c r="F476" t="s">
        <v>1777</v>
      </c>
      <c r="G476" t="s">
        <v>10</v>
      </c>
      <c r="H476" t="s">
        <v>1778</v>
      </c>
      <c r="J476" t="str">
        <f t="shared" si="44"/>
        <v>ddhub:LengthQuantity</v>
      </c>
      <c r="K476">
        <f t="shared" si="45"/>
        <v>1</v>
      </c>
      <c r="L476" t="str">
        <f t="shared" si="49"/>
        <v>.</v>
      </c>
    </row>
    <row r="477" spans="1:12">
      <c r="A477" s="4" t="s">
        <v>686</v>
      </c>
      <c r="B477" s="8" t="s">
        <v>172</v>
      </c>
      <c r="C477" t="str">
        <f t="shared" si="46"/>
        <v>ddhub:VelocityQuantity</v>
      </c>
      <c r="D477">
        <f t="shared" si="47"/>
        <v>1</v>
      </c>
      <c r="E477" t="str">
        <f t="shared" si="48"/>
        <v>ddhub:MilePerDay</v>
      </c>
      <c r="F477" t="s">
        <v>1779</v>
      </c>
      <c r="G477" t="s">
        <v>68</v>
      </c>
      <c r="H477" t="s">
        <v>1218</v>
      </c>
      <c r="J477" t="str">
        <f t="shared" si="44"/>
        <v>ddhub:VelocityQuantity</v>
      </c>
      <c r="K477">
        <f t="shared" si="45"/>
        <v>1</v>
      </c>
      <c r="L477" t="str">
        <f t="shared" si="49"/>
        <v>.</v>
      </c>
    </row>
    <row r="478" spans="1:12">
      <c r="A478" s="4" t="s">
        <v>687</v>
      </c>
      <c r="B478" s="8" t="s">
        <v>172</v>
      </c>
      <c r="C478" t="str">
        <f t="shared" si="46"/>
        <v>ddhub:VelocityQuantity</v>
      </c>
      <c r="D478">
        <f t="shared" si="47"/>
        <v>1</v>
      </c>
      <c r="E478" t="str">
        <f t="shared" si="48"/>
        <v>ddhub:MilePerHour</v>
      </c>
      <c r="F478" t="s">
        <v>1780</v>
      </c>
      <c r="G478" t="s">
        <v>68</v>
      </c>
      <c r="H478" t="s">
        <v>1218</v>
      </c>
      <c r="J478" t="str">
        <f t="shared" si="44"/>
        <v>ddhub:VelocityQuantity</v>
      </c>
      <c r="K478">
        <f t="shared" si="45"/>
        <v>1</v>
      </c>
      <c r="L478" t="str">
        <f t="shared" si="49"/>
        <v>.</v>
      </c>
    </row>
    <row r="479" spans="1:12">
      <c r="A479" s="4" t="s">
        <v>688</v>
      </c>
      <c r="B479" s="8" t="s">
        <v>334</v>
      </c>
      <c r="C479" t="str">
        <f t="shared" si="46"/>
        <v>ddhub:AccelerationQuantity</v>
      </c>
      <c r="D479">
        <f t="shared" si="47"/>
        <v>0</v>
      </c>
      <c r="E479" t="str">
        <f t="shared" si="48"/>
        <v>ddhub:MilePerHourPerSecond</v>
      </c>
      <c r="F479" t="s">
        <v>1781</v>
      </c>
      <c r="G479" t="s">
        <v>11</v>
      </c>
      <c r="H479" t="s">
        <v>1221</v>
      </c>
      <c r="J479" t="str">
        <f t="shared" si="44"/>
        <v>ddhub:AccelerationQuantity</v>
      </c>
      <c r="K479">
        <f t="shared" si="45"/>
        <v>0</v>
      </c>
      <c r="L479" t="str">
        <f t="shared" si="49"/>
        <v>.</v>
      </c>
    </row>
    <row r="480" spans="1:12">
      <c r="A480" s="4" t="s">
        <v>689</v>
      </c>
      <c r="B480" s="8" t="s">
        <v>172</v>
      </c>
      <c r="C480" t="str">
        <f t="shared" si="46"/>
        <v>ddhub:VelocityQuantity</v>
      </c>
      <c r="D480">
        <f t="shared" si="47"/>
        <v>1</v>
      </c>
      <c r="E480" t="str">
        <f t="shared" si="48"/>
        <v>ddhub:MilePerMinute</v>
      </c>
      <c r="F480" t="s">
        <v>1782</v>
      </c>
      <c r="G480" t="s">
        <v>68</v>
      </c>
      <c r="H480" t="s">
        <v>1218</v>
      </c>
      <c r="J480" t="str">
        <f t="shared" si="44"/>
        <v>ddhub:VelocityQuantity</v>
      </c>
      <c r="K480">
        <f t="shared" si="45"/>
        <v>1</v>
      </c>
      <c r="L480" t="str">
        <f t="shared" si="49"/>
        <v>.</v>
      </c>
    </row>
    <row r="481" spans="1:12">
      <c r="A481" s="4" t="s">
        <v>690</v>
      </c>
      <c r="B481" s="8" t="s">
        <v>334</v>
      </c>
      <c r="C481" t="str">
        <f t="shared" si="46"/>
        <v>ddhub:AccelerationQuantity</v>
      </c>
      <c r="D481">
        <f t="shared" si="47"/>
        <v>0</v>
      </c>
      <c r="E481" t="str">
        <f t="shared" si="48"/>
        <v>ddhub:MilePerMinutePerSecond</v>
      </c>
      <c r="F481" t="s">
        <v>1783</v>
      </c>
      <c r="G481" t="s">
        <v>11</v>
      </c>
      <c r="H481" t="s">
        <v>1221</v>
      </c>
      <c r="J481" t="str">
        <f t="shared" si="44"/>
        <v>ddhub:AccelerationQuantity</v>
      </c>
      <c r="K481">
        <f t="shared" si="45"/>
        <v>0</v>
      </c>
      <c r="L481" t="str">
        <f t="shared" si="49"/>
        <v>.</v>
      </c>
    </row>
    <row r="482" spans="1:12">
      <c r="A482" s="4" t="s">
        <v>691</v>
      </c>
      <c r="B482" s="8" t="s">
        <v>172</v>
      </c>
      <c r="C482" t="str">
        <f t="shared" si="46"/>
        <v>ddhub:VelocityQuantity</v>
      </c>
      <c r="D482">
        <f t="shared" si="47"/>
        <v>1</v>
      </c>
      <c r="E482" t="str">
        <f t="shared" si="48"/>
        <v>ddhub:MilePerSecond</v>
      </c>
      <c r="F482" t="s">
        <v>1784</v>
      </c>
      <c r="G482" t="s">
        <v>68</v>
      </c>
      <c r="H482" t="s">
        <v>1218</v>
      </c>
      <c r="J482" t="str">
        <f t="shared" si="44"/>
        <v>ddhub:VelocityQuantity</v>
      </c>
      <c r="K482">
        <f t="shared" si="45"/>
        <v>1</v>
      </c>
      <c r="L482" t="str">
        <f t="shared" si="49"/>
        <v>.</v>
      </c>
    </row>
    <row r="483" spans="1:12">
      <c r="A483" s="4" t="s">
        <v>692</v>
      </c>
      <c r="B483" s="8" t="s">
        <v>176</v>
      </c>
      <c r="C483" t="str">
        <f t="shared" si="46"/>
        <v>ddhub:AccelerationQuantity</v>
      </c>
      <c r="D483">
        <f t="shared" si="47"/>
        <v>1</v>
      </c>
      <c r="E483" t="str">
        <f t="shared" si="48"/>
        <v>ddhub:MilePerSecondSquared</v>
      </c>
      <c r="F483" t="s">
        <v>1785</v>
      </c>
      <c r="G483" t="s">
        <v>11</v>
      </c>
      <c r="H483" t="s">
        <v>1229</v>
      </c>
      <c r="J483" t="str">
        <f t="shared" si="44"/>
        <v>ddhub:AccelerationQuantity</v>
      </c>
      <c r="K483">
        <f t="shared" si="45"/>
        <v>1</v>
      </c>
      <c r="L483" t="str">
        <f t="shared" si="49"/>
        <v>.</v>
      </c>
    </row>
    <row r="484" spans="1:12">
      <c r="A484" s="4" t="s">
        <v>693</v>
      </c>
      <c r="B484" s="8" t="s">
        <v>201</v>
      </c>
      <c r="C484" t="str">
        <f t="shared" si="46"/>
        <v>ddhub:TimeQuantity</v>
      </c>
      <c r="D484">
        <f t="shared" si="47"/>
        <v>1</v>
      </c>
      <c r="E484" t="str">
        <f t="shared" si="48"/>
        <v>ddhub:Millenia</v>
      </c>
      <c r="F484" t="s">
        <v>1786</v>
      </c>
      <c r="G484" t="s">
        <v>162</v>
      </c>
      <c r="H484" t="s">
        <v>1787</v>
      </c>
      <c r="J484" t="str">
        <f t="shared" si="44"/>
        <v>ddhub:TimeQuantity</v>
      </c>
      <c r="K484">
        <f t="shared" si="45"/>
        <v>1</v>
      </c>
      <c r="L484" t="str">
        <f t="shared" si="49"/>
        <v>.</v>
      </c>
    </row>
    <row r="485" spans="1:12">
      <c r="A485" s="4" t="s">
        <v>694</v>
      </c>
      <c r="B485" s="8" t="s">
        <v>13</v>
      </c>
      <c r="C485" t="str">
        <f t="shared" si="46"/>
        <v>ddhub:ElectricCurrentQuantity</v>
      </c>
      <c r="D485">
        <f t="shared" si="47"/>
        <v>1</v>
      </c>
      <c r="E485" t="str">
        <f t="shared" si="48"/>
        <v>ddhub:Milliampere</v>
      </c>
      <c r="F485" t="s">
        <v>1788</v>
      </c>
      <c r="G485" t="s">
        <v>14</v>
      </c>
      <c r="H485" t="s">
        <v>1789</v>
      </c>
      <c r="J485" t="str">
        <f t="shared" si="44"/>
        <v>ddhub:ElectricCurrentQuantity</v>
      </c>
      <c r="K485">
        <f t="shared" si="45"/>
        <v>1</v>
      </c>
      <c r="L485" t="str">
        <f t="shared" si="49"/>
        <v>.</v>
      </c>
    </row>
    <row r="486" spans="1:12">
      <c r="A486" s="4" t="s">
        <v>695</v>
      </c>
      <c r="B486" s="8" t="s">
        <v>170</v>
      </c>
      <c r="C486" t="str">
        <f t="shared" si="46"/>
        <v>ddhub:PressureQuantity</v>
      </c>
      <c r="D486">
        <f t="shared" si="47"/>
        <v>1</v>
      </c>
      <c r="E486" t="str">
        <f t="shared" si="48"/>
        <v>ddhub:Millibar</v>
      </c>
      <c r="F486" t="s">
        <v>1790</v>
      </c>
      <c r="G486" t="s">
        <v>43</v>
      </c>
      <c r="H486" t="s">
        <v>1791</v>
      </c>
      <c r="J486" t="str">
        <f t="shared" si="44"/>
        <v>ddhub:PressureQuantity</v>
      </c>
      <c r="K486">
        <f t="shared" si="45"/>
        <v>1</v>
      </c>
      <c r="L486" t="str">
        <f t="shared" si="49"/>
        <v>.</v>
      </c>
    </row>
    <row r="487" spans="1:12">
      <c r="A487" s="4" t="s">
        <v>696</v>
      </c>
      <c r="B487" s="8" t="s">
        <v>71</v>
      </c>
      <c r="C487" t="str">
        <f t="shared" si="46"/>
        <v>ddhub:LuminousIntensityQuantity</v>
      </c>
      <c r="D487">
        <f t="shared" si="47"/>
        <v>1</v>
      </c>
      <c r="E487" t="str">
        <f t="shared" si="48"/>
        <v>ddhub:Millicandela</v>
      </c>
      <c r="F487" t="s">
        <v>1792</v>
      </c>
      <c r="G487" t="s">
        <v>72</v>
      </c>
      <c r="H487" t="s">
        <v>1793</v>
      </c>
      <c r="J487" t="str">
        <f t="shared" si="44"/>
        <v>ddhub:LuminousIntensityQuantity</v>
      </c>
      <c r="K487">
        <f t="shared" si="45"/>
        <v>1</v>
      </c>
      <c r="L487" t="str">
        <f t="shared" si="49"/>
        <v>.</v>
      </c>
    </row>
    <row r="488" spans="1:12">
      <c r="A488" s="4" t="s">
        <v>697</v>
      </c>
      <c r="B488" s="8" t="s">
        <v>334</v>
      </c>
      <c r="C488" t="str">
        <f t="shared" si="46"/>
        <v>ddhub:PorousMediumPermeabilityQuantity</v>
      </c>
      <c r="D488">
        <f t="shared" si="47"/>
        <v>0</v>
      </c>
      <c r="E488" t="str">
        <f t="shared" si="48"/>
        <v>ddhub:Millidarcy</v>
      </c>
      <c r="F488" t="s">
        <v>1794</v>
      </c>
      <c r="G488" t="s">
        <v>128</v>
      </c>
      <c r="H488" t="s">
        <v>1266</v>
      </c>
      <c r="J488" t="str">
        <f t="shared" si="44"/>
        <v>ddhub:PorousMediumPermeabilityQuantity</v>
      </c>
      <c r="K488">
        <f t="shared" si="45"/>
        <v>0</v>
      </c>
      <c r="L488" t="str">
        <f t="shared" si="49"/>
        <v>.</v>
      </c>
    </row>
    <row r="489" spans="1:12">
      <c r="A489" s="4" t="s">
        <v>698</v>
      </c>
      <c r="B489" s="8" t="s">
        <v>334</v>
      </c>
      <c r="C489" t="str">
        <f t="shared" si="46"/>
        <v>ddhub:ElectricCapacitanceQuantity</v>
      </c>
      <c r="D489">
        <f t="shared" si="47"/>
        <v>0</v>
      </c>
      <c r="E489" t="str">
        <f t="shared" si="48"/>
        <v>ddhub:Millifarad</v>
      </c>
      <c r="F489" t="s">
        <v>1795</v>
      </c>
      <c r="G489" t="s">
        <v>52</v>
      </c>
      <c r="H489" t="s">
        <v>1796</v>
      </c>
      <c r="J489" t="str">
        <f t="shared" si="44"/>
        <v>ddhub:ElectricCapacitanceQuantity</v>
      </c>
      <c r="K489">
        <f t="shared" si="45"/>
        <v>0</v>
      </c>
      <c r="L489" t="str">
        <f t="shared" si="49"/>
        <v>.</v>
      </c>
    </row>
    <row r="490" spans="1:12">
      <c r="A490" s="4" t="s">
        <v>699</v>
      </c>
      <c r="B490" s="8" t="s">
        <v>334</v>
      </c>
      <c r="C490" t="str">
        <f t="shared" si="46"/>
        <v>ddhub:MagneticFluxDensityQuantity</v>
      </c>
      <c r="D490">
        <f t="shared" si="47"/>
        <v>0</v>
      </c>
      <c r="E490" t="str">
        <f t="shared" si="48"/>
        <v>ddhub:Milligauss</v>
      </c>
      <c r="F490" t="s">
        <v>1797</v>
      </c>
      <c r="G490" t="s">
        <v>107</v>
      </c>
      <c r="H490" t="s">
        <v>1798</v>
      </c>
      <c r="J490" t="str">
        <f t="shared" si="44"/>
        <v>ddhub:MagneticFluxDensityQuantity</v>
      </c>
      <c r="K490">
        <f t="shared" si="45"/>
        <v>0</v>
      </c>
      <c r="L490" t="str">
        <f t="shared" si="49"/>
        <v>.</v>
      </c>
    </row>
    <row r="491" spans="1:12">
      <c r="A491" s="4" t="s">
        <v>700</v>
      </c>
      <c r="B491" s="8" t="s">
        <v>34</v>
      </c>
      <c r="C491" t="str">
        <f t="shared" si="46"/>
        <v>ddhub:MassQuantity</v>
      </c>
      <c r="D491">
        <f t="shared" si="47"/>
        <v>1</v>
      </c>
      <c r="E491" t="str">
        <f t="shared" si="48"/>
        <v>ddhub:Milligram</v>
      </c>
      <c r="F491" t="s">
        <v>1799</v>
      </c>
      <c r="G491" t="s">
        <v>35</v>
      </c>
      <c r="H491" t="s">
        <v>1800</v>
      </c>
      <c r="J491" t="str">
        <f t="shared" si="44"/>
        <v>ddhub:MassQuantity</v>
      </c>
      <c r="K491">
        <f t="shared" si="45"/>
        <v>1</v>
      </c>
      <c r="L491" t="str">
        <f t="shared" si="49"/>
        <v>.</v>
      </c>
    </row>
    <row r="492" spans="1:12">
      <c r="A492" s="4" t="s">
        <v>701</v>
      </c>
      <c r="B492" s="8" t="s">
        <v>50</v>
      </c>
      <c r="C492" t="str">
        <f t="shared" si="46"/>
        <v>ddhub:VolumeQuantity</v>
      </c>
      <c r="D492">
        <f t="shared" si="47"/>
        <v>1</v>
      </c>
      <c r="E492" t="str">
        <f t="shared" si="48"/>
        <v>ddhub:Millilitre</v>
      </c>
      <c r="F492" t="s">
        <v>1801</v>
      </c>
      <c r="G492" t="s">
        <v>51</v>
      </c>
      <c r="H492" t="s">
        <v>1802</v>
      </c>
      <c r="J492" t="str">
        <f t="shared" si="44"/>
        <v>ddhub:VolumeQuantity</v>
      </c>
      <c r="K492">
        <f t="shared" si="45"/>
        <v>1</v>
      </c>
      <c r="L492" t="str">
        <f t="shared" si="49"/>
        <v>.</v>
      </c>
    </row>
    <row r="493" spans="1:12">
      <c r="A493" s="4" t="s">
        <v>702</v>
      </c>
      <c r="B493" s="5" t="s">
        <v>9</v>
      </c>
      <c r="C493" t="str">
        <f t="shared" si="46"/>
        <v>ddhub:LengthQuantity</v>
      </c>
      <c r="D493">
        <f t="shared" si="47"/>
        <v>1</v>
      </c>
      <c r="E493" t="str">
        <f t="shared" si="48"/>
        <v>ddhub:Millimetre</v>
      </c>
      <c r="F493" t="s">
        <v>1803</v>
      </c>
      <c r="G493" t="s">
        <v>10</v>
      </c>
      <c r="H493" t="s">
        <v>1804</v>
      </c>
      <c r="J493" t="str">
        <f t="shared" si="44"/>
        <v>ddhub:LengthQuantity</v>
      </c>
      <c r="K493">
        <f t="shared" si="45"/>
        <v>1</v>
      </c>
      <c r="L493" t="str">
        <f t="shared" si="49"/>
        <v>.</v>
      </c>
    </row>
    <row r="494" spans="1:12">
      <c r="A494" s="4" t="s">
        <v>703</v>
      </c>
      <c r="B494" s="8" t="s">
        <v>170</v>
      </c>
      <c r="C494" t="str">
        <f t="shared" si="46"/>
        <v>ddhub:PressureQuantity</v>
      </c>
      <c r="D494">
        <f t="shared" si="47"/>
        <v>1</v>
      </c>
      <c r="E494" t="str">
        <f t="shared" si="48"/>
        <v>ddhub:MillimetreMercuryAtZeroDegreeCelsius</v>
      </c>
      <c r="F494" t="s">
        <v>1805</v>
      </c>
      <c r="G494" t="s">
        <v>43</v>
      </c>
      <c r="H494" t="s">
        <v>1216</v>
      </c>
      <c r="J494" t="str">
        <f t="shared" si="44"/>
        <v>ddhub:PressureQuantity</v>
      </c>
      <c r="K494">
        <f t="shared" si="45"/>
        <v>1</v>
      </c>
      <c r="L494" t="str">
        <f t="shared" si="49"/>
        <v>.</v>
      </c>
    </row>
    <row r="495" spans="1:12">
      <c r="A495" s="4" t="s">
        <v>704</v>
      </c>
      <c r="B495" s="8" t="s">
        <v>172</v>
      </c>
      <c r="C495" t="str">
        <f t="shared" si="46"/>
        <v>ddhub:VelocityQuantity</v>
      </c>
      <c r="D495">
        <f t="shared" si="47"/>
        <v>1</v>
      </c>
      <c r="E495" t="str">
        <f t="shared" si="48"/>
        <v>ddhub:MillimetrePerDay</v>
      </c>
      <c r="F495" t="s">
        <v>1806</v>
      </c>
      <c r="G495" t="s">
        <v>68</v>
      </c>
      <c r="H495" t="s">
        <v>1218</v>
      </c>
      <c r="J495" t="str">
        <f t="shared" si="44"/>
        <v>ddhub:VelocityQuantity</v>
      </c>
      <c r="K495">
        <f t="shared" si="45"/>
        <v>1</v>
      </c>
      <c r="L495" t="str">
        <f t="shared" si="49"/>
        <v>.</v>
      </c>
    </row>
    <row r="496" spans="1:12">
      <c r="A496" s="4" t="s">
        <v>705</v>
      </c>
      <c r="B496" s="8" t="s">
        <v>172</v>
      </c>
      <c r="C496" t="str">
        <f t="shared" si="46"/>
        <v>ddhub:VelocityQuantity</v>
      </c>
      <c r="D496">
        <f t="shared" si="47"/>
        <v>1</v>
      </c>
      <c r="E496" t="str">
        <f t="shared" si="48"/>
        <v>ddhub:MillimetrePerHour</v>
      </c>
      <c r="F496" t="s">
        <v>1807</v>
      </c>
      <c r="G496" t="s">
        <v>68</v>
      </c>
      <c r="H496" t="s">
        <v>1218</v>
      </c>
      <c r="J496" t="str">
        <f t="shared" si="44"/>
        <v>ddhub:VelocityQuantity</v>
      </c>
      <c r="K496">
        <f t="shared" si="45"/>
        <v>1</v>
      </c>
      <c r="L496" t="str">
        <f t="shared" si="49"/>
        <v>.</v>
      </c>
    </row>
    <row r="497" spans="1:12">
      <c r="A497" s="4" t="s">
        <v>706</v>
      </c>
      <c r="B497" s="8" t="s">
        <v>332</v>
      </c>
      <c r="C497" t="str">
        <f t="shared" si="46"/>
        <v>ddhub:DimensionlessQuantity</v>
      </c>
      <c r="D497">
        <f t="shared" si="47"/>
        <v>1</v>
      </c>
      <c r="E497" t="str">
        <f t="shared" si="48"/>
        <v>ddhub:MillimetrePerKilometre</v>
      </c>
      <c r="F497" t="s">
        <v>1808</v>
      </c>
      <c r="G497" t="s">
        <v>44</v>
      </c>
      <c r="H497" t="s">
        <v>1223</v>
      </c>
      <c r="J497" t="str">
        <f t="shared" si="44"/>
        <v>ddhub:DimensionlessQuantity</v>
      </c>
      <c r="K497">
        <f t="shared" si="45"/>
        <v>1</v>
      </c>
      <c r="L497" t="str">
        <f t="shared" si="49"/>
        <v>.</v>
      </c>
    </row>
    <row r="498" spans="1:12">
      <c r="A498" s="4" t="s">
        <v>707</v>
      </c>
      <c r="B498" s="8" t="s">
        <v>332</v>
      </c>
      <c r="C498" t="str">
        <f t="shared" si="46"/>
        <v>ddhub:DimensionlessQuantity</v>
      </c>
      <c r="D498">
        <f t="shared" si="47"/>
        <v>1</v>
      </c>
      <c r="E498" t="str">
        <f t="shared" si="48"/>
        <v>ddhub:MillimetrePerMetre</v>
      </c>
      <c r="F498" t="s">
        <v>1809</v>
      </c>
      <c r="G498" t="s">
        <v>44</v>
      </c>
      <c r="H498" t="s">
        <v>1223</v>
      </c>
      <c r="J498" t="str">
        <f t="shared" si="44"/>
        <v>ddhub:DimensionlessQuantity</v>
      </c>
      <c r="K498">
        <f t="shared" si="45"/>
        <v>1</v>
      </c>
      <c r="L498" t="str">
        <f t="shared" si="49"/>
        <v>.</v>
      </c>
    </row>
    <row r="499" spans="1:12">
      <c r="A499" s="4" t="s">
        <v>708</v>
      </c>
      <c r="B499" s="8" t="s">
        <v>172</v>
      </c>
      <c r="C499" t="str">
        <f t="shared" si="46"/>
        <v>ddhub:VelocityQuantity</v>
      </c>
      <c r="D499">
        <f t="shared" si="47"/>
        <v>1</v>
      </c>
      <c r="E499" t="str">
        <f t="shared" si="48"/>
        <v>ddhub:MillimetrePerMinute</v>
      </c>
      <c r="F499" t="s">
        <v>1810</v>
      </c>
      <c r="G499" t="s">
        <v>68</v>
      </c>
      <c r="H499" t="s">
        <v>1218</v>
      </c>
      <c r="J499" t="str">
        <f t="shared" si="44"/>
        <v>ddhub:VelocityQuantity</v>
      </c>
      <c r="K499">
        <f t="shared" si="45"/>
        <v>1</v>
      </c>
      <c r="L499" t="str">
        <f t="shared" si="49"/>
        <v>.</v>
      </c>
    </row>
    <row r="500" spans="1:12">
      <c r="A500" s="4" t="s">
        <v>709</v>
      </c>
      <c r="B500" s="8" t="s">
        <v>172</v>
      </c>
      <c r="C500" t="str">
        <f t="shared" si="46"/>
        <v>ddhub:VelocityQuantity</v>
      </c>
      <c r="D500">
        <f t="shared" si="47"/>
        <v>1</v>
      </c>
      <c r="E500" t="str">
        <f t="shared" si="48"/>
        <v>ddhub:MillimetrePerSecond</v>
      </c>
      <c r="F500" t="s">
        <v>1811</v>
      </c>
      <c r="G500" t="s">
        <v>68</v>
      </c>
      <c r="H500" t="s">
        <v>1218</v>
      </c>
      <c r="J500" t="str">
        <f t="shared" si="44"/>
        <v>ddhub:VelocityQuantity</v>
      </c>
      <c r="K500">
        <f t="shared" si="45"/>
        <v>1</v>
      </c>
      <c r="L500" t="str">
        <f t="shared" si="49"/>
        <v>.</v>
      </c>
    </row>
    <row r="501" spans="1:12">
      <c r="A501" s="4" t="s">
        <v>710</v>
      </c>
      <c r="B501" s="8" t="s">
        <v>170</v>
      </c>
      <c r="C501" t="str">
        <f t="shared" si="46"/>
        <v>ddhub:PressureQuantity</v>
      </c>
      <c r="D501">
        <f t="shared" si="47"/>
        <v>1</v>
      </c>
      <c r="E501" t="str">
        <f t="shared" si="48"/>
        <v>ddhub:MillimetreWaterAt4DegreeCelsius</v>
      </c>
      <c r="F501" t="s">
        <v>1812</v>
      </c>
      <c r="G501" t="s">
        <v>43</v>
      </c>
      <c r="H501" t="s">
        <v>1231</v>
      </c>
      <c r="J501" t="str">
        <f t="shared" ref="J501:J564" si="50">"ddhub:"&amp;G501</f>
        <v>ddhub:PressureQuantity</v>
      </c>
      <c r="K501">
        <f t="shared" ref="K501:K564" si="51">IF(B501=J501,1,0)</f>
        <v>1</v>
      </c>
      <c r="L501" t="str">
        <f t="shared" si="49"/>
        <v>.</v>
      </c>
    </row>
    <row r="502" spans="1:12">
      <c r="A502" s="4" t="s">
        <v>711</v>
      </c>
      <c r="B502" s="8" t="s">
        <v>334</v>
      </c>
      <c r="C502" t="str">
        <f t="shared" si="46"/>
        <v>ddhub:AmountSubstanceQuantity</v>
      </c>
      <c r="D502">
        <f t="shared" si="47"/>
        <v>0</v>
      </c>
      <c r="E502" t="str">
        <f t="shared" si="48"/>
        <v>ddhub:Millimole</v>
      </c>
      <c r="F502" t="s">
        <v>1813</v>
      </c>
      <c r="G502" t="s">
        <v>15</v>
      </c>
      <c r="H502" t="s">
        <v>1814</v>
      </c>
      <c r="J502" t="str">
        <f t="shared" si="50"/>
        <v>ddhub:AmountSubstanceQuantity</v>
      </c>
      <c r="K502">
        <f t="shared" si="51"/>
        <v>0</v>
      </c>
      <c r="L502" t="str">
        <f t="shared" si="49"/>
        <v>.</v>
      </c>
    </row>
    <row r="503" spans="1:12">
      <c r="A503" s="4" t="s">
        <v>712</v>
      </c>
      <c r="B503" s="8" t="s">
        <v>334</v>
      </c>
      <c r="C503" t="str">
        <f t="shared" si="46"/>
        <v>ddhub:ForceGradientPerLengthQuantity</v>
      </c>
      <c r="D503">
        <f t="shared" si="47"/>
        <v>0</v>
      </c>
      <c r="E503" t="str">
        <f t="shared" si="48"/>
        <v>ddhub:MillinewtonPerMetre</v>
      </c>
      <c r="F503" t="s">
        <v>1815</v>
      </c>
      <c r="G503" t="s">
        <v>73</v>
      </c>
      <c r="H503" t="s">
        <v>1384</v>
      </c>
      <c r="J503" t="str">
        <f t="shared" si="50"/>
        <v>ddhub:ForceGradientPerLengthQuantity</v>
      </c>
      <c r="K503">
        <f t="shared" si="51"/>
        <v>0</v>
      </c>
      <c r="L503" t="str">
        <f t="shared" si="49"/>
        <v>.</v>
      </c>
    </row>
    <row r="504" spans="1:12">
      <c r="A504" s="4" t="s">
        <v>713</v>
      </c>
      <c r="B504" s="8" t="s">
        <v>50</v>
      </c>
      <c r="C504" t="str">
        <f t="shared" si="46"/>
        <v>ddhub:VolumeQuantity</v>
      </c>
      <c r="D504">
        <f t="shared" si="47"/>
        <v>1</v>
      </c>
      <c r="E504" t="str">
        <f t="shared" si="48"/>
        <v>ddhub:MillionBarrel</v>
      </c>
      <c r="F504" t="s">
        <v>1816</v>
      </c>
      <c r="G504" t="s">
        <v>51</v>
      </c>
      <c r="H504" t="s">
        <v>1817</v>
      </c>
      <c r="J504" t="str">
        <f t="shared" si="50"/>
        <v>ddhub:VolumeQuantity</v>
      </c>
      <c r="K504">
        <f t="shared" si="51"/>
        <v>1</v>
      </c>
      <c r="L504" t="str">
        <f t="shared" si="49"/>
        <v>.</v>
      </c>
    </row>
    <row r="505" spans="1:12">
      <c r="A505" s="4" t="s">
        <v>714</v>
      </c>
      <c r="B505" s="8" t="s">
        <v>50</v>
      </c>
      <c r="C505" t="str">
        <f t="shared" si="46"/>
        <v>ddhub:VolumeQuantity</v>
      </c>
      <c r="D505">
        <f t="shared" si="47"/>
        <v>1</v>
      </c>
      <c r="E505" t="str">
        <f t="shared" si="48"/>
        <v>ddhub:MillionCubicMetre</v>
      </c>
      <c r="F505" t="s">
        <v>1818</v>
      </c>
      <c r="G505" t="s">
        <v>51</v>
      </c>
      <c r="H505" t="s">
        <v>1819</v>
      </c>
      <c r="J505" t="str">
        <f t="shared" si="50"/>
        <v>ddhub:VolumeQuantity</v>
      </c>
      <c r="K505">
        <f t="shared" si="51"/>
        <v>1</v>
      </c>
      <c r="L505" t="str">
        <f t="shared" si="49"/>
        <v>.</v>
      </c>
    </row>
    <row r="506" spans="1:12">
      <c r="A506" s="4" t="s">
        <v>715</v>
      </c>
      <c r="B506" s="8" t="s">
        <v>56</v>
      </c>
      <c r="C506" t="str">
        <f t="shared" si="46"/>
        <v>ddhub:VolumetricFlowRateQuantity</v>
      </c>
      <c r="D506">
        <f t="shared" si="47"/>
        <v>1</v>
      </c>
      <c r="E506" t="str">
        <f t="shared" si="48"/>
        <v>ddhub:MillionCubicMetrePerDay</v>
      </c>
      <c r="F506" t="s">
        <v>1820</v>
      </c>
      <c r="G506" t="s">
        <v>53</v>
      </c>
      <c r="H506" t="s">
        <v>1821</v>
      </c>
      <c r="J506" t="str">
        <f t="shared" si="50"/>
        <v>ddhub:VolumetricFlowRateQuantity</v>
      </c>
      <c r="K506">
        <f t="shared" si="51"/>
        <v>1</v>
      </c>
      <c r="L506" t="str">
        <f t="shared" si="49"/>
        <v>.</v>
      </c>
    </row>
    <row r="507" spans="1:12">
      <c r="A507" s="4" t="s">
        <v>716</v>
      </c>
      <c r="B507" s="8" t="s">
        <v>56</v>
      </c>
      <c r="C507" t="str">
        <f t="shared" si="46"/>
        <v>ddhub:VolumetricFlowRateQuantity</v>
      </c>
      <c r="D507">
        <f t="shared" si="47"/>
        <v>1</v>
      </c>
      <c r="E507" t="str">
        <f t="shared" si="48"/>
        <v>ddhub:MillionLiterPerDay</v>
      </c>
      <c r="F507" t="s">
        <v>1822</v>
      </c>
      <c r="G507" t="s">
        <v>53</v>
      </c>
      <c r="H507" t="s">
        <v>1821</v>
      </c>
      <c r="J507" t="str">
        <f t="shared" si="50"/>
        <v>ddhub:VolumetricFlowRateQuantity</v>
      </c>
      <c r="K507">
        <f t="shared" si="51"/>
        <v>1</v>
      </c>
      <c r="L507" t="str">
        <f t="shared" si="49"/>
        <v>.</v>
      </c>
    </row>
    <row r="508" spans="1:12">
      <c r="A508" s="4" t="s">
        <v>717</v>
      </c>
      <c r="B508" s="8" t="s">
        <v>50</v>
      </c>
      <c r="C508" t="str">
        <f t="shared" si="46"/>
        <v>ddhub:VolumeQuantity</v>
      </c>
      <c r="D508">
        <f t="shared" si="47"/>
        <v>1</v>
      </c>
      <c r="E508" t="str">
        <f t="shared" si="48"/>
        <v>ddhub:MillionLitre</v>
      </c>
      <c r="F508" t="s">
        <v>1823</v>
      </c>
      <c r="G508" t="s">
        <v>51</v>
      </c>
      <c r="H508" t="s">
        <v>1824</v>
      </c>
      <c r="J508" t="str">
        <f t="shared" si="50"/>
        <v>ddhub:VolumeQuantity</v>
      </c>
      <c r="K508">
        <f t="shared" si="51"/>
        <v>1</v>
      </c>
      <c r="L508" t="str">
        <f t="shared" si="49"/>
        <v>.</v>
      </c>
    </row>
    <row r="509" spans="1:12">
      <c r="A509" s="4" t="s">
        <v>718</v>
      </c>
      <c r="B509" s="8" t="s">
        <v>50</v>
      </c>
      <c r="C509" t="str">
        <f t="shared" si="46"/>
        <v>ddhub:VolumeQuantity</v>
      </c>
      <c r="D509">
        <f t="shared" si="47"/>
        <v>1</v>
      </c>
      <c r="E509" t="str">
        <f t="shared" si="48"/>
        <v>ddhub:MillionStandardCubicFoot</v>
      </c>
      <c r="F509" t="s">
        <v>1825</v>
      </c>
      <c r="G509" t="s">
        <v>51</v>
      </c>
      <c r="H509" t="s">
        <v>1826</v>
      </c>
      <c r="J509" t="str">
        <f t="shared" si="50"/>
        <v>ddhub:VolumeQuantity</v>
      </c>
      <c r="K509">
        <f t="shared" si="51"/>
        <v>1</v>
      </c>
      <c r="L509" t="str">
        <f t="shared" si="49"/>
        <v>.</v>
      </c>
    </row>
    <row r="510" spans="1:12">
      <c r="A510" s="4" t="s">
        <v>719</v>
      </c>
      <c r="B510" s="8" t="s">
        <v>56</v>
      </c>
      <c r="C510" t="str">
        <f t="shared" si="46"/>
        <v>ddhub:VolumetricFlowRateQuantity</v>
      </c>
      <c r="D510">
        <f t="shared" si="47"/>
        <v>1</v>
      </c>
      <c r="E510" t="str">
        <f t="shared" si="48"/>
        <v>ddhub:MillionStandardCubicFootPerDay</v>
      </c>
      <c r="F510" t="s">
        <v>1827</v>
      </c>
      <c r="G510" t="s">
        <v>53</v>
      </c>
      <c r="H510" t="s">
        <v>1821</v>
      </c>
      <c r="J510" t="str">
        <f t="shared" si="50"/>
        <v>ddhub:VolumetricFlowRateQuantity</v>
      </c>
      <c r="K510">
        <f t="shared" si="51"/>
        <v>1</v>
      </c>
      <c r="L510" t="str">
        <f t="shared" si="49"/>
        <v>.</v>
      </c>
    </row>
    <row r="511" spans="1:12">
      <c r="A511" s="4" t="s">
        <v>720</v>
      </c>
      <c r="B511" s="8" t="s">
        <v>50</v>
      </c>
      <c r="C511" t="str">
        <f t="shared" si="46"/>
        <v>ddhub:VolumeQuantity</v>
      </c>
      <c r="D511">
        <f t="shared" si="47"/>
        <v>1</v>
      </c>
      <c r="E511" t="str">
        <f t="shared" si="48"/>
        <v>ddhub:MillionUkGallon</v>
      </c>
      <c r="F511" t="s">
        <v>1828</v>
      </c>
      <c r="G511" t="s">
        <v>51</v>
      </c>
      <c r="H511" t="s">
        <v>1829</v>
      </c>
      <c r="J511" t="str">
        <f t="shared" si="50"/>
        <v>ddhub:VolumeQuantity</v>
      </c>
      <c r="K511">
        <f t="shared" si="51"/>
        <v>1</v>
      </c>
      <c r="L511" t="str">
        <f t="shared" si="49"/>
        <v>.</v>
      </c>
    </row>
    <row r="512" spans="1:12">
      <c r="A512" s="4" t="s">
        <v>721</v>
      </c>
      <c r="B512" s="8" t="s">
        <v>334</v>
      </c>
      <c r="C512" t="str">
        <f t="shared" si="46"/>
        <v>ddhub:VolumetricFlowRateQuantity</v>
      </c>
      <c r="D512">
        <f t="shared" si="47"/>
        <v>0</v>
      </c>
      <c r="E512" t="str">
        <f t="shared" si="48"/>
        <v>ddhub:MillionUkGallonPerDay</v>
      </c>
      <c r="F512" t="s">
        <v>1830</v>
      </c>
      <c r="G512" t="s">
        <v>53</v>
      </c>
      <c r="H512" t="s">
        <v>1821</v>
      </c>
      <c r="J512" t="str">
        <f t="shared" si="50"/>
        <v>ddhub:VolumetricFlowRateQuantity</v>
      </c>
      <c r="K512">
        <f t="shared" si="51"/>
        <v>0</v>
      </c>
      <c r="L512" t="str">
        <f t="shared" si="49"/>
        <v>.</v>
      </c>
    </row>
    <row r="513" spans="1:12">
      <c r="A513" s="4" t="s">
        <v>722</v>
      </c>
      <c r="B513" s="8" t="s">
        <v>50</v>
      </c>
      <c r="C513" t="str">
        <f t="shared" si="46"/>
        <v>ddhub:VolumeQuantity</v>
      </c>
      <c r="D513">
        <f t="shared" si="47"/>
        <v>1</v>
      </c>
      <c r="E513" t="str">
        <f t="shared" si="48"/>
        <v>ddhub:MillionUsGallon</v>
      </c>
      <c r="F513" t="s">
        <v>1831</v>
      </c>
      <c r="G513" t="s">
        <v>51</v>
      </c>
      <c r="H513" t="s">
        <v>1832</v>
      </c>
      <c r="J513" t="str">
        <f t="shared" si="50"/>
        <v>ddhub:VolumeQuantity</v>
      </c>
      <c r="K513">
        <f t="shared" si="51"/>
        <v>1</v>
      </c>
      <c r="L513" t="str">
        <f t="shared" si="49"/>
        <v>.</v>
      </c>
    </row>
    <row r="514" spans="1:12">
      <c r="A514" s="4" t="s">
        <v>723</v>
      </c>
      <c r="B514" s="8" t="s">
        <v>56</v>
      </c>
      <c r="C514" t="str">
        <f t="shared" si="46"/>
        <v>ddhub:VolumetricFlowRateQuantity</v>
      </c>
      <c r="D514">
        <f t="shared" si="47"/>
        <v>1</v>
      </c>
      <c r="E514" t="str">
        <f t="shared" si="48"/>
        <v>ddhub:MillionUsGallonPerDay</v>
      </c>
      <c r="F514" t="s">
        <v>1833</v>
      </c>
      <c r="G514" t="s">
        <v>53</v>
      </c>
      <c r="H514" t="s">
        <v>1821</v>
      </c>
      <c r="J514" t="str">
        <f t="shared" si="50"/>
        <v>ddhub:VolumetricFlowRateQuantity</v>
      </c>
      <c r="K514">
        <f t="shared" si="51"/>
        <v>1</v>
      </c>
      <c r="L514" t="str">
        <f t="shared" si="49"/>
        <v>.</v>
      </c>
    </row>
    <row r="515" spans="1:12">
      <c r="A515" s="4" t="s">
        <v>724</v>
      </c>
      <c r="B515" s="8" t="s">
        <v>201</v>
      </c>
      <c r="C515" t="str">
        <f t="shared" ref="C515:C578" si="52">VLOOKUP(A515,E$2:J$838,6)</f>
        <v>ddhub:TimeQuantity</v>
      </c>
      <c r="D515">
        <f t="shared" ref="D515:D578" si="53">IF(B515=C515,1,0)</f>
        <v>1</v>
      </c>
      <c r="E515" t="str">
        <f t="shared" ref="E515:E578" si="54">"ddhub:"&amp;F515</f>
        <v>ddhub:MillionYear</v>
      </c>
      <c r="F515" t="s">
        <v>1834</v>
      </c>
      <c r="G515" t="s">
        <v>162</v>
      </c>
      <c r="H515" t="s">
        <v>1835</v>
      </c>
      <c r="J515" t="str">
        <f t="shared" si="50"/>
        <v>ddhub:TimeQuantity</v>
      </c>
      <c r="K515">
        <f t="shared" si="51"/>
        <v>1</v>
      </c>
      <c r="L515" t="str">
        <f t="shared" ref="L515:L578" si="55">IF(D515=K515,".","?")</f>
        <v>.</v>
      </c>
    </row>
    <row r="516" spans="1:12">
      <c r="A516" s="4" t="s">
        <v>725</v>
      </c>
      <c r="B516" s="8" t="s">
        <v>195</v>
      </c>
      <c r="C516" t="str">
        <f t="shared" si="52"/>
        <v>ddhub:DynamicViscosityQuantity</v>
      </c>
      <c r="D516">
        <f t="shared" si="53"/>
        <v>1</v>
      </c>
      <c r="E516" t="str">
        <f t="shared" si="54"/>
        <v>ddhub:MillipascalSecond</v>
      </c>
      <c r="F516" t="s">
        <v>1836</v>
      </c>
      <c r="G516" t="s">
        <v>48</v>
      </c>
      <c r="H516" t="s">
        <v>1763</v>
      </c>
      <c r="J516" t="str">
        <f t="shared" si="50"/>
        <v>ddhub:DynamicViscosityQuantity</v>
      </c>
      <c r="K516">
        <f t="shared" si="51"/>
        <v>1</v>
      </c>
      <c r="L516" t="str">
        <f t="shared" si="55"/>
        <v>.</v>
      </c>
    </row>
    <row r="517" spans="1:12">
      <c r="A517" s="4" t="s">
        <v>726</v>
      </c>
      <c r="B517" s="8" t="s">
        <v>195</v>
      </c>
      <c r="C517" t="str">
        <f t="shared" si="52"/>
        <v>ddhub:DynamicViscosityQuantity</v>
      </c>
      <c r="D517">
        <f t="shared" si="53"/>
        <v>1</v>
      </c>
      <c r="E517" t="str">
        <f t="shared" si="54"/>
        <v>ddhub:Millipoise</v>
      </c>
      <c r="F517" t="s">
        <v>1837</v>
      </c>
      <c r="G517" t="s">
        <v>48</v>
      </c>
      <c r="H517" t="s">
        <v>1838</v>
      </c>
      <c r="J517" t="str">
        <f t="shared" si="50"/>
        <v>ddhub:DynamicViscosityQuantity</v>
      </c>
      <c r="K517">
        <f t="shared" si="51"/>
        <v>1</v>
      </c>
      <c r="L517" t="str">
        <f t="shared" si="55"/>
        <v>.</v>
      </c>
    </row>
    <row r="518" spans="1:12">
      <c r="A518" s="4" t="s">
        <v>727</v>
      </c>
      <c r="B518" s="8" t="s">
        <v>334</v>
      </c>
      <c r="C518" t="str">
        <f t="shared" si="52"/>
        <v>ddhub:PlaneAngleQuantity</v>
      </c>
      <c r="D518">
        <f t="shared" si="53"/>
        <v>0</v>
      </c>
      <c r="E518" t="str">
        <f t="shared" si="54"/>
        <v>ddhub:Milliradian</v>
      </c>
      <c r="F518" t="s">
        <v>1839</v>
      </c>
      <c r="G518" t="s">
        <v>26</v>
      </c>
      <c r="H518" t="s">
        <v>1840</v>
      </c>
      <c r="J518" t="str">
        <f t="shared" si="50"/>
        <v>ddhub:PlaneAngleQuantity</v>
      </c>
      <c r="K518">
        <f t="shared" si="51"/>
        <v>0</v>
      </c>
      <c r="L518" t="str">
        <f t="shared" si="55"/>
        <v>.</v>
      </c>
    </row>
    <row r="519" spans="1:12">
      <c r="A519" s="4" t="s">
        <v>728</v>
      </c>
      <c r="B519" s="8" t="s">
        <v>201</v>
      </c>
      <c r="C519" t="str">
        <f t="shared" si="52"/>
        <v>ddhub:TimeQuantity</v>
      </c>
      <c r="D519">
        <f t="shared" si="53"/>
        <v>1</v>
      </c>
      <c r="E519" t="str">
        <f t="shared" si="54"/>
        <v>ddhub:Millisecond</v>
      </c>
      <c r="F519" t="s">
        <v>1841</v>
      </c>
      <c r="G519" t="s">
        <v>162</v>
      </c>
      <c r="H519" t="s">
        <v>1842</v>
      </c>
      <c r="J519" t="str">
        <f t="shared" si="50"/>
        <v>ddhub:TimeQuantity</v>
      </c>
      <c r="K519">
        <f t="shared" si="51"/>
        <v>1</v>
      </c>
      <c r="L519" t="str">
        <f t="shared" si="55"/>
        <v>.</v>
      </c>
    </row>
    <row r="520" spans="1:12">
      <c r="A520" s="4" t="s">
        <v>729</v>
      </c>
      <c r="B520" s="8" t="s">
        <v>379</v>
      </c>
      <c r="C520" t="str">
        <f t="shared" si="52"/>
        <v>ddhub:MagneticFluxDensityQuantity</v>
      </c>
      <c r="D520">
        <f t="shared" si="53"/>
        <v>1</v>
      </c>
      <c r="E520" t="str">
        <f t="shared" si="54"/>
        <v>ddhub:Millitesla</v>
      </c>
      <c r="F520" t="s">
        <v>1843</v>
      </c>
      <c r="G520" t="s">
        <v>107</v>
      </c>
      <c r="H520" t="s">
        <v>1844</v>
      </c>
      <c r="J520" t="str">
        <f t="shared" si="50"/>
        <v>ddhub:MagneticFluxDensityQuantity</v>
      </c>
      <c r="K520">
        <f t="shared" si="51"/>
        <v>1</v>
      </c>
      <c r="L520" t="str">
        <f t="shared" si="55"/>
        <v>.</v>
      </c>
    </row>
    <row r="521" spans="1:12">
      <c r="A521" s="4" t="s">
        <v>730</v>
      </c>
      <c r="B521" s="8" t="s">
        <v>334</v>
      </c>
      <c r="C521" t="str">
        <f t="shared" si="52"/>
        <v>zzz:TBD</v>
      </c>
      <c r="D521">
        <f t="shared" si="53"/>
        <v>1</v>
      </c>
      <c r="E521" t="str">
        <f t="shared" si="54"/>
        <v>ddhub:Millivolt</v>
      </c>
      <c r="F521" t="s">
        <v>1845</v>
      </c>
      <c r="G521" t="s">
        <v>1153</v>
      </c>
      <c r="H521" t="s">
        <v>1237</v>
      </c>
      <c r="J521" s="8" t="s">
        <v>334</v>
      </c>
      <c r="K521">
        <f t="shared" si="51"/>
        <v>1</v>
      </c>
      <c r="L521" t="str">
        <f t="shared" si="55"/>
        <v>.</v>
      </c>
    </row>
    <row r="522" spans="1:12">
      <c r="A522" s="4" t="s">
        <v>731</v>
      </c>
      <c r="B522" s="8" t="s">
        <v>38</v>
      </c>
      <c r="C522" t="str">
        <f t="shared" si="52"/>
        <v>ddhub:PowerQuantity</v>
      </c>
      <c r="D522">
        <f t="shared" si="53"/>
        <v>1</v>
      </c>
      <c r="E522" t="str">
        <f t="shared" si="54"/>
        <v>ddhub:Milliwatt</v>
      </c>
      <c r="F522" t="s">
        <v>1846</v>
      </c>
      <c r="G522" t="s">
        <v>39</v>
      </c>
      <c r="H522" t="s">
        <v>1847</v>
      </c>
      <c r="J522" t="str">
        <f t="shared" si="50"/>
        <v>ddhub:PowerQuantity</v>
      </c>
      <c r="K522">
        <f t="shared" si="51"/>
        <v>1</v>
      </c>
      <c r="L522" t="str">
        <f t="shared" si="55"/>
        <v>.</v>
      </c>
    </row>
    <row r="523" spans="1:12">
      <c r="A523" s="4" t="s">
        <v>732</v>
      </c>
      <c r="B523" s="8" t="s">
        <v>381</v>
      </c>
      <c r="C523" t="str">
        <f t="shared" si="52"/>
        <v>ddhub:MagneticFluxQuantity</v>
      </c>
      <c r="D523">
        <f t="shared" si="53"/>
        <v>1</v>
      </c>
      <c r="E523" t="str">
        <f t="shared" si="54"/>
        <v>ddhub:Milliweber</v>
      </c>
      <c r="F523" t="s">
        <v>1848</v>
      </c>
      <c r="G523" t="s">
        <v>109</v>
      </c>
      <c r="H523" t="s">
        <v>1849</v>
      </c>
      <c r="J523" t="str">
        <f t="shared" si="50"/>
        <v>ddhub:MagneticFluxQuantity</v>
      </c>
      <c r="K523">
        <f t="shared" si="51"/>
        <v>1</v>
      </c>
      <c r="L523" t="str">
        <f t="shared" si="55"/>
        <v>.</v>
      </c>
    </row>
    <row r="524" spans="1:12">
      <c r="A524" s="4" t="s">
        <v>733</v>
      </c>
      <c r="B524" s="8" t="s">
        <v>201</v>
      </c>
      <c r="C524" t="str">
        <f t="shared" si="52"/>
        <v>ddhub:TimeQuantity</v>
      </c>
      <c r="D524">
        <f t="shared" si="53"/>
        <v>1</v>
      </c>
      <c r="E524" t="str">
        <f t="shared" si="54"/>
        <v>ddhub:Minute</v>
      </c>
      <c r="F524" t="s">
        <v>1850</v>
      </c>
      <c r="G524" t="s">
        <v>162</v>
      </c>
      <c r="H524" t="s">
        <v>1851</v>
      </c>
      <c r="J524" t="str">
        <f t="shared" si="50"/>
        <v>ddhub:TimeQuantity</v>
      </c>
      <c r="K524">
        <f t="shared" si="51"/>
        <v>1</v>
      </c>
      <c r="L524" t="str">
        <f t="shared" si="55"/>
        <v>.</v>
      </c>
    </row>
    <row r="525" spans="1:12">
      <c r="A525" s="4" t="s">
        <v>735</v>
      </c>
      <c r="B525" s="8" t="s">
        <v>334</v>
      </c>
      <c r="C525" t="str">
        <f t="shared" si="52"/>
        <v>ddhub:AmountSubstanceQuantity</v>
      </c>
      <c r="D525">
        <f t="shared" si="53"/>
        <v>0</v>
      </c>
      <c r="E525" t="str">
        <f t="shared" si="54"/>
        <v>ddhub:Mole</v>
      </c>
      <c r="F525" t="s">
        <v>1852</v>
      </c>
      <c r="G525" t="s">
        <v>15</v>
      </c>
      <c r="H525" t="s">
        <v>1853</v>
      </c>
      <c r="J525" t="str">
        <f t="shared" si="50"/>
        <v>ddhub:AmountSubstanceQuantity</v>
      </c>
      <c r="K525">
        <f t="shared" si="51"/>
        <v>0</v>
      </c>
      <c r="L525" t="str">
        <f t="shared" si="55"/>
        <v>.</v>
      </c>
    </row>
    <row r="526" spans="1:12">
      <c r="A526" s="4" t="s">
        <v>737</v>
      </c>
      <c r="B526" s="8" t="s">
        <v>201</v>
      </c>
      <c r="C526" t="str">
        <f t="shared" si="52"/>
        <v>ddhub:TimeQuantity</v>
      </c>
      <c r="D526">
        <f t="shared" si="53"/>
        <v>1</v>
      </c>
      <c r="E526" t="str">
        <f t="shared" si="54"/>
        <v>ddhub:MonthCommon</v>
      </c>
      <c r="F526" t="s">
        <v>1854</v>
      </c>
      <c r="G526" t="s">
        <v>162</v>
      </c>
      <c r="H526" t="s">
        <v>1855</v>
      </c>
      <c r="J526" t="str">
        <f t="shared" si="50"/>
        <v>ddhub:TimeQuantity</v>
      </c>
      <c r="K526">
        <f t="shared" si="51"/>
        <v>1</v>
      </c>
      <c r="L526" t="str">
        <f t="shared" si="55"/>
        <v>.</v>
      </c>
    </row>
    <row r="527" spans="1:12">
      <c r="A527" s="4" t="s">
        <v>738</v>
      </c>
      <c r="B527" s="8" t="s">
        <v>201</v>
      </c>
      <c r="C527" t="str">
        <f t="shared" si="52"/>
        <v>ddhub:TimeQuantity</v>
      </c>
      <c r="D527">
        <f t="shared" si="53"/>
        <v>1</v>
      </c>
      <c r="E527" t="str">
        <f t="shared" si="54"/>
        <v>ddhub:MonthSideral</v>
      </c>
      <c r="F527" t="s">
        <v>1856</v>
      </c>
      <c r="G527" t="s">
        <v>162</v>
      </c>
      <c r="H527" t="s">
        <v>1857</v>
      </c>
      <c r="J527" t="str">
        <f t="shared" si="50"/>
        <v>ddhub:TimeQuantity</v>
      </c>
      <c r="K527">
        <f t="shared" si="51"/>
        <v>1</v>
      </c>
      <c r="L527" t="str">
        <f t="shared" si="55"/>
        <v>.</v>
      </c>
    </row>
    <row r="528" spans="1:12">
      <c r="A528" s="4" t="s">
        <v>739</v>
      </c>
      <c r="B528" s="8" t="s">
        <v>201</v>
      </c>
      <c r="C528" t="str">
        <f t="shared" si="52"/>
        <v>ddhub:TimeQuantity</v>
      </c>
      <c r="D528">
        <f t="shared" si="53"/>
        <v>1</v>
      </c>
      <c r="E528" t="str">
        <f t="shared" si="54"/>
        <v>ddhub:MonthSynodic</v>
      </c>
      <c r="F528" t="s">
        <v>1858</v>
      </c>
      <c r="G528" t="s">
        <v>162</v>
      </c>
      <c r="H528" t="s">
        <v>1859</v>
      </c>
      <c r="J528" t="str">
        <f t="shared" si="50"/>
        <v>ddhub:TimeQuantity</v>
      </c>
      <c r="K528">
        <f t="shared" si="51"/>
        <v>1</v>
      </c>
      <c r="L528" t="str">
        <f t="shared" si="55"/>
        <v>.</v>
      </c>
    </row>
    <row r="529" spans="1:12">
      <c r="A529" s="4" t="s">
        <v>740</v>
      </c>
      <c r="B529" s="8" t="s">
        <v>13</v>
      </c>
      <c r="C529" t="str">
        <f t="shared" si="52"/>
        <v>ddhub:ElectricCurrentQuantity</v>
      </c>
      <c r="D529">
        <f t="shared" si="53"/>
        <v>1</v>
      </c>
      <c r="E529" t="str">
        <f t="shared" si="54"/>
        <v>ddhub:Nanoampere</v>
      </c>
      <c r="F529" t="s">
        <v>1860</v>
      </c>
      <c r="G529" t="s">
        <v>14</v>
      </c>
      <c r="H529" t="s">
        <v>1861</v>
      </c>
      <c r="J529" t="str">
        <f t="shared" si="50"/>
        <v>ddhub:ElectricCurrentQuantity</v>
      </c>
      <c r="K529">
        <f t="shared" si="51"/>
        <v>1</v>
      </c>
      <c r="L529" t="str">
        <f t="shared" si="55"/>
        <v>.</v>
      </c>
    </row>
    <row r="530" spans="1:12">
      <c r="A530" s="4" t="s">
        <v>742</v>
      </c>
      <c r="B530" s="8" t="s">
        <v>334</v>
      </c>
      <c r="C530" t="str">
        <f t="shared" si="52"/>
        <v>ddhub:PorousMediumPermeabilityQuantity</v>
      </c>
      <c r="D530">
        <f t="shared" si="53"/>
        <v>0</v>
      </c>
      <c r="E530" t="str">
        <f t="shared" si="54"/>
        <v>ddhub:Nanodarcy</v>
      </c>
      <c r="F530" t="s">
        <v>1862</v>
      </c>
      <c r="G530" t="s">
        <v>128</v>
      </c>
      <c r="H530" t="s">
        <v>1266</v>
      </c>
      <c r="J530" t="str">
        <f t="shared" si="50"/>
        <v>ddhub:PorousMediumPermeabilityQuantity</v>
      </c>
      <c r="K530">
        <f t="shared" si="51"/>
        <v>0</v>
      </c>
      <c r="L530" t="str">
        <f t="shared" si="55"/>
        <v>.</v>
      </c>
    </row>
    <row r="531" spans="1:12">
      <c r="A531" s="4" t="s">
        <v>743</v>
      </c>
      <c r="B531" s="8" t="s">
        <v>334</v>
      </c>
      <c r="C531" t="str">
        <f t="shared" si="52"/>
        <v>ddhub:ElectricCapacitanceQuantity</v>
      </c>
      <c r="D531">
        <f t="shared" si="53"/>
        <v>0</v>
      </c>
      <c r="E531" t="str">
        <f t="shared" si="54"/>
        <v>ddhub:Nanofarad</v>
      </c>
      <c r="F531" t="s">
        <v>1863</v>
      </c>
      <c r="G531" t="s">
        <v>52</v>
      </c>
      <c r="H531" t="s">
        <v>1864</v>
      </c>
      <c r="J531" t="str">
        <f t="shared" si="50"/>
        <v>ddhub:ElectricCapacitanceQuantity</v>
      </c>
      <c r="K531">
        <f t="shared" si="51"/>
        <v>0</v>
      </c>
      <c r="L531" t="str">
        <f t="shared" si="55"/>
        <v>.</v>
      </c>
    </row>
    <row r="532" spans="1:12">
      <c r="A532" s="4" t="s">
        <v>744</v>
      </c>
      <c r="B532" s="8" t="s">
        <v>34</v>
      </c>
      <c r="C532" t="str">
        <f t="shared" si="52"/>
        <v>ddhub:MassQuantity</v>
      </c>
      <c r="D532">
        <f t="shared" si="53"/>
        <v>1</v>
      </c>
      <c r="E532" t="str">
        <f t="shared" si="54"/>
        <v>ddhub:Nanogram</v>
      </c>
      <c r="F532" t="s">
        <v>1865</v>
      </c>
      <c r="G532" t="s">
        <v>35</v>
      </c>
      <c r="H532" t="s">
        <v>1866</v>
      </c>
      <c r="J532" t="str">
        <f t="shared" si="50"/>
        <v>ddhub:MassQuantity</v>
      </c>
      <c r="K532">
        <f t="shared" si="51"/>
        <v>1</v>
      </c>
      <c r="L532" t="str">
        <f t="shared" si="55"/>
        <v>.</v>
      </c>
    </row>
    <row r="533" spans="1:12">
      <c r="A533" s="4" t="s">
        <v>746</v>
      </c>
      <c r="B533" s="8" t="s">
        <v>9</v>
      </c>
      <c r="C533" t="str">
        <f t="shared" si="52"/>
        <v>ddhub:LengthQuantity</v>
      </c>
      <c r="D533">
        <f t="shared" si="53"/>
        <v>1</v>
      </c>
      <c r="E533" t="str">
        <f t="shared" si="54"/>
        <v>ddhub:Nanometre</v>
      </c>
      <c r="F533" t="s">
        <v>1867</v>
      </c>
      <c r="G533" t="s">
        <v>10</v>
      </c>
      <c r="H533" t="s">
        <v>1868</v>
      </c>
      <c r="J533" t="str">
        <f t="shared" si="50"/>
        <v>ddhub:LengthQuantity</v>
      </c>
      <c r="K533">
        <f t="shared" si="51"/>
        <v>1</v>
      </c>
      <c r="L533" t="str">
        <f t="shared" si="55"/>
        <v>.</v>
      </c>
    </row>
    <row r="534" spans="1:12">
      <c r="A534" s="4" t="s">
        <v>748</v>
      </c>
      <c r="B534" s="8" t="s">
        <v>334</v>
      </c>
      <c r="C534" t="str">
        <f t="shared" si="52"/>
        <v>ddhub:AmountSubstanceQuantity</v>
      </c>
      <c r="D534">
        <f t="shared" si="53"/>
        <v>0</v>
      </c>
      <c r="E534" t="str">
        <f t="shared" si="54"/>
        <v>ddhub:Nanomole</v>
      </c>
      <c r="F534" t="s">
        <v>1869</v>
      </c>
      <c r="G534" t="s">
        <v>15</v>
      </c>
      <c r="H534" t="s">
        <v>1870</v>
      </c>
      <c r="J534" t="str">
        <f t="shared" si="50"/>
        <v>ddhub:AmountSubstanceQuantity</v>
      </c>
      <c r="K534">
        <f t="shared" si="51"/>
        <v>0</v>
      </c>
      <c r="L534" t="str">
        <f t="shared" si="55"/>
        <v>.</v>
      </c>
    </row>
    <row r="535" spans="1:12">
      <c r="A535" s="4" t="s">
        <v>750</v>
      </c>
      <c r="B535" s="8" t="s">
        <v>201</v>
      </c>
      <c r="C535" t="str">
        <f t="shared" si="52"/>
        <v>ddhub:TimeQuantity</v>
      </c>
      <c r="D535">
        <f t="shared" si="53"/>
        <v>1</v>
      </c>
      <c r="E535" t="str">
        <f t="shared" si="54"/>
        <v>ddhub:Nanosecond</v>
      </c>
      <c r="F535" t="s">
        <v>1871</v>
      </c>
      <c r="G535" t="s">
        <v>162</v>
      </c>
      <c r="H535" t="s">
        <v>1872</v>
      </c>
      <c r="J535" t="str">
        <f t="shared" si="50"/>
        <v>ddhub:TimeQuantity</v>
      </c>
      <c r="K535">
        <f t="shared" si="51"/>
        <v>1</v>
      </c>
      <c r="L535" t="str">
        <f t="shared" si="55"/>
        <v>.</v>
      </c>
    </row>
    <row r="536" spans="1:12">
      <c r="A536" s="4" t="s">
        <v>752</v>
      </c>
      <c r="B536" s="8" t="s">
        <v>379</v>
      </c>
      <c r="C536" t="str">
        <f t="shared" si="52"/>
        <v>ddhub:MagneticFluxDensityQuantity</v>
      </c>
      <c r="D536">
        <f t="shared" si="53"/>
        <v>1</v>
      </c>
      <c r="E536" t="str">
        <f t="shared" si="54"/>
        <v>ddhub:Nanotesla</v>
      </c>
      <c r="F536" t="s">
        <v>1873</v>
      </c>
      <c r="G536" t="s">
        <v>107</v>
      </c>
      <c r="H536" t="s">
        <v>1874</v>
      </c>
      <c r="J536" t="str">
        <f t="shared" si="50"/>
        <v>ddhub:MagneticFluxDensityQuantity</v>
      </c>
      <c r="K536">
        <f t="shared" si="51"/>
        <v>1</v>
      </c>
      <c r="L536" t="str">
        <f t="shared" si="55"/>
        <v>.</v>
      </c>
    </row>
    <row r="537" spans="1:12">
      <c r="A537" s="4" t="s">
        <v>754</v>
      </c>
      <c r="B537" s="8" t="s">
        <v>334</v>
      </c>
      <c r="C537" t="str">
        <f t="shared" si="52"/>
        <v>zzz:TBD</v>
      </c>
      <c r="D537">
        <f t="shared" si="53"/>
        <v>1</v>
      </c>
      <c r="E537" t="str">
        <f t="shared" si="54"/>
        <v>ddhub:Nanovolt</v>
      </c>
      <c r="F537" t="s">
        <v>1875</v>
      </c>
      <c r="G537" t="s">
        <v>1153</v>
      </c>
      <c r="H537" t="s">
        <v>1237</v>
      </c>
      <c r="J537" s="8" t="s">
        <v>334</v>
      </c>
      <c r="K537">
        <f t="shared" si="51"/>
        <v>1</v>
      </c>
      <c r="L537" t="str">
        <f t="shared" si="55"/>
        <v>.</v>
      </c>
    </row>
    <row r="538" spans="1:12">
      <c r="A538" s="4" t="s">
        <v>756</v>
      </c>
      <c r="B538" s="8" t="s">
        <v>38</v>
      </c>
      <c r="C538" t="str">
        <f t="shared" si="52"/>
        <v>ddhub:PowerQuantity</v>
      </c>
      <c r="D538">
        <f t="shared" si="53"/>
        <v>1</v>
      </c>
      <c r="E538" t="str">
        <f t="shared" si="54"/>
        <v>ddhub:Nanowatt</v>
      </c>
      <c r="F538" t="s">
        <v>1876</v>
      </c>
      <c r="G538" t="s">
        <v>39</v>
      </c>
      <c r="H538" t="s">
        <v>1877</v>
      </c>
      <c r="J538" t="str">
        <f t="shared" si="50"/>
        <v>ddhub:PowerQuantity</v>
      </c>
      <c r="K538">
        <f t="shared" si="51"/>
        <v>1</v>
      </c>
      <c r="L538" t="str">
        <f t="shared" si="55"/>
        <v>.</v>
      </c>
    </row>
    <row r="539" spans="1:12">
      <c r="A539" s="4" t="s">
        <v>758</v>
      </c>
      <c r="B539" s="8" t="s">
        <v>1275</v>
      </c>
      <c r="C539" t="str">
        <f t="shared" si="52"/>
        <v>ddhub:ForceQuantity</v>
      </c>
      <c r="D539">
        <f t="shared" si="53"/>
        <v>1</v>
      </c>
      <c r="E539" t="str">
        <f t="shared" si="54"/>
        <v>ddhub:Newton</v>
      </c>
      <c r="F539" t="s">
        <v>1878</v>
      </c>
      <c r="G539" t="s">
        <v>61</v>
      </c>
      <c r="H539" t="s">
        <v>1879</v>
      </c>
      <c r="J539" t="str">
        <f t="shared" si="50"/>
        <v>ddhub:ForceQuantity</v>
      </c>
      <c r="K539">
        <f t="shared" si="51"/>
        <v>1</v>
      </c>
      <c r="L539" t="str">
        <f t="shared" si="55"/>
        <v>.</v>
      </c>
    </row>
    <row r="540" spans="1:12">
      <c r="A540" s="4" t="s">
        <v>760</v>
      </c>
      <c r="B540" s="8" t="s">
        <v>236</v>
      </c>
      <c r="C540" t="str">
        <f t="shared" si="52"/>
        <v>ddhub:TorqueQuantity</v>
      </c>
      <c r="D540">
        <f t="shared" si="53"/>
        <v>1</v>
      </c>
      <c r="E540" t="str">
        <f t="shared" si="54"/>
        <v>ddhub:NewtonCentimetre</v>
      </c>
      <c r="F540" t="s">
        <v>1880</v>
      </c>
      <c r="G540" t="s">
        <v>94</v>
      </c>
      <c r="H540" t="s">
        <v>1528</v>
      </c>
      <c r="J540" t="str">
        <f t="shared" si="50"/>
        <v>ddhub:TorqueQuantity</v>
      </c>
      <c r="K540">
        <f t="shared" si="51"/>
        <v>1</v>
      </c>
      <c r="L540" t="str">
        <f t="shared" si="55"/>
        <v>.</v>
      </c>
    </row>
    <row r="541" spans="1:12">
      <c r="A541" s="4" t="s">
        <v>762</v>
      </c>
      <c r="B541" s="8" t="s">
        <v>238</v>
      </c>
      <c r="C541" t="str">
        <f t="shared" si="52"/>
        <v>ddhub:TorqueGradientPerLengthQuantity</v>
      </c>
      <c r="D541">
        <f t="shared" si="53"/>
        <v>1</v>
      </c>
      <c r="E541" t="str">
        <f t="shared" si="54"/>
        <v>ddhub:NewtonCentimetrePerCentimetre</v>
      </c>
      <c r="F541" t="s">
        <v>1881</v>
      </c>
      <c r="G541" t="s">
        <v>164</v>
      </c>
      <c r="H541" t="s">
        <v>1281</v>
      </c>
      <c r="J541" t="str">
        <f t="shared" si="50"/>
        <v>ddhub:TorqueGradientPerLengthQuantity</v>
      </c>
      <c r="K541">
        <f t="shared" si="51"/>
        <v>1</v>
      </c>
      <c r="L541" t="str">
        <f t="shared" si="55"/>
        <v>.</v>
      </c>
    </row>
    <row r="542" spans="1:12">
      <c r="A542" s="4" t="s">
        <v>763</v>
      </c>
      <c r="B542" s="8" t="s">
        <v>238</v>
      </c>
      <c r="C542" t="str">
        <f t="shared" si="52"/>
        <v>ddhub:TorqueGradientPerLengthQuantity</v>
      </c>
      <c r="D542">
        <f t="shared" si="53"/>
        <v>1</v>
      </c>
      <c r="E542" t="str">
        <f t="shared" si="54"/>
        <v>ddhub:NewtonCentimetrePerDecimetre</v>
      </c>
      <c r="F542" t="s">
        <v>1882</v>
      </c>
      <c r="G542" t="s">
        <v>164</v>
      </c>
      <c r="H542" t="s">
        <v>1281</v>
      </c>
      <c r="J542" t="str">
        <f t="shared" si="50"/>
        <v>ddhub:TorqueGradientPerLengthQuantity</v>
      </c>
      <c r="K542">
        <f t="shared" si="51"/>
        <v>1</v>
      </c>
      <c r="L542" t="str">
        <f t="shared" si="55"/>
        <v>.</v>
      </c>
    </row>
    <row r="543" spans="1:12">
      <c r="A543" s="4" t="s">
        <v>764</v>
      </c>
      <c r="B543" s="8" t="s">
        <v>238</v>
      </c>
      <c r="C543" t="str">
        <f t="shared" si="52"/>
        <v>ddhub:TorqueGradientPerLengthQuantity</v>
      </c>
      <c r="D543">
        <f t="shared" si="53"/>
        <v>1</v>
      </c>
      <c r="E543" t="str">
        <f t="shared" si="54"/>
        <v>ddhub:NewtonCentimetrePerFoot</v>
      </c>
      <c r="F543" t="s">
        <v>1883</v>
      </c>
      <c r="G543" t="s">
        <v>164</v>
      </c>
      <c r="H543" t="s">
        <v>1281</v>
      </c>
      <c r="J543" t="str">
        <f t="shared" si="50"/>
        <v>ddhub:TorqueGradientPerLengthQuantity</v>
      </c>
      <c r="K543">
        <f t="shared" si="51"/>
        <v>1</v>
      </c>
      <c r="L543" t="str">
        <f t="shared" si="55"/>
        <v>.</v>
      </c>
    </row>
    <row r="544" spans="1:12">
      <c r="A544" s="4" t="s">
        <v>765</v>
      </c>
      <c r="B544" s="8" t="s">
        <v>238</v>
      </c>
      <c r="C544" t="str">
        <f t="shared" si="52"/>
        <v>ddhub:TorqueGradientPerLengthQuantity</v>
      </c>
      <c r="D544">
        <f t="shared" si="53"/>
        <v>1</v>
      </c>
      <c r="E544" t="str">
        <f t="shared" si="54"/>
        <v>ddhub:NewtonCentimetrePerInch</v>
      </c>
      <c r="F544" t="s">
        <v>1884</v>
      </c>
      <c r="G544" t="s">
        <v>164</v>
      </c>
      <c r="H544" t="s">
        <v>1281</v>
      </c>
      <c r="J544" t="str">
        <f t="shared" si="50"/>
        <v>ddhub:TorqueGradientPerLengthQuantity</v>
      </c>
      <c r="K544">
        <f t="shared" si="51"/>
        <v>1</v>
      </c>
      <c r="L544" t="str">
        <f t="shared" si="55"/>
        <v>.</v>
      </c>
    </row>
    <row r="545" spans="1:12">
      <c r="A545" s="4" t="s">
        <v>766</v>
      </c>
      <c r="B545" s="8" t="s">
        <v>238</v>
      </c>
      <c r="C545" t="str">
        <f t="shared" si="52"/>
        <v>ddhub:TorqueGradientPerLengthQuantity</v>
      </c>
      <c r="D545">
        <f t="shared" si="53"/>
        <v>1</v>
      </c>
      <c r="E545" t="str">
        <f t="shared" si="54"/>
        <v>ddhub:NewtonCentimetrePerMetre</v>
      </c>
      <c r="F545" t="s">
        <v>1885</v>
      </c>
      <c r="G545" t="s">
        <v>164</v>
      </c>
      <c r="H545" t="s">
        <v>1281</v>
      </c>
      <c r="J545" t="str">
        <f t="shared" si="50"/>
        <v>ddhub:TorqueGradientPerLengthQuantity</v>
      </c>
      <c r="K545">
        <f t="shared" si="51"/>
        <v>1</v>
      </c>
      <c r="L545" t="str">
        <f t="shared" si="55"/>
        <v>.</v>
      </c>
    </row>
    <row r="546" spans="1:12">
      <c r="A546" s="4" t="s">
        <v>767</v>
      </c>
      <c r="B546" s="8" t="s">
        <v>238</v>
      </c>
      <c r="C546" t="str">
        <f t="shared" si="52"/>
        <v>ddhub:TorqueGradientPerLengthQuantity</v>
      </c>
      <c r="D546">
        <f t="shared" si="53"/>
        <v>1</v>
      </c>
      <c r="E546" t="str">
        <f t="shared" si="54"/>
        <v>ddhub:NewtonCentimetrePerMillimetre</v>
      </c>
      <c r="F546" t="s">
        <v>1886</v>
      </c>
      <c r="G546" t="s">
        <v>164</v>
      </c>
      <c r="H546" t="s">
        <v>1281</v>
      </c>
      <c r="J546" t="str">
        <f t="shared" si="50"/>
        <v>ddhub:TorqueGradientPerLengthQuantity</v>
      </c>
      <c r="K546">
        <f t="shared" si="51"/>
        <v>1</v>
      </c>
      <c r="L546" t="str">
        <f t="shared" si="55"/>
        <v>.</v>
      </c>
    </row>
    <row r="547" spans="1:12">
      <c r="A547" s="4" t="s">
        <v>768</v>
      </c>
      <c r="B547" s="8" t="s">
        <v>236</v>
      </c>
      <c r="C547" t="str">
        <f t="shared" si="52"/>
        <v>ddhub:TorqueQuantity</v>
      </c>
      <c r="D547">
        <f t="shared" si="53"/>
        <v>1</v>
      </c>
      <c r="E547" t="str">
        <f t="shared" si="54"/>
        <v>ddhub:NewtonDecimetre</v>
      </c>
      <c r="F547" t="s">
        <v>1887</v>
      </c>
      <c r="G547" t="s">
        <v>94</v>
      </c>
      <c r="H547" t="s">
        <v>1528</v>
      </c>
      <c r="J547" t="str">
        <f t="shared" si="50"/>
        <v>ddhub:TorqueQuantity</v>
      </c>
      <c r="K547">
        <f t="shared" si="51"/>
        <v>1</v>
      </c>
      <c r="L547" t="str">
        <f t="shared" si="55"/>
        <v>.</v>
      </c>
    </row>
    <row r="548" spans="1:12">
      <c r="A548" s="4" t="s">
        <v>769</v>
      </c>
      <c r="B548" s="8" t="s">
        <v>238</v>
      </c>
      <c r="C548" t="str">
        <f t="shared" si="52"/>
        <v>ddhub:TorqueGradientPerLengthQuantity</v>
      </c>
      <c r="D548">
        <f t="shared" si="53"/>
        <v>1</v>
      </c>
      <c r="E548" t="str">
        <f t="shared" si="54"/>
        <v>ddhub:NewtonDecimetrePerCentimetre</v>
      </c>
      <c r="F548" t="s">
        <v>1888</v>
      </c>
      <c r="G548" t="s">
        <v>164</v>
      </c>
      <c r="H548" t="s">
        <v>1281</v>
      </c>
      <c r="J548" t="str">
        <f t="shared" si="50"/>
        <v>ddhub:TorqueGradientPerLengthQuantity</v>
      </c>
      <c r="K548">
        <f t="shared" si="51"/>
        <v>1</v>
      </c>
      <c r="L548" t="str">
        <f t="shared" si="55"/>
        <v>.</v>
      </c>
    </row>
    <row r="549" spans="1:12">
      <c r="A549" s="4" t="s">
        <v>770</v>
      </c>
      <c r="B549" s="8" t="s">
        <v>238</v>
      </c>
      <c r="C549" t="str">
        <f t="shared" si="52"/>
        <v>ddhub:TorqueGradientPerLengthQuantity</v>
      </c>
      <c r="D549">
        <f t="shared" si="53"/>
        <v>1</v>
      </c>
      <c r="E549" t="str">
        <f t="shared" si="54"/>
        <v>ddhub:NewtonDecimetrePerDecimetre</v>
      </c>
      <c r="F549" t="s">
        <v>1889</v>
      </c>
      <c r="G549" t="s">
        <v>164</v>
      </c>
      <c r="H549" t="s">
        <v>1281</v>
      </c>
      <c r="J549" t="str">
        <f t="shared" si="50"/>
        <v>ddhub:TorqueGradientPerLengthQuantity</v>
      </c>
      <c r="K549">
        <f t="shared" si="51"/>
        <v>1</v>
      </c>
      <c r="L549" t="str">
        <f t="shared" si="55"/>
        <v>.</v>
      </c>
    </row>
    <row r="550" spans="1:12">
      <c r="A550" s="4" t="s">
        <v>771</v>
      </c>
      <c r="B550" s="8" t="s">
        <v>238</v>
      </c>
      <c r="C550" t="str">
        <f t="shared" si="52"/>
        <v>ddhub:TorqueGradientPerLengthQuantity</v>
      </c>
      <c r="D550">
        <f t="shared" si="53"/>
        <v>1</v>
      </c>
      <c r="E550" t="str">
        <f t="shared" si="54"/>
        <v>ddhub:NewtonDecimetrePerFoot</v>
      </c>
      <c r="F550" t="s">
        <v>1890</v>
      </c>
      <c r="G550" t="s">
        <v>164</v>
      </c>
      <c r="H550" t="s">
        <v>1281</v>
      </c>
      <c r="J550" t="str">
        <f t="shared" si="50"/>
        <v>ddhub:TorqueGradientPerLengthQuantity</v>
      </c>
      <c r="K550">
        <f t="shared" si="51"/>
        <v>1</v>
      </c>
      <c r="L550" t="str">
        <f t="shared" si="55"/>
        <v>.</v>
      </c>
    </row>
    <row r="551" spans="1:12">
      <c r="A551" s="4" t="s">
        <v>772</v>
      </c>
      <c r="B551" s="8" t="s">
        <v>238</v>
      </c>
      <c r="C551" t="str">
        <f t="shared" si="52"/>
        <v>ddhub:TorqueGradientPerLengthQuantity</v>
      </c>
      <c r="D551">
        <f t="shared" si="53"/>
        <v>1</v>
      </c>
      <c r="E551" t="str">
        <f t="shared" si="54"/>
        <v>ddhub:NewtonDecimetrePerInch</v>
      </c>
      <c r="F551" t="s">
        <v>1891</v>
      </c>
      <c r="G551" t="s">
        <v>164</v>
      </c>
      <c r="H551" t="s">
        <v>1281</v>
      </c>
      <c r="J551" t="str">
        <f t="shared" si="50"/>
        <v>ddhub:TorqueGradientPerLengthQuantity</v>
      </c>
      <c r="K551">
        <f t="shared" si="51"/>
        <v>1</v>
      </c>
      <c r="L551" t="str">
        <f t="shared" si="55"/>
        <v>.</v>
      </c>
    </row>
    <row r="552" spans="1:12">
      <c r="A552" s="4" t="s">
        <v>773</v>
      </c>
      <c r="B552" s="8" t="s">
        <v>238</v>
      </c>
      <c r="C552" t="str">
        <f t="shared" si="52"/>
        <v>ddhub:TorqueGradientPerLengthQuantity</v>
      </c>
      <c r="D552">
        <f t="shared" si="53"/>
        <v>1</v>
      </c>
      <c r="E552" t="str">
        <f t="shared" si="54"/>
        <v>ddhub:NewtonDecimetrePerMetre</v>
      </c>
      <c r="F552" t="s">
        <v>1892</v>
      </c>
      <c r="G552" t="s">
        <v>164</v>
      </c>
      <c r="H552" t="s">
        <v>1281</v>
      </c>
      <c r="J552" t="str">
        <f t="shared" si="50"/>
        <v>ddhub:TorqueGradientPerLengthQuantity</v>
      </c>
      <c r="K552">
        <f t="shared" si="51"/>
        <v>1</v>
      </c>
      <c r="L552" t="str">
        <f t="shared" si="55"/>
        <v>.</v>
      </c>
    </row>
    <row r="553" spans="1:12">
      <c r="A553" s="4" t="s">
        <v>774</v>
      </c>
      <c r="B553" s="8" t="s">
        <v>238</v>
      </c>
      <c r="C553" t="str">
        <f t="shared" si="52"/>
        <v>ddhub:TorqueGradientPerLengthQuantity</v>
      </c>
      <c r="D553">
        <f t="shared" si="53"/>
        <v>1</v>
      </c>
      <c r="E553" t="str">
        <f t="shared" si="54"/>
        <v>ddhub:NewtonDecimetrePerMillimetre</v>
      </c>
      <c r="F553" t="s">
        <v>1893</v>
      </c>
      <c r="G553" t="s">
        <v>164</v>
      </c>
      <c r="H553" t="s">
        <v>1281</v>
      </c>
      <c r="J553" t="str">
        <f t="shared" si="50"/>
        <v>ddhub:TorqueGradientPerLengthQuantity</v>
      </c>
      <c r="K553">
        <f t="shared" si="51"/>
        <v>1</v>
      </c>
      <c r="L553" t="str">
        <f t="shared" si="55"/>
        <v>.</v>
      </c>
    </row>
    <row r="554" spans="1:12">
      <c r="A554" s="4" t="s">
        <v>775</v>
      </c>
      <c r="B554" s="8" t="s">
        <v>236</v>
      </c>
      <c r="C554" t="str">
        <f t="shared" si="52"/>
        <v>ddhub:TorqueQuantity</v>
      </c>
      <c r="D554">
        <f t="shared" si="53"/>
        <v>1</v>
      </c>
      <c r="E554" t="str">
        <f t="shared" si="54"/>
        <v>ddhub:NewtonMetre</v>
      </c>
      <c r="F554" t="s">
        <v>1894</v>
      </c>
      <c r="G554" t="s">
        <v>94</v>
      </c>
      <c r="H554" t="s">
        <v>1895</v>
      </c>
      <c r="J554" t="str">
        <f t="shared" si="50"/>
        <v>ddhub:TorqueQuantity</v>
      </c>
      <c r="K554">
        <f t="shared" si="51"/>
        <v>1</v>
      </c>
      <c r="L554" t="str">
        <f t="shared" si="55"/>
        <v>.</v>
      </c>
    </row>
    <row r="555" spans="1:12">
      <c r="A555" s="4" t="s">
        <v>777</v>
      </c>
      <c r="B555" s="8" t="s">
        <v>238</v>
      </c>
      <c r="C555" t="str">
        <f t="shared" si="52"/>
        <v>ddhub:TorqueGradientPerLengthQuantity</v>
      </c>
      <c r="D555">
        <f t="shared" si="53"/>
        <v>1</v>
      </c>
      <c r="E555" t="str">
        <f t="shared" si="54"/>
        <v>ddhub:NewtonMetrePerCentimetre</v>
      </c>
      <c r="F555" t="s">
        <v>1896</v>
      </c>
      <c r="G555" t="s">
        <v>164</v>
      </c>
      <c r="H555" t="s">
        <v>1281</v>
      </c>
      <c r="J555" t="str">
        <f t="shared" si="50"/>
        <v>ddhub:TorqueGradientPerLengthQuantity</v>
      </c>
      <c r="K555">
        <f t="shared" si="51"/>
        <v>1</v>
      </c>
      <c r="L555" t="str">
        <f t="shared" si="55"/>
        <v>.</v>
      </c>
    </row>
    <row r="556" spans="1:12">
      <c r="A556" s="4" t="s">
        <v>778</v>
      </c>
      <c r="B556" s="8" t="s">
        <v>238</v>
      </c>
      <c r="C556" t="str">
        <f t="shared" si="52"/>
        <v>ddhub:TorqueGradientPerLengthQuantity</v>
      </c>
      <c r="D556">
        <f t="shared" si="53"/>
        <v>1</v>
      </c>
      <c r="E556" t="str">
        <f t="shared" si="54"/>
        <v>ddhub:NewtonMetrePerDecimetre</v>
      </c>
      <c r="F556" t="s">
        <v>1897</v>
      </c>
      <c r="G556" t="s">
        <v>164</v>
      </c>
      <c r="H556" t="s">
        <v>1281</v>
      </c>
      <c r="J556" t="str">
        <f t="shared" si="50"/>
        <v>ddhub:TorqueGradientPerLengthQuantity</v>
      </c>
      <c r="K556">
        <f t="shared" si="51"/>
        <v>1</v>
      </c>
      <c r="L556" t="str">
        <f t="shared" si="55"/>
        <v>.</v>
      </c>
    </row>
    <row r="557" spans="1:12">
      <c r="A557" s="4" t="s">
        <v>779</v>
      </c>
      <c r="B557" s="8" t="s">
        <v>238</v>
      </c>
      <c r="C557" t="str">
        <f t="shared" si="52"/>
        <v>ddhub:TorqueGradientPerLengthQuantity</v>
      </c>
      <c r="D557">
        <f t="shared" si="53"/>
        <v>1</v>
      </c>
      <c r="E557" t="str">
        <f t="shared" si="54"/>
        <v>ddhub:NewtonMetrePerFoot</v>
      </c>
      <c r="F557" t="s">
        <v>1898</v>
      </c>
      <c r="G557" t="s">
        <v>164</v>
      </c>
      <c r="H557" t="s">
        <v>1281</v>
      </c>
      <c r="J557" t="str">
        <f t="shared" si="50"/>
        <v>ddhub:TorqueGradientPerLengthQuantity</v>
      </c>
      <c r="K557">
        <f t="shared" si="51"/>
        <v>1</v>
      </c>
      <c r="L557" t="str">
        <f t="shared" si="55"/>
        <v>.</v>
      </c>
    </row>
    <row r="558" spans="1:12">
      <c r="A558" s="4" t="s">
        <v>780</v>
      </c>
      <c r="B558" s="8" t="s">
        <v>238</v>
      </c>
      <c r="C558" t="str">
        <f t="shared" si="52"/>
        <v>ddhub:TorqueGradientPerLengthQuantity</v>
      </c>
      <c r="D558">
        <f t="shared" si="53"/>
        <v>1</v>
      </c>
      <c r="E558" t="str">
        <f t="shared" si="54"/>
        <v>ddhub:NewtonMetrePerInch</v>
      </c>
      <c r="F558" t="s">
        <v>1899</v>
      </c>
      <c r="G558" t="s">
        <v>164</v>
      </c>
      <c r="H558" t="s">
        <v>1281</v>
      </c>
      <c r="J558" t="str">
        <f t="shared" si="50"/>
        <v>ddhub:TorqueGradientPerLengthQuantity</v>
      </c>
      <c r="K558">
        <f t="shared" si="51"/>
        <v>1</v>
      </c>
      <c r="L558" t="str">
        <f t="shared" si="55"/>
        <v>.</v>
      </c>
    </row>
    <row r="559" spans="1:12">
      <c r="A559" s="4" t="s">
        <v>781</v>
      </c>
      <c r="B559" s="8" t="s">
        <v>238</v>
      </c>
      <c r="C559" t="str">
        <f t="shared" si="52"/>
        <v>ddhub:TorqueGradientPerLengthQuantity</v>
      </c>
      <c r="D559">
        <f t="shared" si="53"/>
        <v>1</v>
      </c>
      <c r="E559" t="str">
        <f t="shared" si="54"/>
        <v>ddhub:NewtonMetrePerMetre</v>
      </c>
      <c r="F559" t="s">
        <v>1900</v>
      </c>
      <c r="G559" t="s">
        <v>164</v>
      </c>
      <c r="H559" t="s">
        <v>1281</v>
      </c>
      <c r="J559" t="str">
        <f t="shared" si="50"/>
        <v>ddhub:TorqueGradientPerLengthQuantity</v>
      </c>
      <c r="K559">
        <f t="shared" si="51"/>
        <v>1</v>
      </c>
      <c r="L559" t="str">
        <f t="shared" si="55"/>
        <v>.</v>
      </c>
    </row>
    <row r="560" spans="1:12">
      <c r="A560" s="4" t="s">
        <v>782</v>
      </c>
      <c r="B560" s="8" t="s">
        <v>238</v>
      </c>
      <c r="C560" t="str">
        <f t="shared" si="52"/>
        <v>ddhub:TorqueGradientPerLengthQuantity</v>
      </c>
      <c r="D560">
        <f t="shared" si="53"/>
        <v>1</v>
      </c>
      <c r="E560" t="str">
        <f t="shared" si="54"/>
        <v>ddhub:NewtonMetrePerMillimetre</v>
      </c>
      <c r="F560" t="s">
        <v>1901</v>
      </c>
      <c r="G560" t="s">
        <v>164</v>
      </c>
      <c r="H560" t="s">
        <v>1281</v>
      </c>
      <c r="J560" t="str">
        <f t="shared" si="50"/>
        <v>ddhub:TorqueGradientPerLengthQuantity</v>
      </c>
      <c r="K560">
        <f t="shared" si="51"/>
        <v>1</v>
      </c>
      <c r="L560" t="str">
        <f t="shared" si="55"/>
        <v>.</v>
      </c>
    </row>
    <row r="561" spans="1:12">
      <c r="A561" s="4" t="s">
        <v>783</v>
      </c>
      <c r="B561" s="8" t="s">
        <v>236</v>
      </c>
      <c r="C561" t="str">
        <f t="shared" si="52"/>
        <v>ddhub:TorqueQuantity</v>
      </c>
      <c r="D561">
        <f t="shared" si="53"/>
        <v>1</v>
      </c>
      <c r="E561" t="str">
        <f t="shared" si="54"/>
        <v>ddhub:NewtonMillimetre</v>
      </c>
      <c r="F561" t="s">
        <v>1902</v>
      </c>
      <c r="G561" t="s">
        <v>94</v>
      </c>
      <c r="H561" t="s">
        <v>1528</v>
      </c>
      <c r="J561" t="str">
        <f t="shared" si="50"/>
        <v>ddhub:TorqueQuantity</v>
      </c>
      <c r="K561">
        <f t="shared" si="51"/>
        <v>1</v>
      </c>
      <c r="L561" t="str">
        <f t="shared" si="55"/>
        <v>.</v>
      </c>
    </row>
    <row r="562" spans="1:12">
      <c r="A562" s="4" t="s">
        <v>784</v>
      </c>
      <c r="B562" s="8" t="s">
        <v>238</v>
      </c>
      <c r="C562" t="str">
        <f t="shared" si="52"/>
        <v>ddhub:TorqueGradientPerLengthQuantity</v>
      </c>
      <c r="D562">
        <f t="shared" si="53"/>
        <v>1</v>
      </c>
      <c r="E562" t="str">
        <f t="shared" si="54"/>
        <v>ddhub:NewtonMillimetrePerCentimetre</v>
      </c>
      <c r="F562" t="s">
        <v>1903</v>
      </c>
      <c r="G562" t="s">
        <v>164</v>
      </c>
      <c r="H562" t="s">
        <v>1281</v>
      </c>
      <c r="J562" t="str">
        <f t="shared" si="50"/>
        <v>ddhub:TorqueGradientPerLengthQuantity</v>
      </c>
      <c r="K562">
        <f t="shared" si="51"/>
        <v>1</v>
      </c>
      <c r="L562" t="str">
        <f t="shared" si="55"/>
        <v>.</v>
      </c>
    </row>
    <row r="563" spans="1:12">
      <c r="A563" s="4" t="s">
        <v>785</v>
      </c>
      <c r="B563" s="8" t="s">
        <v>238</v>
      </c>
      <c r="C563" t="str">
        <f t="shared" si="52"/>
        <v>ddhub:TorqueGradientPerLengthQuantity</v>
      </c>
      <c r="D563">
        <f t="shared" si="53"/>
        <v>1</v>
      </c>
      <c r="E563" t="str">
        <f t="shared" si="54"/>
        <v>ddhub:NewtonMillimetrePerDecimetre</v>
      </c>
      <c r="F563" t="s">
        <v>1904</v>
      </c>
      <c r="G563" t="s">
        <v>164</v>
      </c>
      <c r="H563" t="s">
        <v>1281</v>
      </c>
      <c r="J563" t="str">
        <f t="shared" si="50"/>
        <v>ddhub:TorqueGradientPerLengthQuantity</v>
      </c>
      <c r="K563">
        <f t="shared" si="51"/>
        <v>1</v>
      </c>
      <c r="L563" t="str">
        <f t="shared" si="55"/>
        <v>.</v>
      </c>
    </row>
    <row r="564" spans="1:12">
      <c r="A564" s="4" t="s">
        <v>786</v>
      </c>
      <c r="B564" s="8" t="s">
        <v>238</v>
      </c>
      <c r="C564" t="str">
        <f t="shared" si="52"/>
        <v>ddhub:TorqueGradientPerLengthQuantity</v>
      </c>
      <c r="D564">
        <f t="shared" si="53"/>
        <v>1</v>
      </c>
      <c r="E564" t="str">
        <f t="shared" si="54"/>
        <v>ddhub:NewtonMillimetrePerFoot</v>
      </c>
      <c r="F564" t="s">
        <v>1905</v>
      </c>
      <c r="G564" t="s">
        <v>164</v>
      </c>
      <c r="H564" t="s">
        <v>1281</v>
      </c>
      <c r="J564" t="str">
        <f t="shared" si="50"/>
        <v>ddhub:TorqueGradientPerLengthQuantity</v>
      </c>
      <c r="K564">
        <f t="shared" si="51"/>
        <v>1</v>
      </c>
      <c r="L564" t="str">
        <f t="shared" si="55"/>
        <v>.</v>
      </c>
    </row>
    <row r="565" spans="1:12">
      <c r="A565" s="4" t="s">
        <v>787</v>
      </c>
      <c r="B565" s="8" t="s">
        <v>238</v>
      </c>
      <c r="C565" t="str">
        <f t="shared" si="52"/>
        <v>ddhub:TorqueGradientPerLengthQuantity</v>
      </c>
      <c r="D565">
        <f t="shared" si="53"/>
        <v>1</v>
      </c>
      <c r="E565" t="str">
        <f t="shared" si="54"/>
        <v>ddhub:NewtonMillimetrePerInch</v>
      </c>
      <c r="F565" t="s">
        <v>1906</v>
      </c>
      <c r="G565" t="s">
        <v>164</v>
      </c>
      <c r="H565" t="s">
        <v>1281</v>
      </c>
      <c r="J565" t="str">
        <f t="shared" ref="J565:J628" si="56">"ddhub:"&amp;G565</f>
        <v>ddhub:TorqueGradientPerLengthQuantity</v>
      </c>
      <c r="K565">
        <f t="shared" ref="K565:K628" si="57">IF(B565=J565,1,0)</f>
        <v>1</v>
      </c>
      <c r="L565" t="str">
        <f t="shared" si="55"/>
        <v>.</v>
      </c>
    </row>
    <row r="566" spans="1:12">
      <c r="A566" s="4" t="s">
        <v>788</v>
      </c>
      <c r="B566" s="8" t="s">
        <v>238</v>
      </c>
      <c r="C566" t="str">
        <f t="shared" si="52"/>
        <v>ddhub:TorqueGradientPerLengthQuantity</v>
      </c>
      <c r="D566">
        <f t="shared" si="53"/>
        <v>1</v>
      </c>
      <c r="E566" t="str">
        <f t="shared" si="54"/>
        <v>ddhub:NewtonMillimetrePerMetre</v>
      </c>
      <c r="F566" t="s">
        <v>1907</v>
      </c>
      <c r="G566" t="s">
        <v>164</v>
      </c>
      <c r="H566" t="s">
        <v>1281</v>
      </c>
      <c r="J566" t="str">
        <f t="shared" si="56"/>
        <v>ddhub:TorqueGradientPerLengthQuantity</v>
      </c>
      <c r="K566">
        <f t="shared" si="57"/>
        <v>1</v>
      </c>
      <c r="L566" t="str">
        <f t="shared" si="55"/>
        <v>.</v>
      </c>
    </row>
    <row r="567" spans="1:12">
      <c r="A567" s="4" t="s">
        <v>789</v>
      </c>
      <c r="B567" s="8" t="s">
        <v>238</v>
      </c>
      <c r="C567" t="str">
        <f t="shared" si="52"/>
        <v>ddhub:TorqueGradientPerLengthQuantity</v>
      </c>
      <c r="D567">
        <f t="shared" si="53"/>
        <v>1</v>
      </c>
      <c r="E567" t="str">
        <f t="shared" si="54"/>
        <v>ddhub:NewtonMillimetrePerMillimetre</v>
      </c>
      <c r="F567" t="s">
        <v>1908</v>
      </c>
      <c r="G567" t="s">
        <v>164</v>
      </c>
      <c r="H567" t="s">
        <v>1281</v>
      </c>
      <c r="J567" t="str">
        <f t="shared" si="56"/>
        <v>ddhub:TorqueGradientPerLengthQuantity</v>
      </c>
      <c r="K567">
        <f t="shared" si="57"/>
        <v>1</v>
      </c>
      <c r="L567" t="str">
        <f t="shared" si="55"/>
        <v>.</v>
      </c>
    </row>
    <row r="568" spans="1:12">
      <c r="A568" s="4" t="s">
        <v>790</v>
      </c>
      <c r="B568" s="8" t="s">
        <v>246</v>
      </c>
      <c r="C568" t="str">
        <f t="shared" si="52"/>
        <v>ddhub:ForceGradientPerLengthQuantity</v>
      </c>
      <c r="D568">
        <f t="shared" si="53"/>
        <v>1</v>
      </c>
      <c r="E568" t="str">
        <f t="shared" si="54"/>
        <v>ddhub:NewtonPer10Metre</v>
      </c>
      <c r="F568" t="s">
        <v>1909</v>
      </c>
      <c r="G568" t="s">
        <v>73</v>
      </c>
      <c r="H568" t="s">
        <v>1288</v>
      </c>
      <c r="J568" t="str">
        <f t="shared" si="56"/>
        <v>ddhub:ForceGradientPerLengthQuantity</v>
      </c>
      <c r="K568">
        <f t="shared" si="57"/>
        <v>1</v>
      </c>
      <c r="L568" t="str">
        <f t="shared" si="55"/>
        <v>.</v>
      </c>
    </row>
    <row r="569" spans="1:12">
      <c r="A569" s="4" t="s">
        <v>791</v>
      </c>
      <c r="B569" s="8" t="s">
        <v>246</v>
      </c>
      <c r="C569" t="str">
        <f t="shared" si="52"/>
        <v>ddhub:ForceGradientPerLengthQuantity</v>
      </c>
      <c r="D569">
        <f t="shared" si="53"/>
        <v>1</v>
      </c>
      <c r="E569" t="str">
        <f t="shared" si="54"/>
        <v>ddhub:NewtonPer30Metre</v>
      </c>
      <c r="F569" t="s">
        <v>1910</v>
      </c>
      <c r="G569" t="s">
        <v>73</v>
      </c>
      <c r="H569" t="s">
        <v>1288</v>
      </c>
      <c r="J569" t="str">
        <f t="shared" si="56"/>
        <v>ddhub:ForceGradientPerLengthQuantity</v>
      </c>
      <c r="K569">
        <f t="shared" si="57"/>
        <v>1</v>
      </c>
      <c r="L569" t="str">
        <f t="shared" si="55"/>
        <v>.</v>
      </c>
    </row>
    <row r="570" spans="1:12">
      <c r="A570" s="4" t="s">
        <v>792</v>
      </c>
      <c r="B570" s="8" t="s">
        <v>246</v>
      </c>
      <c r="C570" t="str">
        <f t="shared" si="52"/>
        <v>ddhub:ForceGradientPerLengthQuantity</v>
      </c>
      <c r="D570">
        <f t="shared" si="53"/>
        <v>1</v>
      </c>
      <c r="E570" t="str">
        <f t="shared" si="54"/>
        <v>ddhub:NewtonPerCentimetre</v>
      </c>
      <c r="F570" t="s">
        <v>1911</v>
      </c>
      <c r="G570" t="s">
        <v>73</v>
      </c>
      <c r="H570" t="s">
        <v>1288</v>
      </c>
      <c r="J570" t="str">
        <f t="shared" si="56"/>
        <v>ddhub:ForceGradientPerLengthQuantity</v>
      </c>
      <c r="K570">
        <f t="shared" si="57"/>
        <v>1</v>
      </c>
      <c r="L570" t="str">
        <f t="shared" si="55"/>
        <v>.</v>
      </c>
    </row>
    <row r="571" spans="1:12">
      <c r="A571" s="4" t="s">
        <v>793</v>
      </c>
      <c r="B571" s="8" t="s">
        <v>246</v>
      </c>
      <c r="C571" t="str">
        <f t="shared" si="52"/>
        <v>ddhub:ForceGradientPerLengthQuantity</v>
      </c>
      <c r="D571">
        <f t="shared" si="53"/>
        <v>1</v>
      </c>
      <c r="E571" t="str">
        <f t="shared" si="54"/>
        <v>ddhub:NewtonPerDecimetre</v>
      </c>
      <c r="F571" t="s">
        <v>1912</v>
      </c>
      <c r="G571" t="s">
        <v>73</v>
      </c>
      <c r="H571" t="s">
        <v>1288</v>
      </c>
      <c r="J571" t="str">
        <f t="shared" si="56"/>
        <v>ddhub:ForceGradientPerLengthQuantity</v>
      </c>
      <c r="K571">
        <f t="shared" si="57"/>
        <v>1</v>
      </c>
      <c r="L571" t="str">
        <f t="shared" si="55"/>
        <v>.</v>
      </c>
    </row>
    <row r="572" spans="1:12">
      <c r="A572" s="4" t="s">
        <v>794</v>
      </c>
      <c r="B572" s="8" t="s">
        <v>246</v>
      </c>
      <c r="C572" t="str">
        <f t="shared" si="52"/>
        <v>ddhub:ForceGradientPerLengthQuantity</v>
      </c>
      <c r="D572">
        <f t="shared" si="53"/>
        <v>1</v>
      </c>
      <c r="E572" t="str">
        <f t="shared" si="54"/>
        <v>ddhub:NewtonPerMetre</v>
      </c>
      <c r="F572" t="s">
        <v>1913</v>
      </c>
      <c r="G572" t="s">
        <v>73</v>
      </c>
      <c r="H572" t="s">
        <v>1288</v>
      </c>
      <c r="J572" t="str">
        <f t="shared" si="56"/>
        <v>ddhub:ForceGradientPerLengthQuantity</v>
      </c>
      <c r="K572">
        <f t="shared" si="57"/>
        <v>1</v>
      </c>
      <c r="L572" t="str">
        <f t="shared" si="55"/>
        <v>.</v>
      </c>
    </row>
    <row r="573" spans="1:12">
      <c r="A573" s="4" t="s">
        <v>797</v>
      </c>
      <c r="B573" s="8" t="s">
        <v>246</v>
      </c>
      <c r="C573" t="str">
        <f t="shared" si="52"/>
        <v>ddhub:ForceGradientPerLengthQuantity</v>
      </c>
      <c r="D573">
        <f t="shared" si="53"/>
        <v>1</v>
      </c>
      <c r="E573" t="str">
        <f t="shared" si="54"/>
        <v>ddhub:NewtonPerMillimetre</v>
      </c>
      <c r="F573" t="s">
        <v>1914</v>
      </c>
      <c r="G573" t="s">
        <v>73</v>
      </c>
      <c r="H573" t="s">
        <v>1288</v>
      </c>
      <c r="J573" t="str">
        <f t="shared" si="56"/>
        <v>ddhub:ForceGradientPerLengthQuantity</v>
      </c>
      <c r="K573">
        <f t="shared" si="57"/>
        <v>1</v>
      </c>
      <c r="L573" t="str">
        <f t="shared" si="55"/>
        <v>.</v>
      </c>
    </row>
    <row r="574" spans="1:12">
      <c r="A574" s="4" t="s">
        <v>798</v>
      </c>
      <c r="B574" s="8" t="s">
        <v>170</v>
      </c>
      <c r="C574" t="str">
        <f t="shared" si="52"/>
        <v>ddhub:PressureQuantity</v>
      </c>
      <c r="D574">
        <f t="shared" si="53"/>
        <v>1</v>
      </c>
      <c r="E574" t="str">
        <f t="shared" si="54"/>
        <v>ddhub:NewtonPerSquareCentimetre</v>
      </c>
      <c r="F574" t="s">
        <v>1915</v>
      </c>
      <c r="G574" t="s">
        <v>43</v>
      </c>
      <c r="H574" t="s">
        <v>1665</v>
      </c>
      <c r="J574" t="str">
        <f t="shared" si="56"/>
        <v>ddhub:PressureQuantity</v>
      </c>
      <c r="K574">
        <f t="shared" si="57"/>
        <v>1</v>
      </c>
      <c r="L574" t="str">
        <f t="shared" si="55"/>
        <v>.</v>
      </c>
    </row>
    <row r="575" spans="1:12">
      <c r="A575" s="4" t="s">
        <v>799</v>
      </c>
      <c r="B575" s="8" t="s">
        <v>170</v>
      </c>
      <c r="C575" t="str">
        <f t="shared" si="52"/>
        <v>ddhub:PressureQuantity</v>
      </c>
      <c r="D575">
        <f t="shared" si="53"/>
        <v>1</v>
      </c>
      <c r="E575" t="str">
        <f t="shared" si="54"/>
        <v>ddhub:NewtonPerSquareMetre</v>
      </c>
      <c r="F575" t="s">
        <v>1916</v>
      </c>
      <c r="G575" t="s">
        <v>43</v>
      </c>
      <c r="H575" t="s">
        <v>1917</v>
      </c>
      <c r="J575" t="str">
        <f t="shared" si="56"/>
        <v>ddhub:PressureQuantity</v>
      </c>
      <c r="K575">
        <f t="shared" si="57"/>
        <v>1</v>
      </c>
      <c r="L575" t="str">
        <f t="shared" si="55"/>
        <v>.</v>
      </c>
    </row>
    <row r="576" spans="1:12">
      <c r="A576" s="4" t="s">
        <v>800</v>
      </c>
      <c r="B576" s="8" t="s">
        <v>170</v>
      </c>
      <c r="C576" t="str">
        <f t="shared" si="52"/>
        <v>ddhub:PressureQuantity</v>
      </c>
      <c r="D576">
        <f t="shared" si="53"/>
        <v>1</v>
      </c>
      <c r="E576" t="str">
        <f t="shared" si="54"/>
        <v>ddhub:NewtonPerSquareMillimetre</v>
      </c>
      <c r="F576" t="s">
        <v>1918</v>
      </c>
      <c r="G576" t="s">
        <v>43</v>
      </c>
      <c r="H576" t="s">
        <v>1665</v>
      </c>
      <c r="J576" t="str">
        <f t="shared" si="56"/>
        <v>ddhub:PressureQuantity</v>
      </c>
      <c r="K576">
        <f t="shared" si="57"/>
        <v>1</v>
      </c>
      <c r="L576" t="str">
        <f t="shared" si="55"/>
        <v>.</v>
      </c>
    </row>
    <row r="577" spans="1:12">
      <c r="A577" s="4" t="s">
        <v>801</v>
      </c>
      <c r="B577" s="8" t="s">
        <v>25</v>
      </c>
      <c r="C577" t="str">
        <f t="shared" si="52"/>
        <v>ddhub:PlaneAngleQuantity</v>
      </c>
      <c r="D577">
        <f t="shared" si="53"/>
        <v>1</v>
      </c>
      <c r="E577" t="str">
        <f t="shared" si="54"/>
        <v>ddhub:Octant</v>
      </c>
      <c r="F577" t="s">
        <v>1919</v>
      </c>
      <c r="G577" t="s">
        <v>26</v>
      </c>
      <c r="H577" t="s">
        <v>1920</v>
      </c>
      <c r="J577" t="str">
        <f t="shared" si="56"/>
        <v>ddhub:PlaneAngleQuantity</v>
      </c>
      <c r="K577">
        <f t="shared" si="57"/>
        <v>1</v>
      </c>
      <c r="L577" t="str">
        <f t="shared" si="55"/>
        <v>.</v>
      </c>
    </row>
    <row r="578" spans="1:12">
      <c r="A578" s="4" t="s">
        <v>802</v>
      </c>
      <c r="B578" s="8" t="s">
        <v>334</v>
      </c>
      <c r="C578" t="str">
        <f t="shared" si="52"/>
        <v>ddhub:ElectricResistivityQuantity</v>
      </c>
      <c r="D578">
        <f t="shared" si="53"/>
        <v>0</v>
      </c>
      <c r="E578" t="str">
        <f t="shared" si="54"/>
        <v>ddhub:OhmMetre</v>
      </c>
      <c r="F578" t="s">
        <v>1921</v>
      </c>
      <c r="G578" t="s">
        <v>58</v>
      </c>
      <c r="H578" t="s">
        <v>1922</v>
      </c>
      <c r="J578" t="str">
        <f t="shared" si="56"/>
        <v>ddhub:ElectricResistivityQuantity</v>
      </c>
      <c r="K578">
        <f t="shared" si="57"/>
        <v>0</v>
      </c>
      <c r="L578" t="str">
        <f t="shared" si="55"/>
        <v>.</v>
      </c>
    </row>
    <row r="579" spans="1:12">
      <c r="A579" s="4" t="s">
        <v>803</v>
      </c>
      <c r="B579" s="8" t="s">
        <v>34</v>
      </c>
      <c r="C579" t="str">
        <f t="shared" ref="C579:C642" si="58">VLOOKUP(A579,E$2:J$838,6)</f>
        <v>ddhub:MassQuantity</v>
      </c>
      <c r="D579">
        <f t="shared" ref="D579:D642" si="59">IF(B579=C579,1,0)</f>
        <v>1</v>
      </c>
      <c r="E579" t="str">
        <f t="shared" ref="E579:E642" si="60">"ddhub:"&amp;F579</f>
        <v>ddhub:Ounce</v>
      </c>
      <c r="F579" t="s">
        <v>1923</v>
      </c>
      <c r="G579" t="s">
        <v>35</v>
      </c>
      <c r="H579" t="s">
        <v>1924</v>
      </c>
      <c r="J579" t="str">
        <f t="shared" si="56"/>
        <v>ddhub:MassQuantity</v>
      </c>
      <c r="K579">
        <f t="shared" si="57"/>
        <v>1</v>
      </c>
      <c r="L579" t="str">
        <f t="shared" ref="L579:L642" si="61">IF(D579=K579,".","?")</f>
        <v>.</v>
      </c>
    </row>
    <row r="580" spans="1:12">
      <c r="A580" s="4" t="s">
        <v>804</v>
      </c>
      <c r="B580" s="8" t="s">
        <v>9</v>
      </c>
      <c r="C580" t="str">
        <f t="shared" si="58"/>
        <v>ddhub:LengthQuantity</v>
      </c>
      <c r="D580">
        <f t="shared" si="59"/>
        <v>1</v>
      </c>
      <c r="E580" t="str">
        <f t="shared" si="60"/>
        <v>ddhub:Parsec</v>
      </c>
      <c r="F580" t="s">
        <v>1925</v>
      </c>
      <c r="G580" t="s">
        <v>10</v>
      </c>
      <c r="H580" t="s">
        <v>1926</v>
      </c>
      <c r="J580" t="str">
        <f t="shared" si="56"/>
        <v>ddhub:LengthQuantity</v>
      </c>
      <c r="K580">
        <f t="shared" si="57"/>
        <v>1</v>
      </c>
      <c r="L580" t="str">
        <f t="shared" si="61"/>
        <v>.</v>
      </c>
    </row>
    <row r="581" spans="1:12">
      <c r="A581" s="4" t="s">
        <v>805</v>
      </c>
      <c r="B581" s="8" t="s">
        <v>332</v>
      </c>
      <c r="C581" t="str">
        <f t="shared" si="58"/>
        <v>ddhub:DimensionlessQuantity</v>
      </c>
      <c r="D581">
        <f t="shared" si="59"/>
        <v>1</v>
      </c>
      <c r="E581" t="str">
        <f t="shared" si="60"/>
        <v>ddhub:PartPerMillion</v>
      </c>
      <c r="F581" t="s">
        <v>1927</v>
      </c>
      <c r="G581" t="s">
        <v>44</v>
      </c>
      <c r="H581" t="s">
        <v>1928</v>
      </c>
      <c r="J581" t="str">
        <f t="shared" si="56"/>
        <v>ddhub:DimensionlessQuantity</v>
      </c>
      <c r="K581">
        <f t="shared" si="57"/>
        <v>1</v>
      </c>
      <c r="L581" t="str">
        <f t="shared" si="61"/>
        <v>.</v>
      </c>
    </row>
    <row r="582" spans="1:12">
      <c r="A582" s="4" t="s">
        <v>808</v>
      </c>
      <c r="B582" s="8" t="s">
        <v>170</v>
      </c>
      <c r="C582" t="str">
        <f t="shared" si="58"/>
        <v>ddhub:PressureQuantity</v>
      </c>
      <c r="D582">
        <f t="shared" si="59"/>
        <v>1</v>
      </c>
      <c r="E582" t="str">
        <f t="shared" si="60"/>
        <v>ddhub:Pascal</v>
      </c>
      <c r="F582" t="s">
        <v>1929</v>
      </c>
      <c r="G582" t="s">
        <v>43</v>
      </c>
      <c r="H582" t="s">
        <v>1930</v>
      </c>
      <c r="J582" t="str">
        <f t="shared" si="56"/>
        <v>ddhub:PressureQuantity</v>
      </c>
      <c r="K582">
        <f t="shared" si="57"/>
        <v>1</v>
      </c>
      <c r="L582" t="str">
        <f t="shared" si="61"/>
        <v>.</v>
      </c>
    </row>
    <row r="583" spans="1:12">
      <c r="A583" s="4" t="s">
        <v>809</v>
      </c>
      <c r="B583" s="8" t="s">
        <v>334</v>
      </c>
      <c r="C583" t="str">
        <f t="shared" si="58"/>
        <v>ddhub:PressureGradientPerLengthQuantity</v>
      </c>
      <c r="D583">
        <f t="shared" si="59"/>
        <v>0</v>
      </c>
      <c r="E583" t="str">
        <f t="shared" si="60"/>
        <v>ddhub:PascalPerMetre</v>
      </c>
      <c r="F583" t="s">
        <v>1931</v>
      </c>
      <c r="G583" t="s">
        <v>47</v>
      </c>
      <c r="H583" t="s">
        <v>1932</v>
      </c>
      <c r="J583" t="str">
        <f t="shared" si="56"/>
        <v>ddhub:PressureGradientPerLengthQuantity</v>
      </c>
      <c r="K583">
        <f t="shared" si="57"/>
        <v>0</v>
      </c>
      <c r="L583" t="str">
        <f t="shared" si="61"/>
        <v>.</v>
      </c>
    </row>
    <row r="584" spans="1:12">
      <c r="A584" s="4" t="s">
        <v>811</v>
      </c>
      <c r="B584" s="8" t="s">
        <v>195</v>
      </c>
      <c r="C584" t="str">
        <f t="shared" si="58"/>
        <v>ddhub:DynamicViscosityQuantity</v>
      </c>
      <c r="D584">
        <f t="shared" si="59"/>
        <v>1</v>
      </c>
      <c r="E584" t="str">
        <f t="shared" si="60"/>
        <v>ddhub:PascalSecond</v>
      </c>
      <c r="F584" t="s">
        <v>1933</v>
      </c>
      <c r="G584" t="s">
        <v>48</v>
      </c>
      <c r="H584" t="s">
        <v>1763</v>
      </c>
      <c r="J584" t="str">
        <f t="shared" si="56"/>
        <v>ddhub:DynamicViscosityQuantity</v>
      </c>
      <c r="K584">
        <f t="shared" si="57"/>
        <v>1</v>
      </c>
      <c r="L584" t="str">
        <f t="shared" si="61"/>
        <v>.</v>
      </c>
    </row>
    <row r="585" spans="1:12">
      <c r="A585" s="4" t="s">
        <v>812</v>
      </c>
      <c r="B585" s="8" t="s">
        <v>332</v>
      </c>
      <c r="C585" t="str">
        <f t="shared" si="58"/>
        <v>ddhub:DimensionlessQuantity</v>
      </c>
      <c r="D585">
        <f t="shared" si="59"/>
        <v>1</v>
      </c>
      <c r="E585" t="str">
        <f t="shared" si="60"/>
        <v>ddhub:Percent</v>
      </c>
      <c r="F585" t="s">
        <v>1934</v>
      </c>
      <c r="G585" t="s">
        <v>44</v>
      </c>
      <c r="H585" t="s">
        <v>1935</v>
      </c>
      <c r="J585" t="str">
        <f t="shared" si="56"/>
        <v>ddhub:DimensionlessQuantity</v>
      </c>
      <c r="K585">
        <f t="shared" si="57"/>
        <v>1</v>
      </c>
      <c r="L585" t="str">
        <f t="shared" si="61"/>
        <v>.</v>
      </c>
    </row>
    <row r="586" spans="1:12">
      <c r="A586" s="4" t="s">
        <v>815</v>
      </c>
      <c r="B586" s="8" t="s">
        <v>332</v>
      </c>
      <c r="C586" t="str">
        <f t="shared" si="58"/>
        <v>ddhub:DimensionlessQuantity</v>
      </c>
      <c r="D586">
        <f t="shared" si="59"/>
        <v>1</v>
      </c>
      <c r="E586" t="str">
        <f t="shared" si="60"/>
        <v>ddhub:PerThousand</v>
      </c>
      <c r="F586" t="s">
        <v>1936</v>
      </c>
      <c r="G586" t="s">
        <v>44</v>
      </c>
      <c r="H586" t="s">
        <v>1937</v>
      </c>
      <c r="J586" t="str">
        <f t="shared" si="56"/>
        <v>ddhub:DimensionlessQuantity</v>
      </c>
      <c r="K586">
        <f t="shared" si="57"/>
        <v>1</v>
      </c>
      <c r="L586" t="str">
        <f t="shared" si="61"/>
        <v>.</v>
      </c>
    </row>
    <row r="587" spans="1:12">
      <c r="A587" s="4" t="s">
        <v>817</v>
      </c>
      <c r="B587" s="8" t="s">
        <v>38</v>
      </c>
      <c r="C587" t="str">
        <f t="shared" si="58"/>
        <v>ddhub:PowerQuantity</v>
      </c>
      <c r="D587">
        <f t="shared" si="59"/>
        <v>1</v>
      </c>
      <c r="E587" t="str">
        <f t="shared" si="60"/>
        <v>ddhub:Petawatt</v>
      </c>
      <c r="F587" t="s">
        <v>1938</v>
      </c>
      <c r="G587" t="s">
        <v>39</v>
      </c>
      <c r="H587" t="s">
        <v>1939</v>
      </c>
      <c r="J587" t="str">
        <f t="shared" si="56"/>
        <v>ddhub:PowerQuantity</v>
      </c>
      <c r="K587">
        <f t="shared" si="57"/>
        <v>1</v>
      </c>
      <c r="L587" t="str">
        <f t="shared" si="61"/>
        <v>.</v>
      </c>
    </row>
    <row r="588" spans="1:12">
      <c r="A588" s="4" t="s">
        <v>818</v>
      </c>
      <c r="B588" s="8" t="s">
        <v>13</v>
      </c>
      <c r="C588" t="str">
        <f t="shared" si="58"/>
        <v>ddhub:ElectricCurrentQuantity</v>
      </c>
      <c r="D588">
        <f t="shared" si="59"/>
        <v>1</v>
      </c>
      <c r="E588" t="str">
        <f t="shared" si="60"/>
        <v>ddhub:Picoampere</v>
      </c>
      <c r="F588" t="s">
        <v>1940</v>
      </c>
      <c r="G588" t="s">
        <v>14</v>
      </c>
      <c r="H588" t="s">
        <v>1941</v>
      </c>
      <c r="J588" t="str">
        <f t="shared" si="56"/>
        <v>ddhub:ElectricCurrentQuantity</v>
      </c>
      <c r="K588">
        <f t="shared" si="57"/>
        <v>1</v>
      </c>
      <c r="L588" t="str">
        <f t="shared" si="61"/>
        <v>.</v>
      </c>
    </row>
    <row r="589" spans="1:12">
      <c r="A589" s="4" t="s">
        <v>819</v>
      </c>
      <c r="B589" s="8" t="s">
        <v>334</v>
      </c>
      <c r="C589" t="str">
        <f t="shared" si="58"/>
        <v>ddhub:ElectricCapacitanceQuantity</v>
      </c>
      <c r="D589">
        <f t="shared" si="59"/>
        <v>0</v>
      </c>
      <c r="E589" t="str">
        <f t="shared" si="60"/>
        <v>ddhub:Picofarad</v>
      </c>
      <c r="F589" t="s">
        <v>1942</v>
      </c>
      <c r="G589" t="s">
        <v>52</v>
      </c>
      <c r="H589" t="s">
        <v>1943</v>
      </c>
      <c r="J589" t="str">
        <f t="shared" si="56"/>
        <v>ddhub:ElectricCapacitanceQuantity</v>
      </c>
      <c r="K589">
        <f t="shared" si="57"/>
        <v>0</v>
      </c>
      <c r="L589" t="str">
        <f t="shared" si="61"/>
        <v>.</v>
      </c>
    </row>
    <row r="590" spans="1:12">
      <c r="A590" s="4" t="s">
        <v>820</v>
      </c>
      <c r="B590" s="8" t="s">
        <v>9</v>
      </c>
      <c r="C590" t="str">
        <f t="shared" si="58"/>
        <v>ddhub:LengthQuantity</v>
      </c>
      <c r="D590">
        <f t="shared" si="59"/>
        <v>1</v>
      </c>
      <c r="E590" t="str">
        <f t="shared" si="60"/>
        <v>ddhub:Picometre</v>
      </c>
      <c r="F590" t="s">
        <v>1944</v>
      </c>
      <c r="G590" t="s">
        <v>10</v>
      </c>
      <c r="H590" t="s">
        <v>1945</v>
      </c>
      <c r="J590" t="str">
        <f t="shared" si="56"/>
        <v>ddhub:LengthQuantity</v>
      </c>
      <c r="K590">
        <f t="shared" si="57"/>
        <v>1</v>
      </c>
      <c r="L590" t="str">
        <f t="shared" si="61"/>
        <v>.</v>
      </c>
    </row>
    <row r="591" spans="1:12">
      <c r="A591" s="4" t="s">
        <v>821</v>
      </c>
      <c r="B591" s="8" t="s">
        <v>334</v>
      </c>
      <c r="C591" t="str">
        <f t="shared" si="58"/>
        <v>ddhub:AmountSubstanceQuantity</v>
      </c>
      <c r="D591">
        <f t="shared" si="59"/>
        <v>0</v>
      </c>
      <c r="E591" t="str">
        <f t="shared" si="60"/>
        <v>ddhub:Picomole</v>
      </c>
      <c r="F591" t="s">
        <v>1946</v>
      </c>
      <c r="G591" t="s">
        <v>15</v>
      </c>
      <c r="H591" t="s">
        <v>1947</v>
      </c>
      <c r="J591" t="str">
        <f t="shared" si="56"/>
        <v>ddhub:AmountSubstanceQuantity</v>
      </c>
      <c r="K591">
        <f t="shared" si="57"/>
        <v>0</v>
      </c>
      <c r="L591" t="str">
        <f t="shared" si="61"/>
        <v>.</v>
      </c>
    </row>
    <row r="592" spans="1:12">
      <c r="A592" s="4" t="s">
        <v>822</v>
      </c>
      <c r="B592" s="8" t="s">
        <v>201</v>
      </c>
      <c r="C592" t="str">
        <f t="shared" si="58"/>
        <v>ddhub:TimeQuantity</v>
      </c>
      <c r="D592">
        <f t="shared" si="59"/>
        <v>1</v>
      </c>
      <c r="E592" t="str">
        <f t="shared" si="60"/>
        <v>ddhub:Picosecond</v>
      </c>
      <c r="F592" t="s">
        <v>1948</v>
      </c>
      <c r="G592" t="s">
        <v>162</v>
      </c>
      <c r="H592" t="s">
        <v>1949</v>
      </c>
      <c r="J592" t="str">
        <f t="shared" si="56"/>
        <v>ddhub:TimeQuantity</v>
      </c>
      <c r="K592">
        <f t="shared" si="57"/>
        <v>1</v>
      </c>
      <c r="L592" t="str">
        <f t="shared" si="61"/>
        <v>.</v>
      </c>
    </row>
    <row r="593" spans="1:12">
      <c r="A593" s="4" t="s">
        <v>823</v>
      </c>
      <c r="B593" s="8" t="s">
        <v>334</v>
      </c>
      <c r="C593" t="str">
        <f t="shared" si="58"/>
        <v>zzz:TBD</v>
      </c>
      <c r="D593">
        <f t="shared" si="59"/>
        <v>1</v>
      </c>
      <c r="E593" t="str">
        <f t="shared" si="60"/>
        <v>ddhub:Picovolt</v>
      </c>
      <c r="F593" t="s">
        <v>1950</v>
      </c>
      <c r="G593" t="s">
        <v>1153</v>
      </c>
      <c r="H593" t="s">
        <v>1237</v>
      </c>
      <c r="J593" s="8" t="s">
        <v>334</v>
      </c>
      <c r="K593">
        <f t="shared" si="57"/>
        <v>1</v>
      </c>
      <c r="L593" t="str">
        <f t="shared" si="61"/>
        <v>.</v>
      </c>
    </row>
    <row r="594" spans="1:12">
      <c r="A594" s="4" t="s">
        <v>824</v>
      </c>
      <c r="B594" s="8" t="s">
        <v>38</v>
      </c>
      <c r="C594" t="str">
        <f t="shared" si="58"/>
        <v>ddhub:PowerQuantity</v>
      </c>
      <c r="D594">
        <f t="shared" si="59"/>
        <v>1</v>
      </c>
      <c r="E594" t="str">
        <f t="shared" si="60"/>
        <v>ddhub:Picowatt</v>
      </c>
      <c r="F594" t="s">
        <v>1951</v>
      </c>
      <c r="G594" t="s">
        <v>39</v>
      </c>
      <c r="H594" t="s">
        <v>1952</v>
      </c>
      <c r="J594" t="str">
        <f t="shared" si="56"/>
        <v>ddhub:PowerQuantity</v>
      </c>
      <c r="K594">
        <f t="shared" si="57"/>
        <v>1</v>
      </c>
      <c r="L594" t="str">
        <f t="shared" si="61"/>
        <v>.</v>
      </c>
    </row>
    <row r="595" spans="1:12">
      <c r="A595" s="4" t="s">
        <v>825</v>
      </c>
      <c r="B595" s="8" t="s">
        <v>195</v>
      </c>
      <c r="C595" t="str">
        <f t="shared" si="58"/>
        <v>ddhub:DynamicViscosityQuantity</v>
      </c>
      <c r="D595">
        <f t="shared" si="59"/>
        <v>1</v>
      </c>
      <c r="E595" t="str">
        <f t="shared" si="60"/>
        <v>ddhub:Poise</v>
      </c>
      <c r="F595" t="s">
        <v>1953</v>
      </c>
      <c r="G595" t="s">
        <v>48</v>
      </c>
      <c r="H595" t="s">
        <v>1954</v>
      </c>
      <c r="J595" t="str">
        <f t="shared" si="56"/>
        <v>ddhub:DynamicViscosityQuantity</v>
      </c>
      <c r="K595">
        <f t="shared" si="57"/>
        <v>1</v>
      </c>
      <c r="L595" t="str">
        <f t="shared" si="61"/>
        <v>.</v>
      </c>
    </row>
    <row r="596" spans="1:12">
      <c r="A596" s="4" t="s">
        <v>826</v>
      </c>
      <c r="B596" s="8" t="s">
        <v>34</v>
      </c>
      <c r="C596" t="str">
        <f t="shared" si="58"/>
        <v>ddhub:MassQuantity</v>
      </c>
      <c r="D596">
        <f t="shared" si="59"/>
        <v>1</v>
      </c>
      <c r="E596" t="str">
        <f t="shared" si="60"/>
        <v>ddhub:Pound</v>
      </c>
      <c r="F596" t="s">
        <v>1955</v>
      </c>
      <c r="G596" t="s">
        <v>35</v>
      </c>
      <c r="H596" t="s">
        <v>1956</v>
      </c>
      <c r="J596" t="str">
        <f t="shared" si="56"/>
        <v>ddhub:MassQuantity</v>
      </c>
      <c r="K596">
        <f t="shared" si="57"/>
        <v>1</v>
      </c>
      <c r="L596" t="str">
        <f t="shared" si="61"/>
        <v>.</v>
      </c>
    </row>
    <row r="597" spans="1:12">
      <c r="A597" s="4" t="s">
        <v>827</v>
      </c>
      <c r="B597" s="8" t="s">
        <v>1275</v>
      </c>
      <c r="C597" t="str">
        <f t="shared" si="58"/>
        <v>ddhub:ForceQuantity</v>
      </c>
      <c r="D597">
        <f t="shared" si="59"/>
        <v>1</v>
      </c>
      <c r="E597" t="str">
        <f t="shared" si="60"/>
        <v>ddhub:PoundForce</v>
      </c>
      <c r="F597" t="s">
        <v>1957</v>
      </c>
      <c r="G597" t="s">
        <v>61</v>
      </c>
      <c r="H597" t="s">
        <v>1958</v>
      </c>
      <c r="J597" t="str">
        <f t="shared" si="56"/>
        <v>ddhub:ForceQuantity</v>
      </c>
      <c r="K597">
        <f t="shared" si="57"/>
        <v>1</v>
      </c>
      <c r="L597" t="str">
        <f t="shared" si="61"/>
        <v>.</v>
      </c>
    </row>
    <row r="598" spans="1:12">
      <c r="A598" s="4" t="s">
        <v>828</v>
      </c>
      <c r="B598" s="8" t="s">
        <v>334</v>
      </c>
      <c r="C598" t="str">
        <f t="shared" si="58"/>
        <v>ddhub:MassGradientPerLengthQuantity</v>
      </c>
      <c r="D598">
        <f t="shared" si="59"/>
        <v>0</v>
      </c>
      <c r="E598" t="str">
        <f t="shared" si="60"/>
        <v>ddhub:PoundPer100Foot</v>
      </c>
      <c r="F598" t="s">
        <v>1959</v>
      </c>
      <c r="G598" t="s">
        <v>120</v>
      </c>
      <c r="H598" t="s">
        <v>1485</v>
      </c>
      <c r="J598" t="str">
        <f t="shared" si="56"/>
        <v>ddhub:MassGradientPerLengthQuantity</v>
      </c>
      <c r="K598">
        <f t="shared" si="57"/>
        <v>0</v>
      </c>
      <c r="L598" t="str">
        <f t="shared" si="61"/>
        <v>.</v>
      </c>
    </row>
    <row r="599" spans="1:12">
      <c r="A599" s="4" t="s">
        <v>830</v>
      </c>
      <c r="B599" s="8" t="s">
        <v>334</v>
      </c>
      <c r="C599" t="str">
        <f t="shared" si="58"/>
        <v>zzz:TBD</v>
      </c>
      <c r="D599">
        <f t="shared" si="59"/>
        <v>1</v>
      </c>
      <c r="E599" t="str">
        <f t="shared" si="60"/>
        <v>ddhub:PoundPer100SquareFoot</v>
      </c>
      <c r="F599" t="s">
        <v>1960</v>
      </c>
      <c r="G599" t="s">
        <v>1153</v>
      </c>
      <c r="H599" t="s">
        <v>1961</v>
      </c>
      <c r="J599" s="8" t="s">
        <v>334</v>
      </c>
      <c r="K599">
        <f t="shared" si="57"/>
        <v>1</v>
      </c>
      <c r="L599" t="str">
        <f t="shared" si="61"/>
        <v>.</v>
      </c>
    </row>
    <row r="600" spans="1:12">
      <c r="A600" s="4" t="s">
        <v>831</v>
      </c>
      <c r="B600" s="8" t="s">
        <v>334</v>
      </c>
      <c r="C600" t="str">
        <f t="shared" si="58"/>
        <v>ddhub:MassGradientPerLengthQuantity</v>
      </c>
      <c r="D600">
        <f t="shared" si="59"/>
        <v>0</v>
      </c>
      <c r="E600" t="str">
        <f t="shared" si="60"/>
        <v>ddhub:PoundPer30Foot</v>
      </c>
      <c r="F600" t="s">
        <v>1962</v>
      </c>
      <c r="G600" t="s">
        <v>120</v>
      </c>
      <c r="H600" t="s">
        <v>1485</v>
      </c>
      <c r="J600" t="str">
        <f t="shared" si="56"/>
        <v>ddhub:MassGradientPerLengthQuantity</v>
      </c>
      <c r="K600">
        <f t="shared" si="57"/>
        <v>0</v>
      </c>
      <c r="L600" t="str">
        <f t="shared" si="61"/>
        <v>.</v>
      </c>
    </row>
    <row r="601" spans="1:12">
      <c r="A601" s="4" t="s">
        <v>832</v>
      </c>
      <c r="B601" s="8" t="s">
        <v>416</v>
      </c>
      <c r="C601" t="str">
        <f t="shared" si="58"/>
        <v>ddhub:MassDensityQuantity</v>
      </c>
      <c r="D601">
        <f t="shared" si="59"/>
        <v>1</v>
      </c>
      <c r="E601" t="str">
        <f t="shared" si="60"/>
        <v>ddhub:PoundPerCubicFoot</v>
      </c>
      <c r="F601" t="s">
        <v>1963</v>
      </c>
      <c r="G601" t="s">
        <v>31</v>
      </c>
      <c r="H601" t="s">
        <v>1471</v>
      </c>
      <c r="J601" t="str">
        <f t="shared" si="56"/>
        <v>ddhub:MassDensityQuantity</v>
      </c>
      <c r="K601">
        <f t="shared" si="57"/>
        <v>1</v>
      </c>
      <c r="L601" t="str">
        <f t="shared" si="61"/>
        <v>.</v>
      </c>
    </row>
    <row r="602" spans="1:12">
      <c r="A602" s="4" t="s">
        <v>833</v>
      </c>
      <c r="B602" s="8" t="s">
        <v>416</v>
      </c>
      <c r="C602" t="str">
        <f t="shared" si="58"/>
        <v>ddhub:MassDensityGradientPerLengthQuantity</v>
      </c>
      <c r="D602">
        <f t="shared" si="59"/>
        <v>0</v>
      </c>
      <c r="E602" t="str">
        <f t="shared" si="60"/>
        <v>ddhub:PoundPerCubicFootPer100Foot</v>
      </c>
      <c r="F602" t="s">
        <v>1964</v>
      </c>
      <c r="G602" t="s">
        <v>112</v>
      </c>
      <c r="H602" t="s">
        <v>1473</v>
      </c>
      <c r="J602" t="str">
        <f t="shared" si="56"/>
        <v>ddhub:MassDensityGradientPerLengthQuantity</v>
      </c>
      <c r="K602">
        <f t="shared" si="57"/>
        <v>0</v>
      </c>
      <c r="L602" t="str">
        <f t="shared" si="61"/>
        <v>.</v>
      </c>
    </row>
    <row r="603" spans="1:12">
      <c r="A603" s="4" t="s">
        <v>834</v>
      </c>
      <c r="B603" s="8" t="s">
        <v>416</v>
      </c>
      <c r="C603" t="str">
        <f t="shared" si="58"/>
        <v>ddhub:MassDensityGradientPerLengthQuantity</v>
      </c>
      <c r="D603">
        <f t="shared" si="59"/>
        <v>0</v>
      </c>
      <c r="E603" t="str">
        <f t="shared" si="60"/>
        <v>ddhub:PoundPerCubicFootPer30Foot</v>
      </c>
      <c r="F603" t="s">
        <v>1965</v>
      </c>
      <c r="G603" t="s">
        <v>112</v>
      </c>
      <c r="H603" t="s">
        <v>1473</v>
      </c>
      <c r="J603" t="str">
        <f t="shared" si="56"/>
        <v>ddhub:MassDensityGradientPerLengthQuantity</v>
      </c>
      <c r="K603">
        <f t="shared" si="57"/>
        <v>0</v>
      </c>
      <c r="L603" t="str">
        <f t="shared" si="61"/>
        <v>.</v>
      </c>
    </row>
    <row r="604" spans="1:12">
      <c r="A604" s="4" t="s">
        <v>835</v>
      </c>
      <c r="B604" s="8" t="s">
        <v>426</v>
      </c>
      <c r="C604" t="str">
        <f t="shared" si="58"/>
        <v>ddhub:MassDensityGradientPerTemperatureQuantity</v>
      </c>
      <c r="D604">
        <f t="shared" si="59"/>
        <v>0</v>
      </c>
      <c r="E604" t="str">
        <f t="shared" si="60"/>
        <v>ddhub:PoundPerCubicFootPerCelsius</v>
      </c>
      <c r="F604" t="s">
        <v>1966</v>
      </c>
      <c r="G604" t="s">
        <v>115</v>
      </c>
      <c r="H604" t="s">
        <v>1610</v>
      </c>
      <c r="J604" t="str">
        <f t="shared" si="56"/>
        <v>ddhub:MassDensityGradientPerTemperatureQuantity</v>
      </c>
      <c r="K604">
        <f t="shared" si="57"/>
        <v>0</v>
      </c>
      <c r="L604" t="str">
        <f t="shared" si="61"/>
        <v>.</v>
      </c>
    </row>
    <row r="605" spans="1:12">
      <c r="A605" s="4" t="s">
        <v>836</v>
      </c>
      <c r="B605" s="8" t="s">
        <v>334</v>
      </c>
      <c r="C605" t="str">
        <f t="shared" si="58"/>
        <v>ddhub:MassDensityGradientPerTemperatureQuantity</v>
      </c>
      <c r="D605">
        <f t="shared" si="59"/>
        <v>0</v>
      </c>
      <c r="E605" t="str">
        <f t="shared" si="60"/>
        <v>ddhub:PoundPerCubicFootPerFahrenheit</v>
      </c>
      <c r="F605" t="s">
        <v>1967</v>
      </c>
      <c r="G605" t="s">
        <v>115</v>
      </c>
      <c r="H605" t="s">
        <v>1610</v>
      </c>
      <c r="J605" t="str">
        <f t="shared" si="56"/>
        <v>ddhub:MassDensityGradientPerTemperatureQuantity</v>
      </c>
      <c r="K605">
        <f t="shared" si="57"/>
        <v>0</v>
      </c>
      <c r="L605" t="str">
        <f t="shared" si="61"/>
        <v>.</v>
      </c>
    </row>
    <row r="606" spans="1:12">
      <c r="A606" s="4" t="s">
        <v>837</v>
      </c>
      <c r="B606" s="8" t="s">
        <v>334</v>
      </c>
      <c r="C606" t="str">
        <f t="shared" si="58"/>
        <v>ddhub:MassDensityGradientPerLengthQuantity</v>
      </c>
      <c r="D606">
        <f t="shared" si="59"/>
        <v>0</v>
      </c>
      <c r="E606" t="str">
        <f t="shared" si="60"/>
        <v>ddhub:PoundPerCubicFootPerFoot</v>
      </c>
      <c r="F606" t="s">
        <v>1968</v>
      </c>
      <c r="G606" t="s">
        <v>112</v>
      </c>
      <c r="H606" t="s">
        <v>1473</v>
      </c>
      <c r="J606" t="str">
        <f t="shared" si="56"/>
        <v>ddhub:MassDensityGradientPerLengthQuantity</v>
      </c>
      <c r="K606">
        <f t="shared" si="57"/>
        <v>0</v>
      </c>
      <c r="L606" t="str">
        <f t="shared" si="61"/>
        <v>.</v>
      </c>
    </row>
    <row r="607" spans="1:12">
      <c r="A607" s="4" t="s">
        <v>838</v>
      </c>
      <c r="B607" s="8" t="s">
        <v>416</v>
      </c>
      <c r="C607" t="str">
        <f t="shared" si="58"/>
        <v>ddhub:MassDensityQuantity</v>
      </c>
      <c r="D607">
        <f t="shared" si="59"/>
        <v>1</v>
      </c>
      <c r="E607" t="str">
        <f t="shared" si="60"/>
        <v>ddhub:PoundPerCubicInch</v>
      </c>
      <c r="F607" t="s">
        <v>1969</v>
      </c>
      <c r="G607" t="s">
        <v>31</v>
      </c>
      <c r="H607" t="s">
        <v>1471</v>
      </c>
      <c r="J607" t="str">
        <f t="shared" si="56"/>
        <v>ddhub:MassDensityQuantity</v>
      </c>
      <c r="K607">
        <f t="shared" si="57"/>
        <v>1</v>
      </c>
      <c r="L607" t="str">
        <f t="shared" si="61"/>
        <v>.</v>
      </c>
    </row>
    <row r="608" spans="1:12">
      <c r="A608" s="4" t="s">
        <v>839</v>
      </c>
      <c r="B608" s="8" t="s">
        <v>334</v>
      </c>
      <c r="C608" t="str">
        <f t="shared" si="58"/>
        <v>ddhub:MassDensityGradientPerLengthQuantity</v>
      </c>
      <c r="D608">
        <f t="shared" si="59"/>
        <v>0</v>
      </c>
      <c r="E608" t="str">
        <f t="shared" si="60"/>
        <v>ddhub:PoundPerCubicInchPer100Foot</v>
      </c>
      <c r="F608" t="s">
        <v>1970</v>
      </c>
      <c r="G608" t="s">
        <v>112</v>
      </c>
      <c r="H608" t="s">
        <v>1473</v>
      </c>
      <c r="J608" t="str">
        <f t="shared" si="56"/>
        <v>ddhub:MassDensityGradientPerLengthQuantity</v>
      </c>
      <c r="K608">
        <f t="shared" si="57"/>
        <v>0</v>
      </c>
      <c r="L608" t="str">
        <f t="shared" si="61"/>
        <v>.</v>
      </c>
    </row>
    <row r="609" spans="1:12">
      <c r="A609" s="4" t="s">
        <v>840</v>
      </c>
      <c r="B609" s="8" t="s">
        <v>334</v>
      </c>
      <c r="C609" t="str">
        <f t="shared" si="58"/>
        <v>ddhub:MassDensityGradientPerLengthQuantity</v>
      </c>
      <c r="D609">
        <f t="shared" si="59"/>
        <v>0</v>
      </c>
      <c r="E609" t="str">
        <f t="shared" si="60"/>
        <v>ddhub:PoundPerCubicInchPer30Foot</v>
      </c>
      <c r="F609" t="s">
        <v>1971</v>
      </c>
      <c r="G609" t="s">
        <v>112</v>
      </c>
      <c r="H609" t="s">
        <v>1473</v>
      </c>
      <c r="J609" t="str">
        <f t="shared" si="56"/>
        <v>ddhub:MassDensityGradientPerLengthQuantity</v>
      </c>
      <c r="K609">
        <f t="shared" si="57"/>
        <v>0</v>
      </c>
      <c r="L609" t="str">
        <f t="shared" si="61"/>
        <v>.</v>
      </c>
    </row>
    <row r="610" spans="1:12">
      <c r="A610" s="4" t="s">
        <v>841</v>
      </c>
      <c r="B610" s="8" t="s">
        <v>89</v>
      </c>
      <c r="C610" t="str">
        <f t="shared" si="58"/>
        <v>ddhub:MassDensityGradientPerTemperatureQuantity</v>
      </c>
      <c r="D610">
        <f t="shared" si="59"/>
        <v>0</v>
      </c>
      <c r="E610" t="str">
        <f t="shared" si="60"/>
        <v>ddhub:PoundPerCubicInchPerCelsius</v>
      </c>
      <c r="F610" t="s">
        <v>1972</v>
      </c>
      <c r="G610" t="s">
        <v>115</v>
      </c>
      <c r="H610" t="s">
        <v>1610</v>
      </c>
      <c r="J610" t="str">
        <f t="shared" si="56"/>
        <v>ddhub:MassDensityGradientPerTemperatureQuantity</v>
      </c>
      <c r="K610">
        <f t="shared" si="57"/>
        <v>0</v>
      </c>
      <c r="L610" t="str">
        <f t="shared" si="61"/>
        <v>.</v>
      </c>
    </row>
    <row r="611" spans="1:12">
      <c r="A611" s="4" t="s">
        <v>842</v>
      </c>
      <c r="B611" s="8" t="s">
        <v>84</v>
      </c>
      <c r="C611" t="str">
        <f t="shared" si="58"/>
        <v>ddhub:MassDensityGradientPerTemperatureQuantity</v>
      </c>
      <c r="D611">
        <f t="shared" si="59"/>
        <v>0</v>
      </c>
      <c r="E611" t="str">
        <f t="shared" si="60"/>
        <v>ddhub:PoundPerCubicInchPerFahrenheit</v>
      </c>
      <c r="F611" t="s">
        <v>1973</v>
      </c>
      <c r="G611" t="s">
        <v>115</v>
      </c>
      <c r="H611" t="s">
        <v>1610</v>
      </c>
      <c r="J611" t="str">
        <f t="shared" si="56"/>
        <v>ddhub:MassDensityGradientPerTemperatureQuantity</v>
      </c>
      <c r="K611">
        <f t="shared" si="57"/>
        <v>0</v>
      </c>
      <c r="L611" t="str">
        <f t="shared" si="61"/>
        <v>.</v>
      </c>
    </row>
    <row r="612" spans="1:12">
      <c r="A612" s="4" t="s">
        <v>843</v>
      </c>
      <c r="B612" s="8" t="s">
        <v>416</v>
      </c>
      <c r="C612" t="str">
        <f t="shared" si="58"/>
        <v>ddhub:MassDensityGradientPerLengthQuantity</v>
      </c>
      <c r="D612">
        <f t="shared" si="59"/>
        <v>0</v>
      </c>
      <c r="E612" t="str">
        <f t="shared" si="60"/>
        <v>ddhub:PoundPerCubicInchPerFoot</v>
      </c>
      <c r="F612" t="s">
        <v>1974</v>
      </c>
      <c r="G612" t="s">
        <v>112</v>
      </c>
      <c r="H612" t="s">
        <v>1473</v>
      </c>
      <c r="J612" t="str">
        <f t="shared" si="56"/>
        <v>ddhub:MassDensityGradientPerLengthQuantity</v>
      </c>
      <c r="K612">
        <f t="shared" si="57"/>
        <v>0</v>
      </c>
      <c r="L612" t="str">
        <f t="shared" si="61"/>
        <v>.</v>
      </c>
    </row>
    <row r="613" spans="1:12">
      <c r="A613" s="4" t="s">
        <v>844</v>
      </c>
      <c r="B613" s="8" t="s">
        <v>416</v>
      </c>
      <c r="C613" t="str">
        <f t="shared" si="58"/>
        <v>ddhub:MassDensityQuantity</v>
      </c>
      <c r="D613">
        <f t="shared" si="59"/>
        <v>1</v>
      </c>
      <c r="E613" t="str">
        <f t="shared" si="60"/>
        <v>ddhub:PoundPerCubicYard</v>
      </c>
      <c r="F613" t="s">
        <v>1975</v>
      </c>
      <c r="G613" t="s">
        <v>31</v>
      </c>
      <c r="H613" t="s">
        <v>1471</v>
      </c>
      <c r="J613" t="str">
        <f t="shared" si="56"/>
        <v>ddhub:MassDensityQuantity</v>
      </c>
      <c r="K613">
        <f t="shared" si="57"/>
        <v>1</v>
      </c>
      <c r="L613" t="str">
        <f t="shared" si="61"/>
        <v>.</v>
      </c>
    </row>
    <row r="614" spans="1:12">
      <c r="A614" s="4" t="s">
        <v>845</v>
      </c>
      <c r="B614" s="8" t="s">
        <v>334</v>
      </c>
      <c r="C614" t="str">
        <f t="shared" si="58"/>
        <v>ddhub:MassDensityGradientPerLengthQuantity</v>
      </c>
      <c r="D614">
        <f t="shared" si="59"/>
        <v>0</v>
      </c>
      <c r="E614" t="str">
        <f t="shared" si="60"/>
        <v>ddhub:PoundPerCubicYardPer100Foot</v>
      </c>
      <c r="F614" t="s">
        <v>1976</v>
      </c>
      <c r="G614" t="s">
        <v>112</v>
      </c>
      <c r="H614" t="s">
        <v>1473</v>
      </c>
      <c r="J614" t="str">
        <f t="shared" si="56"/>
        <v>ddhub:MassDensityGradientPerLengthQuantity</v>
      </c>
      <c r="K614">
        <f t="shared" si="57"/>
        <v>0</v>
      </c>
      <c r="L614" t="str">
        <f t="shared" si="61"/>
        <v>.</v>
      </c>
    </row>
    <row r="615" spans="1:12">
      <c r="A615" s="4" t="s">
        <v>846</v>
      </c>
      <c r="B615" s="8" t="s">
        <v>416</v>
      </c>
      <c r="C615" t="str">
        <f t="shared" si="58"/>
        <v>ddhub:MassDensityGradientPerLengthQuantity</v>
      </c>
      <c r="D615">
        <f t="shared" si="59"/>
        <v>0</v>
      </c>
      <c r="E615" t="str">
        <f t="shared" si="60"/>
        <v>ddhub:PoundPerCubicYardPer30Foot</v>
      </c>
      <c r="F615" t="s">
        <v>1977</v>
      </c>
      <c r="G615" t="s">
        <v>112</v>
      </c>
      <c r="H615" t="s">
        <v>1473</v>
      </c>
      <c r="J615" t="str">
        <f t="shared" si="56"/>
        <v>ddhub:MassDensityGradientPerLengthQuantity</v>
      </c>
      <c r="K615">
        <f t="shared" si="57"/>
        <v>0</v>
      </c>
      <c r="L615" t="str">
        <f t="shared" si="61"/>
        <v>.</v>
      </c>
    </row>
    <row r="616" spans="1:12">
      <c r="A616" s="4" t="s">
        <v>847</v>
      </c>
      <c r="B616" s="8" t="s">
        <v>334</v>
      </c>
      <c r="C616" t="str">
        <f t="shared" si="58"/>
        <v>ddhub:MassDensityGradientPerTemperatureQuantity</v>
      </c>
      <c r="D616">
        <f t="shared" si="59"/>
        <v>0</v>
      </c>
      <c r="E616" t="str">
        <f t="shared" si="60"/>
        <v>ddhub:PoundPerCubicYardPerCelsius</v>
      </c>
      <c r="F616" t="s">
        <v>1978</v>
      </c>
      <c r="G616" t="s">
        <v>115</v>
      </c>
      <c r="H616" t="s">
        <v>1610</v>
      </c>
      <c r="J616" t="str">
        <f t="shared" si="56"/>
        <v>ddhub:MassDensityGradientPerTemperatureQuantity</v>
      </c>
      <c r="K616">
        <f t="shared" si="57"/>
        <v>0</v>
      </c>
      <c r="L616" t="str">
        <f t="shared" si="61"/>
        <v>.</v>
      </c>
    </row>
    <row r="617" spans="1:12">
      <c r="A617" s="4" t="s">
        <v>848</v>
      </c>
      <c r="B617" s="8" t="s">
        <v>426</v>
      </c>
      <c r="C617" t="str">
        <f t="shared" si="58"/>
        <v>ddhub:MassDensityGradientPerLengthQuantity</v>
      </c>
      <c r="D617">
        <f t="shared" si="59"/>
        <v>0</v>
      </c>
      <c r="E617" t="str">
        <f t="shared" si="60"/>
        <v>ddhub:PoundPerCubicYardPerFoot</v>
      </c>
      <c r="F617" t="s">
        <v>1979</v>
      </c>
      <c r="G617" t="s">
        <v>112</v>
      </c>
      <c r="H617" t="s">
        <v>1473</v>
      </c>
      <c r="J617" t="str">
        <f t="shared" si="56"/>
        <v>ddhub:MassDensityGradientPerLengthQuantity</v>
      </c>
      <c r="K617">
        <f t="shared" si="57"/>
        <v>0</v>
      </c>
      <c r="L617" t="str">
        <f t="shared" si="61"/>
        <v>.</v>
      </c>
    </row>
    <row r="618" spans="1:12">
      <c r="A618" s="4" t="s">
        <v>849</v>
      </c>
      <c r="B618" s="8" t="s">
        <v>84</v>
      </c>
      <c r="C618" t="str">
        <f t="shared" si="58"/>
        <v>ddhub:MassDensityGradientPerTemperatureQuantity</v>
      </c>
      <c r="D618">
        <f t="shared" si="59"/>
        <v>0</v>
      </c>
      <c r="E618" t="str">
        <f t="shared" si="60"/>
        <v>ddhub:PoundPerCubicYeardPerFahrenheit</v>
      </c>
      <c r="F618" t="s">
        <v>1980</v>
      </c>
      <c r="G618" t="s">
        <v>115</v>
      </c>
      <c r="H618" t="s">
        <v>1610</v>
      </c>
      <c r="J618" t="str">
        <f t="shared" si="56"/>
        <v>ddhub:MassDensityGradientPerTemperatureQuantity</v>
      </c>
      <c r="K618">
        <f t="shared" si="57"/>
        <v>0</v>
      </c>
      <c r="L618" t="str">
        <f t="shared" si="61"/>
        <v>.</v>
      </c>
    </row>
    <row r="619" spans="1:12">
      <c r="A619" s="4" t="s">
        <v>850</v>
      </c>
      <c r="B619" s="8" t="s">
        <v>334</v>
      </c>
      <c r="C619" t="str">
        <f t="shared" si="58"/>
        <v>ddhub:MassGradientPerLengthQuantity</v>
      </c>
      <c r="D619">
        <f t="shared" si="59"/>
        <v>0</v>
      </c>
      <c r="E619" t="str">
        <f t="shared" si="60"/>
        <v>ddhub:PoundPerFoot</v>
      </c>
      <c r="F619" t="s">
        <v>1981</v>
      </c>
      <c r="G619" t="s">
        <v>120</v>
      </c>
      <c r="H619" t="s">
        <v>1485</v>
      </c>
      <c r="J619" t="str">
        <f t="shared" si="56"/>
        <v>ddhub:MassGradientPerLengthQuantity</v>
      </c>
      <c r="K619">
        <f t="shared" si="57"/>
        <v>0</v>
      </c>
      <c r="L619" t="str">
        <f t="shared" si="61"/>
        <v>.</v>
      </c>
    </row>
    <row r="620" spans="1:12">
      <c r="A620" s="4" t="s">
        <v>852</v>
      </c>
      <c r="B620" s="8" t="s">
        <v>56</v>
      </c>
      <c r="C620" t="str">
        <f t="shared" si="58"/>
        <v>ddhub:MassDensityQuantity</v>
      </c>
      <c r="D620">
        <f t="shared" si="59"/>
        <v>0</v>
      </c>
      <c r="E620" t="str">
        <f t="shared" si="60"/>
        <v>ddhub:PoundPerGallonUk</v>
      </c>
      <c r="F620" t="s">
        <v>1982</v>
      </c>
      <c r="G620" t="s">
        <v>31</v>
      </c>
      <c r="H620" t="s">
        <v>1471</v>
      </c>
      <c r="J620" t="str">
        <f t="shared" si="56"/>
        <v>ddhub:MassDensityQuantity</v>
      </c>
      <c r="K620">
        <f t="shared" si="57"/>
        <v>0</v>
      </c>
      <c r="L620" t="str">
        <f t="shared" si="61"/>
        <v>.</v>
      </c>
    </row>
    <row r="621" spans="1:12">
      <c r="A621" s="4" t="s">
        <v>853</v>
      </c>
      <c r="B621" s="8" t="s">
        <v>170</v>
      </c>
      <c r="C621" t="str">
        <f t="shared" si="58"/>
        <v>ddhub:MassDensityGradientPerLengthQuantity</v>
      </c>
      <c r="D621">
        <f t="shared" si="59"/>
        <v>0</v>
      </c>
      <c r="E621" t="str">
        <f t="shared" si="60"/>
        <v>ddhub:PoundPerGallonUkPer100Foot</v>
      </c>
      <c r="F621" t="s">
        <v>1983</v>
      </c>
      <c r="G621" t="s">
        <v>112</v>
      </c>
      <c r="H621" t="s">
        <v>1473</v>
      </c>
      <c r="J621" t="str">
        <f t="shared" si="56"/>
        <v>ddhub:MassDensityGradientPerLengthQuantity</v>
      </c>
      <c r="K621">
        <f t="shared" si="57"/>
        <v>0</v>
      </c>
      <c r="L621" t="str">
        <f t="shared" si="61"/>
        <v>.</v>
      </c>
    </row>
    <row r="622" spans="1:12">
      <c r="A622" s="4" t="s">
        <v>854</v>
      </c>
      <c r="B622" s="8" t="s">
        <v>334</v>
      </c>
      <c r="C622" t="str">
        <f t="shared" si="58"/>
        <v>ddhub:MassDensityGradientPerLengthQuantity</v>
      </c>
      <c r="D622">
        <f t="shared" si="59"/>
        <v>0</v>
      </c>
      <c r="E622" t="str">
        <f t="shared" si="60"/>
        <v>ddhub:PoundPerGallonUkPer30Foot</v>
      </c>
      <c r="F622" t="s">
        <v>1984</v>
      </c>
      <c r="G622" t="s">
        <v>112</v>
      </c>
      <c r="H622" t="s">
        <v>1473</v>
      </c>
      <c r="J622" t="str">
        <f t="shared" si="56"/>
        <v>ddhub:MassDensityGradientPerLengthQuantity</v>
      </c>
      <c r="K622">
        <f t="shared" si="57"/>
        <v>0</v>
      </c>
      <c r="L622" t="str">
        <f t="shared" si="61"/>
        <v>.</v>
      </c>
    </row>
    <row r="623" spans="1:12">
      <c r="A623" s="4" t="s">
        <v>855</v>
      </c>
      <c r="B623" s="8" t="s">
        <v>334</v>
      </c>
      <c r="C623" t="str">
        <f t="shared" si="58"/>
        <v>ddhub:MassDensityGradientPerTemperatureQuantity</v>
      </c>
      <c r="D623">
        <f t="shared" si="59"/>
        <v>0</v>
      </c>
      <c r="E623" t="str">
        <f t="shared" si="60"/>
        <v>ddhub:PoundPerGallonUkPerCelsius</v>
      </c>
      <c r="F623" t="s">
        <v>1985</v>
      </c>
      <c r="G623" t="s">
        <v>115</v>
      </c>
      <c r="H623" t="s">
        <v>1610</v>
      </c>
      <c r="J623" t="str">
        <f t="shared" si="56"/>
        <v>ddhub:MassDensityGradientPerTemperatureQuantity</v>
      </c>
      <c r="K623">
        <f t="shared" si="57"/>
        <v>0</v>
      </c>
      <c r="L623" t="str">
        <f t="shared" si="61"/>
        <v>.</v>
      </c>
    </row>
    <row r="624" spans="1:12">
      <c r="A624" s="4" t="s">
        <v>857</v>
      </c>
      <c r="B624" s="8" t="s">
        <v>334</v>
      </c>
      <c r="C624" t="str">
        <f t="shared" si="58"/>
        <v>ddhub:MassDensityGradientPerTemperatureQuantity</v>
      </c>
      <c r="D624">
        <f t="shared" si="59"/>
        <v>0</v>
      </c>
      <c r="E624" t="str">
        <f t="shared" si="60"/>
        <v>ddhub:PoundPerGallonUkPerFahrenheit</v>
      </c>
      <c r="F624" t="s">
        <v>1986</v>
      </c>
      <c r="G624" t="s">
        <v>115</v>
      </c>
      <c r="H624" t="s">
        <v>1610</v>
      </c>
      <c r="J624" t="str">
        <f t="shared" si="56"/>
        <v>ddhub:MassDensityGradientPerTemperatureQuantity</v>
      </c>
      <c r="K624">
        <f t="shared" si="57"/>
        <v>0</v>
      </c>
      <c r="L624" t="str">
        <f t="shared" si="61"/>
        <v>.</v>
      </c>
    </row>
    <row r="625" spans="1:12">
      <c r="A625" s="4" t="s">
        <v>858</v>
      </c>
      <c r="B625" s="8" t="s">
        <v>170</v>
      </c>
      <c r="C625" t="str">
        <f t="shared" si="58"/>
        <v>ddhub:MassDensityGradientPerLengthQuantity</v>
      </c>
      <c r="D625">
        <f t="shared" si="59"/>
        <v>0</v>
      </c>
      <c r="E625" t="str">
        <f t="shared" si="60"/>
        <v>ddhub:PoundPerGallonUkPerFoot</v>
      </c>
      <c r="F625" t="s">
        <v>1987</v>
      </c>
      <c r="G625" t="s">
        <v>112</v>
      </c>
      <c r="H625" t="s">
        <v>1473</v>
      </c>
      <c r="J625" t="str">
        <f t="shared" si="56"/>
        <v>ddhub:MassDensityGradientPerLengthQuantity</v>
      </c>
      <c r="K625">
        <f t="shared" si="57"/>
        <v>0</v>
      </c>
      <c r="L625" t="str">
        <f t="shared" si="61"/>
        <v>.</v>
      </c>
    </row>
    <row r="626" spans="1:12">
      <c r="A626" s="4" t="s">
        <v>859</v>
      </c>
      <c r="B626" s="8" t="s">
        <v>56</v>
      </c>
      <c r="C626" t="str">
        <f t="shared" si="58"/>
        <v>ddhub:MassRateQuantity</v>
      </c>
      <c r="D626">
        <f t="shared" si="59"/>
        <v>0</v>
      </c>
      <c r="E626" t="str">
        <f t="shared" si="60"/>
        <v>ddhub:PoundPerGallonUkPerHour</v>
      </c>
      <c r="F626" t="s">
        <v>1988</v>
      </c>
      <c r="G626" t="s">
        <v>123</v>
      </c>
      <c r="H626" t="s">
        <v>1615</v>
      </c>
      <c r="J626" t="str">
        <f t="shared" si="56"/>
        <v>ddhub:MassRateQuantity</v>
      </c>
      <c r="K626">
        <f t="shared" si="57"/>
        <v>0</v>
      </c>
      <c r="L626" t="str">
        <f t="shared" si="61"/>
        <v>.</v>
      </c>
    </row>
    <row r="627" spans="1:12">
      <c r="A627" s="4" t="s">
        <v>860</v>
      </c>
      <c r="B627" s="8" t="s">
        <v>334</v>
      </c>
      <c r="C627" t="str">
        <f t="shared" si="58"/>
        <v>ddhub:MassRateQuantity</v>
      </c>
      <c r="D627">
        <f t="shared" si="59"/>
        <v>0</v>
      </c>
      <c r="E627" t="str">
        <f t="shared" si="60"/>
        <v>ddhub:PoundPerGallonUkPerMinute</v>
      </c>
      <c r="F627" t="s">
        <v>1989</v>
      </c>
      <c r="G627" t="s">
        <v>123</v>
      </c>
      <c r="H627" t="s">
        <v>1615</v>
      </c>
      <c r="J627" t="str">
        <f t="shared" si="56"/>
        <v>ddhub:MassRateQuantity</v>
      </c>
      <c r="K627">
        <f t="shared" si="57"/>
        <v>0</v>
      </c>
      <c r="L627" t="str">
        <f t="shared" si="61"/>
        <v>.</v>
      </c>
    </row>
    <row r="628" spans="1:12">
      <c r="A628" s="4" t="s">
        <v>861</v>
      </c>
      <c r="B628" s="8" t="s">
        <v>56</v>
      </c>
      <c r="C628" t="str">
        <f t="shared" si="58"/>
        <v>ddhub:MassRateQuantity</v>
      </c>
      <c r="D628">
        <f t="shared" si="59"/>
        <v>0</v>
      </c>
      <c r="E628" t="str">
        <f t="shared" si="60"/>
        <v>ddhub:PoundPerGallonUkPerSecond</v>
      </c>
      <c r="F628" t="s">
        <v>1990</v>
      </c>
      <c r="G628" t="s">
        <v>123</v>
      </c>
      <c r="H628" t="s">
        <v>1615</v>
      </c>
      <c r="J628" t="str">
        <f t="shared" si="56"/>
        <v>ddhub:MassRateQuantity</v>
      </c>
      <c r="K628">
        <f t="shared" si="57"/>
        <v>0</v>
      </c>
      <c r="L628" t="str">
        <f t="shared" si="61"/>
        <v>.</v>
      </c>
    </row>
    <row r="629" spans="1:12">
      <c r="A629" s="4" t="s">
        <v>862</v>
      </c>
      <c r="B629" s="8" t="s">
        <v>416</v>
      </c>
      <c r="C629" t="str">
        <f t="shared" si="58"/>
        <v>ddhub:MassDensityQuantity</v>
      </c>
      <c r="D629">
        <f t="shared" si="59"/>
        <v>1</v>
      </c>
      <c r="E629" t="str">
        <f t="shared" si="60"/>
        <v>ddhub:PoundPerGallonUs</v>
      </c>
      <c r="F629" t="s">
        <v>1991</v>
      </c>
      <c r="G629" t="s">
        <v>31</v>
      </c>
      <c r="H629" t="s">
        <v>1471</v>
      </c>
      <c r="J629" t="str">
        <f t="shared" ref="J629:J692" si="62">"ddhub:"&amp;G629</f>
        <v>ddhub:MassDensityQuantity</v>
      </c>
      <c r="K629">
        <f t="shared" ref="K629:K692" si="63">IF(B629=J629,1,0)</f>
        <v>1</v>
      </c>
      <c r="L629" t="str">
        <f t="shared" si="61"/>
        <v>.</v>
      </c>
    </row>
    <row r="630" spans="1:12">
      <c r="A630" s="4" t="s">
        <v>863</v>
      </c>
      <c r="B630" s="8" t="s">
        <v>56</v>
      </c>
      <c r="C630" t="str">
        <f t="shared" si="58"/>
        <v>ddhub:MassDensityGradientPerLengthQuantity</v>
      </c>
      <c r="D630">
        <f t="shared" si="59"/>
        <v>0</v>
      </c>
      <c r="E630" t="str">
        <f t="shared" si="60"/>
        <v>ddhub:PoundPerGallonUsPer100Foot</v>
      </c>
      <c r="F630" t="s">
        <v>1992</v>
      </c>
      <c r="G630" t="s">
        <v>112</v>
      </c>
      <c r="H630" t="s">
        <v>1473</v>
      </c>
      <c r="J630" t="str">
        <f t="shared" si="62"/>
        <v>ddhub:MassDensityGradientPerLengthQuantity</v>
      </c>
      <c r="K630">
        <f t="shared" si="63"/>
        <v>0</v>
      </c>
      <c r="L630" t="str">
        <f t="shared" si="61"/>
        <v>.</v>
      </c>
    </row>
    <row r="631" spans="1:12">
      <c r="A631" s="4" t="s">
        <v>864</v>
      </c>
      <c r="B631" s="8" t="s">
        <v>56</v>
      </c>
      <c r="C631" t="str">
        <f t="shared" si="58"/>
        <v>ddhub:MassDensityGradientPerLengthQuantity</v>
      </c>
      <c r="D631">
        <f t="shared" si="59"/>
        <v>0</v>
      </c>
      <c r="E631" t="str">
        <f t="shared" si="60"/>
        <v>ddhub:PoundPerGallonUsPer30Foot</v>
      </c>
      <c r="F631" t="s">
        <v>1993</v>
      </c>
      <c r="G631" t="s">
        <v>112</v>
      </c>
      <c r="H631" t="s">
        <v>1473</v>
      </c>
      <c r="J631" t="str">
        <f t="shared" si="62"/>
        <v>ddhub:MassDensityGradientPerLengthQuantity</v>
      </c>
      <c r="K631">
        <f t="shared" si="63"/>
        <v>0</v>
      </c>
      <c r="L631" t="str">
        <f t="shared" si="61"/>
        <v>.</v>
      </c>
    </row>
    <row r="632" spans="1:12">
      <c r="A632" s="4" t="s">
        <v>865</v>
      </c>
      <c r="B632" s="8" t="s">
        <v>84</v>
      </c>
      <c r="C632" t="str">
        <f t="shared" si="58"/>
        <v>ddhub:MassDensityGradientPerTemperatureQuantity</v>
      </c>
      <c r="D632">
        <f t="shared" si="59"/>
        <v>0</v>
      </c>
      <c r="E632" t="str">
        <f t="shared" si="60"/>
        <v>ddhub:PoundPerGallonUsPerCelsius</v>
      </c>
      <c r="F632" t="s">
        <v>1994</v>
      </c>
      <c r="G632" t="s">
        <v>115</v>
      </c>
      <c r="H632" t="s">
        <v>1610</v>
      </c>
      <c r="J632" t="str">
        <f t="shared" si="62"/>
        <v>ddhub:MassDensityGradientPerTemperatureQuantity</v>
      </c>
      <c r="K632">
        <f t="shared" si="63"/>
        <v>0</v>
      </c>
      <c r="L632" t="str">
        <f t="shared" si="61"/>
        <v>.</v>
      </c>
    </row>
    <row r="633" spans="1:12">
      <c r="A633" s="4" t="s">
        <v>866</v>
      </c>
      <c r="B633" s="8" t="s">
        <v>84</v>
      </c>
      <c r="C633" t="str">
        <f t="shared" si="58"/>
        <v>ddhub:MassDensityGradientPerTemperatureQuantity</v>
      </c>
      <c r="D633">
        <f t="shared" si="59"/>
        <v>0</v>
      </c>
      <c r="E633" t="str">
        <f t="shared" si="60"/>
        <v>ddhub:PoundPerGallonUsPerFahrenheit</v>
      </c>
      <c r="F633" t="s">
        <v>1995</v>
      </c>
      <c r="G633" t="s">
        <v>115</v>
      </c>
      <c r="H633" t="s">
        <v>1610</v>
      </c>
      <c r="J633" t="str">
        <f t="shared" si="62"/>
        <v>ddhub:MassDensityGradientPerTemperatureQuantity</v>
      </c>
      <c r="K633">
        <f t="shared" si="63"/>
        <v>0</v>
      </c>
      <c r="L633" t="str">
        <f t="shared" si="61"/>
        <v>.</v>
      </c>
    </row>
    <row r="634" spans="1:12">
      <c r="A634" s="4" t="s">
        <v>867</v>
      </c>
      <c r="B634" s="8" t="s">
        <v>170</v>
      </c>
      <c r="C634" t="str">
        <f t="shared" si="58"/>
        <v>ddhub:MassDensityGradientPerLengthQuantity</v>
      </c>
      <c r="D634">
        <f t="shared" si="59"/>
        <v>0</v>
      </c>
      <c r="E634" t="str">
        <f t="shared" si="60"/>
        <v>ddhub:PoundPerGallonUsPerFoot</v>
      </c>
      <c r="F634" t="s">
        <v>1996</v>
      </c>
      <c r="G634" t="s">
        <v>112</v>
      </c>
      <c r="H634" t="s">
        <v>1473</v>
      </c>
      <c r="J634" t="str">
        <f t="shared" si="62"/>
        <v>ddhub:MassDensityGradientPerLengthQuantity</v>
      </c>
      <c r="K634">
        <f t="shared" si="63"/>
        <v>0</v>
      </c>
      <c r="L634" t="str">
        <f t="shared" si="61"/>
        <v>.</v>
      </c>
    </row>
    <row r="635" spans="1:12">
      <c r="A635" s="4" t="s">
        <v>868</v>
      </c>
      <c r="B635" s="8" t="s">
        <v>56</v>
      </c>
      <c r="C635" t="str">
        <f t="shared" si="58"/>
        <v>ddhub:MassRateQuantity</v>
      </c>
      <c r="D635">
        <f t="shared" si="59"/>
        <v>0</v>
      </c>
      <c r="E635" t="str">
        <f t="shared" si="60"/>
        <v>ddhub:PoundPerGallonUsPerHour</v>
      </c>
      <c r="F635" t="s">
        <v>1997</v>
      </c>
      <c r="G635" t="s">
        <v>123</v>
      </c>
      <c r="H635" t="s">
        <v>1615</v>
      </c>
      <c r="J635" t="str">
        <f t="shared" si="62"/>
        <v>ddhub:MassRateQuantity</v>
      </c>
      <c r="K635">
        <f t="shared" si="63"/>
        <v>0</v>
      </c>
      <c r="L635" t="str">
        <f t="shared" si="61"/>
        <v>.</v>
      </c>
    </row>
    <row r="636" spans="1:12">
      <c r="A636" s="4" t="s">
        <v>869</v>
      </c>
      <c r="B636" s="8" t="s">
        <v>334</v>
      </c>
      <c r="C636" t="str">
        <f t="shared" si="58"/>
        <v>ddhub:MassRateQuantity</v>
      </c>
      <c r="D636">
        <f t="shared" si="59"/>
        <v>0</v>
      </c>
      <c r="E636" t="str">
        <f t="shared" si="60"/>
        <v>ddhub:PoundPerGallonUsPerMinute</v>
      </c>
      <c r="F636" t="s">
        <v>1998</v>
      </c>
      <c r="G636" t="s">
        <v>123</v>
      </c>
      <c r="H636" t="s">
        <v>1615</v>
      </c>
      <c r="J636" t="str">
        <f t="shared" si="62"/>
        <v>ddhub:MassRateQuantity</v>
      </c>
      <c r="K636">
        <f t="shared" si="63"/>
        <v>0</v>
      </c>
      <c r="L636" t="str">
        <f t="shared" si="61"/>
        <v>.</v>
      </c>
    </row>
    <row r="637" spans="1:12">
      <c r="A637" s="4" t="s">
        <v>870</v>
      </c>
      <c r="B637" s="8" t="s">
        <v>56</v>
      </c>
      <c r="C637" t="str">
        <f t="shared" si="58"/>
        <v>ddhub:MassRateQuantity</v>
      </c>
      <c r="D637">
        <f t="shared" si="59"/>
        <v>0</v>
      </c>
      <c r="E637" t="str">
        <f t="shared" si="60"/>
        <v>ddhub:PoundPerGallonUsPerSecond</v>
      </c>
      <c r="F637" t="s">
        <v>1999</v>
      </c>
      <c r="G637" t="s">
        <v>123</v>
      </c>
      <c r="H637" t="s">
        <v>1615</v>
      </c>
      <c r="J637" t="str">
        <f t="shared" si="62"/>
        <v>ddhub:MassRateQuantity</v>
      </c>
      <c r="K637">
        <f t="shared" si="63"/>
        <v>0</v>
      </c>
      <c r="L637" t="str">
        <f t="shared" si="61"/>
        <v>.</v>
      </c>
    </row>
    <row r="638" spans="1:12">
      <c r="A638" s="4" t="s">
        <v>871</v>
      </c>
      <c r="B638" s="8" t="s">
        <v>334</v>
      </c>
      <c r="C638" t="str">
        <f t="shared" si="58"/>
        <v>ddhub:MassRateQuantity</v>
      </c>
      <c r="D638">
        <f t="shared" si="59"/>
        <v>0</v>
      </c>
      <c r="E638" t="str">
        <f t="shared" si="60"/>
        <v>ddhub:PoundPerHour</v>
      </c>
      <c r="F638" t="s">
        <v>2000</v>
      </c>
      <c r="G638" t="s">
        <v>123</v>
      </c>
      <c r="H638" t="s">
        <v>1615</v>
      </c>
      <c r="J638" t="str">
        <f t="shared" si="62"/>
        <v>ddhub:MassRateQuantity</v>
      </c>
      <c r="K638">
        <f t="shared" si="63"/>
        <v>0</v>
      </c>
      <c r="L638" t="str">
        <f t="shared" si="61"/>
        <v>.</v>
      </c>
    </row>
    <row r="639" spans="1:12">
      <c r="A639" s="4" t="s">
        <v>872</v>
      </c>
      <c r="B639" s="8" t="s">
        <v>1275</v>
      </c>
      <c r="C639" t="str">
        <f t="shared" si="58"/>
        <v>ddhub:MassGradientPerLengthQuantity</v>
      </c>
      <c r="D639">
        <f t="shared" si="59"/>
        <v>0</v>
      </c>
      <c r="E639" t="str">
        <f t="shared" si="60"/>
        <v>ddhub:PoundPerInch</v>
      </c>
      <c r="F639" t="s">
        <v>2001</v>
      </c>
      <c r="G639" t="s">
        <v>120</v>
      </c>
      <c r="H639" t="s">
        <v>1485</v>
      </c>
      <c r="J639" t="str">
        <f t="shared" si="62"/>
        <v>ddhub:MassGradientPerLengthQuantity</v>
      </c>
      <c r="K639">
        <f t="shared" si="63"/>
        <v>0</v>
      </c>
      <c r="L639" t="str">
        <f t="shared" si="61"/>
        <v>.</v>
      </c>
    </row>
    <row r="640" spans="1:12">
      <c r="A640" s="4" t="s">
        <v>873</v>
      </c>
      <c r="B640" s="8" t="s">
        <v>334</v>
      </c>
      <c r="C640" t="str">
        <f t="shared" si="58"/>
        <v>ddhub:MassRateQuantity</v>
      </c>
      <c r="D640">
        <f t="shared" si="59"/>
        <v>0</v>
      </c>
      <c r="E640" t="str">
        <f t="shared" si="60"/>
        <v>ddhub:PoundPerMinute</v>
      </c>
      <c r="F640" t="s">
        <v>2002</v>
      </c>
      <c r="G640" t="s">
        <v>123</v>
      </c>
      <c r="H640" t="s">
        <v>1615</v>
      </c>
      <c r="J640" t="str">
        <f t="shared" si="62"/>
        <v>ddhub:MassRateQuantity</v>
      </c>
      <c r="K640">
        <f t="shared" si="63"/>
        <v>0</v>
      </c>
      <c r="L640" t="str">
        <f t="shared" si="61"/>
        <v>.</v>
      </c>
    </row>
    <row r="641" spans="1:12">
      <c r="A641" s="4" t="s">
        <v>874</v>
      </c>
      <c r="B641" s="8" t="s">
        <v>334</v>
      </c>
      <c r="C641" t="str">
        <f t="shared" si="58"/>
        <v>ddhub:MassRateQuantity</v>
      </c>
      <c r="D641">
        <f t="shared" si="59"/>
        <v>0</v>
      </c>
      <c r="E641" t="str">
        <f t="shared" si="60"/>
        <v>ddhub:PoundPerSecond</v>
      </c>
      <c r="F641" t="s">
        <v>2003</v>
      </c>
      <c r="G641" t="s">
        <v>123</v>
      </c>
      <c r="H641" t="s">
        <v>1615</v>
      </c>
      <c r="J641" t="str">
        <f t="shared" si="62"/>
        <v>ddhub:MassRateQuantity</v>
      </c>
      <c r="K641">
        <f t="shared" si="63"/>
        <v>0</v>
      </c>
      <c r="L641" t="str">
        <f t="shared" si="61"/>
        <v>.</v>
      </c>
    </row>
    <row r="642" spans="1:12">
      <c r="A642" s="4" t="s">
        <v>875</v>
      </c>
      <c r="B642" s="8" t="s">
        <v>176</v>
      </c>
      <c r="C642" t="str">
        <f t="shared" si="58"/>
        <v>zzz:TBD</v>
      </c>
      <c r="D642">
        <f t="shared" si="59"/>
        <v>0</v>
      </c>
      <c r="E642" t="str">
        <f t="shared" si="60"/>
        <v>ddhub:PoundPerSecondSquared</v>
      </c>
      <c r="F642" t="s">
        <v>2004</v>
      </c>
      <c r="G642" t="s">
        <v>1153</v>
      </c>
      <c r="H642" t="s">
        <v>2005</v>
      </c>
      <c r="J642" s="8" t="s">
        <v>334</v>
      </c>
      <c r="K642">
        <f t="shared" si="63"/>
        <v>0</v>
      </c>
      <c r="L642" t="str">
        <f t="shared" si="61"/>
        <v>.</v>
      </c>
    </row>
    <row r="643" spans="1:12">
      <c r="A643" s="4" t="s">
        <v>876</v>
      </c>
      <c r="B643" s="8" t="s">
        <v>170</v>
      </c>
      <c r="C643" t="str">
        <f t="shared" ref="C643:C706" si="64">VLOOKUP(A643,E$2:J$838,6)</f>
        <v>ddhub:PressureQuantity</v>
      </c>
      <c r="D643">
        <f t="shared" ref="D643:D706" si="65">IF(B643=C643,1,0)</f>
        <v>1</v>
      </c>
      <c r="E643" t="str">
        <f t="shared" ref="E643:E706" si="66">"ddhub:"&amp;F643</f>
        <v>ddhub:PoundPerSquareFoot</v>
      </c>
      <c r="F643" t="s">
        <v>2006</v>
      </c>
      <c r="G643" t="s">
        <v>43</v>
      </c>
      <c r="H643" t="s">
        <v>1665</v>
      </c>
      <c r="J643" t="str">
        <f t="shared" si="62"/>
        <v>ddhub:PressureQuantity</v>
      </c>
      <c r="K643">
        <f t="shared" si="63"/>
        <v>1</v>
      </c>
      <c r="L643" t="str">
        <f t="shared" ref="L643:L706" si="67">IF(D643=K643,".","?")</f>
        <v>.</v>
      </c>
    </row>
    <row r="644" spans="1:12">
      <c r="A644" s="4" t="s">
        <v>877</v>
      </c>
      <c r="B644" s="8" t="s">
        <v>170</v>
      </c>
      <c r="C644" t="str">
        <f t="shared" si="64"/>
        <v>ddhub:PressureQuantity</v>
      </c>
      <c r="D644">
        <f t="shared" si="65"/>
        <v>1</v>
      </c>
      <c r="E644" t="str">
        <f t="shared" si="66"/>
        <v>ddhub:PoundPerSquareInch</v>
      </c>
      <c r="F644" t="s">
        <v>2007</v>
      </c>
      <c r="G644" t="s">
        <v>43</v>
      </c>
      <c r="H644" t="s">
        <v>1665</v>
      </c>
      <c r="J644" t="str">
        <f t="shared" si="62"/>
        <v>ddhub:PressureQuantity</v>
      </c>
      <c r="K644">
        <f t="shared" si="63"/>
        <v>1</v>
      </c>
      <c r="L644" t="str">
        <f t="shared" si="67"/>
        <v>.</v>
      </c>
    </row>
    <row r="645" spans="1:12">
      <c r="A645" s="4" t="s">
        <v>878</v>
      </c>
      <c r="B645" s="8" t="s">
        <v>334</v>
      </c>
      <c r="C645" t="str">
        <f t="shared" si="64"/>
        <v>ddhub:MassRateQuantity</v>
      </c>
      <c r="D645">
        <f t="shared" si="65"/>
        <v>0</v>
      </c>
      <c r="E645" t="str">
        <f t="shared" si="66"/>
        <v>ddhub:PoundPerYear</v>
      </c>
      <c r="F645" t="s">
        <v>2008</v>
      </c>
      <c r="G645" t="s">
        <v>123</v>
      </c>
      <c r="H645" t="s">
        <v>2009</v>
      </c>
      <c r="J645" t="str">
        <f t="shared" si="62"/>
        <v>ddhub:MassRateQuantity</v>
      </c>
      <c r="K645">
        <f t="shared" si="63"/>
        <v>0</v>
      </c>
      <c r="L645" t="str">
        <f t="shared" si="67"/>
        <v>.</v>
      </c>
    </row>
    <row r="646" spans="1:12">
      <c r="A646" s="4" t="s">
        <v>879</v>
      </c>
      <c r="B646" s="8" t="s">
        <v>334</v>
      </c>
      <c r="C646" t="str">
        <f t="shared" si="64"/>
        <v>zzz:TBD</v>
      </c>
      <c r="D646">
        <f t="shared" si="65"/>
        <v>1</v>
      </c>
      <c r="E646" t="str">
        <f t="shared" si="66"/>
        <v>ddhub:PoundSecondPer100SquareFoot</v>
      </c>
      <c r="F646" t="s">
        <v>2010</v>
      </c>
      <c r="G646" t="s">
        <v>1153</v>
      </c>
      <c r="H646" t="s">
        <v>2011</v>
      </c>
      <c r="J646" s="8" t="s">
        <v>334</v>
      </c>
      <c r="K646">
        <f t="shared" si="63"/>
        <v>1</v>
      </c>
      <c r="L646" t="str">
        <f t="shared" si="67"/>
        <v>.</v>
      </c>
    </row>
    <row r="647" spans="1:12">
      <c r="A647" s="4" t="s">
        <v>880</v>
      </c>
      <c r="B647" s="8" t="s">
        <v>334</v>
      </c>
      <c r="C647" t="str">
        <f t="shared" si="64"/>
        <v>zzz:TBD</v>
      </c>
      <c r="D647">
        <f t="shared" si="65"/>
        <v>1</v>
      </c>
      <c r="E647" t="str">
        <f t="shared" si="66"/>
        <v>ddhub:PoundSecondPerSquareFoot</v>
      </c>
      <c r="F647" t="s">
        <v>2012</v>
      </c>
      <c r="G647" t="s">
        <v>1153</v>
      </c>
      <c r="H647" t="s">
        <v>2011</v>
      </c>
      <c r="J647" s="8" t="s">
        <v>334</v>
      </c>
      <c r="K647">
        <f t="shared" si="63"/>
        <v>1</v>
      </c>
      <c r="L647" t="str">
        <f t="shared" si="67"/>
        <v>.</v>
      </c>
    </row>
    <row r="648" spans="1:12">
      <c r="A648" s="4" t="s">
        <v>882</v>
      </c>
      <c r="B648" s="8" t="s">
        <v>195</v>
      </c>
      <c r="C648" t="str">
        <f t="shared" si="64"/>
        <v>zzz:TBD</v>
      </c>
      <c r="D648">
        <f t="shared" si="65"/>
        <v>0</v>
      </c>
      <c r="E648" t="str">
        <f t="shared" si="66"/>
        <v>ddhub:PoundSecondPerSquareInch</v>
      </c>
      <c r="F648" t="s">
        <v>2013</v>
      </c>
      <c r="G648" t="s">
        <v>1153</v>
      </c>
      <c r="H648" t="s">
        <v>2011</v>
      </c>
      <c r="J648" s="8" t="s">
        <v>334</v>
      </c>
      <c r="K648">
        <f t="shared" si="63"/>
        <v>0</v>
      </c>
      <c r="L648" t="str">
        <f t="shared" si="67"/>
        <v>.</v>
      </c>
    </row>
    <row r="649" spans="1:12">
      <c r="A649" s="4" t="s">
        <v>883</v>
      </c>
      <c r="B649" s="8" t="s">
        <v>170</v>
      </c>
      <c r="C649" t="str">
        <f t="shared" si="64"/>
        <v>ddhub:PressureLossConstantQuantity</v>
      </c>
      <c r="D649">
        <f t="shared" si="65"/>
        <v>0</v>
      </c>
      <c r="E649" t="str">
        <f t="shared" si="66"/>
        <v>ddhub:PressureLossConstantMetric</v>
      </c>
      <c r="F649" t="s">
        <v>2014</v>
      </c>
      <c r="G649" t="s">
        <v>133</v>
      </c>
      <c r="H649" t="s">
        <v>2015</v>
      </c>
      <c r="J649" t="str">
        <f t="shared" si="62"/>
        <v>ddhub:PressureLossConstantQuantity</v>
      </c>
      <c r="K649">
        <f t="shared" si="63"/>
        <v>0</v>
      </c>
      <c r="L649" t="str">
        <f t="shared" si="67"/>
        <v>.</v>
      </c>
    </row>
    <row r="650" spans="1:12">
      <c r="A650" s="4" t="s">
        <v>885</v>
      </c>
      <c r="B650" s="8" t="s">
        <v>170</v>
      </c>
      <c r="C650" t="str">
        <f t="shared" si="64"/>
        <v>ddhub:PressureLossConstantQuantity</v>
      </c>
      <c r="D650">
        <f t="shared" si="65"/>
        <v>0</v>
      </c>
      <c r="E650" t="str">
        <f t="shared" si="66"/>
        <v>ddhub:PressureLossConstantSi</v>
      </c>
      <c r="F650" t="s">
        <v>2016</v>
      </c>
      <c r="G650" t="s">
        <v>133</v>
      </c>
      <c r="H650" t="s">
        <v>2017</v>
      </c>
      <c r="J650" t="str">
        <f t="shared" si="62"/>
        <v>ddhub:PressureLossConstantQuantity</v>
      </c>
      <c r="K650">
        <f t="shared" si="63"/>
        <v>0</v>
      </c>
      <c r="L650" t="str">
        <f t="shared" si="67"/>
        <v>.</v>
      </c>
    </row>
    <row r="651" spans="1:12">
      <c r="A651" s="4" t="s">
        <v>886</v>
      </c>
      <c r="B651" s="8" t="s">
        <v>170</v>
      </c>
      <c r="C651" t="str">
        <f t="shared" si="64"/>
        <v>ddhub:PressureLossConstantQuantity</v>
      </c>
      <c r="D651">
        <f t="shared" si="65"/>
        <v>0</v>
      </c>
      <c r="E651" t="str">
        <f t="shared" si="66"/>
        <v>ddhub:PressureLossConstantUk</v>
      </c>
      <c r="F651" t="s">
        <v>2018</v>
      </c>
      <c r="G651" t="s">
        <v>133</v>
      </c>
      <c r="H651" t="s">
        <v>2019</v>
      </c>
      <c r="J651" t="str">
        <f t="shared" si="62"/>
        <v>ddhub:PressureLossConstantQuantity</v>
      </c>
      <c r="K651">
        <f t="shared" si="63"/>
        <v>0</v>
      </c>
      <c r="L651" t="str">
        <f t="shared" si="67"/>
        <v>.</v>
      </c>
    </row>
    <row r="652" spans="1:12">
      <c r="A652" s="4" t="s">
        <v>887</v>
      </c>
      <c r="B652" s="8" t="s">
        <v>170</v>
      </c>
      <c r="C652" t="str">
        <f t="shared" si="64"/>
        <v>ddhub:PressureLossConstantQuantity</v>
      </c>
      <c r="D652">
        <f t="shared" si="65"/>
        <v>0</v>
      </c>
      <c r="E652" t="str">
        <f t="shared" si="66"/>
        <v>ddhub:PressureLossConstantUs</v>
      </c>
      <c r="F652" t="s">
        <v>2020</v>
      </c>
      <c r="G652" t="s">
        <v>133</v>
      </c>
      <c r="H652" t="s">
        <v>2021</v>
      </c>
      <c r="J652" t="str">
        <f t="shared" si="62"/>
        <v>ddhub:PressureLossConstantQuantity</v>
      </c>
      <c r="K652">
        <f t="shared" si="63"/>
        <v>0</v>
      </c>
      <c r="L652" t="str">
        <f t="shared" si="67"/>
        <v>.</v>
      </c>
    </row>
    <row r="653" spans="1:12">
      <c r="A653" s="4" t="s">
        <v>888</v>
      </c>
      <c r="B653" s="8" t="s">
        <v>332</v>
      </c>
      <c r="C653" t="str">
        <f t="shared" si="64"/>
        <v>ddhub:ProportionQuantity</v>
      </c>
      <c r="D653">
        <f t="shared" si="65"/>
        <v>0</v>
      </c>
      <c r="E653" t="str">
        <f t="shared" si="66"/>
        <v>ddhub:Proportion</v>
      </c>
      <c r="F653" t="s">
        <v>2022</v>
      </c>
      <c r="G653" t="s">
        <v>136</v>
      </c>
      <c r="H653" t="s">
        <v>2023</v>
      </c>
      <c r="J653" t="str">
        <f t="shared" si="62"/>
        <v>ddhub:ProportionQuantity</v>
      </c>
      <c r="K653">
        <f t="shared" si="63"/>
        <v>0</v>
      </c>
      <c r="L653" t="str">
        <f t="shared" si="67"/>
        <v>.</v>
      </c>
    </row>
    <row r="654" spans="1:12">
      <c r="A654" s="4" t="s">
        <v>889</v>
      </c>
      <c r="B654" s="8" t="s">
        <v>170</v>
      </c>
      <c r="C654" t="str">
        <f t="shared" si="64"/>
        <v>ddhub:PressureQuantity</v>
      </c>
      <c r="D654">
        <f t="shared" si="65"/>
        <v>1</v>
      </c>
      <c r="E654" t="str">
        <f t="shared" si="66"/>
        <v>ddhub:Psi</v>
      </c>
      <c r="F654" t="s">
        <v>891</v>
      </c>
      <c r="G654" t="s">
        <v>43</v>
      </c>
      <c r="H654" t="s">
        <v>2024</v>
      </c>
      <c r="J654" t="str">
        <f t="shared" si="62"/>
        <v>ddhub:PressureQuantity</v>
      </c>
      <c r="K654">
        <f t="shared" si="63"/>
        <v>1</v>
      </c>
      <c r="L654" t="str">
        <f t="shared" si="67"/>
        <v>.</v>
      </c>
    </row>
    <row r="655" spans="1:12">
      <c r="A655" s="4" t="s">
        <v>892</v>
      </c>
      <c r="B655" s="8" t="s">
        <v>334</v>
      </c>
      <c r="C655" t="str">
        <f t="shared" si="64"/>
        <v>ddhub:PressureGradientPerLengthQuantity</v>
      </c>
      <c r="D655">
        <f t="shared" si="65"/>
        <v>0</v>
      </c>
      <c r="E655" t="str">
        <f t="shared" si="66"/>
        <v>ddhub:PsiPerFoot</v>
      </c>
      <c r="F655" t="s">
        <v>2025</v>
      </c>
      <c r="G655" t="s">
        <v>47</v>
      </c>
      <c r="H655" t="s">
        <v>1932</v>
      </c>
      <c r="J655" t="str">
        <f t="shared" si="62"/>
        <v>ddhub:PressureGradientPerLengthQuantity</v>
      </c>
      <c r="K655">
        <f t="shared" si="63"/>
        <v>0</v>
      </c>
      <c r="L655" t="str">
        <f t="shared" si="67"/>
        <v>.</v>
      </c>
    </row>
    <row r="656" spans="1:12">
      <c r="A656" s="4" t="s">
        <v>893</v>
      </c>
      <c r="B656" s="8" t="s">
        <v>334</v>
      </c>
      <c r="C656" t="str">
        <f t="shared" si="64"/>
        <v>ddhub:PressureGradientPerLengthQuantity</v>
      </c>
      <c r="D656">
        <f t="shared" si="65"/>
        <v>0</v>
      </c>
      <c r="E656" t="str">
        <f t="shared" si="66"/>
        <v>ddhub:PsiPerMetre</v>
      </c>
      <c r="F656" t="s">
        <v>2026</v>
      </c>
      <c r="G656" t="s">
        <v>47</v>
      </c>
      <c r="H656" t="s">
        <v>1932</v>
      </c>
      <c r="J656" t="str">
        <f t="shared" si="62"/>
        <v>ddhub:PressureGradientPerLengthQuantity</v>
      </c>
      <c r="K656">
        <f t="shared" si="63"/>
        <v>0</v>
      </c>
      <c r="L656" t="str">
        <f t="shared" si="67"/>
        <v>.</v>
      </c>
    </row>
    <row r="657" spans="1:12">
      <c r="A657" s="4" t="s">
        <v>894</v>
      </c>
      <c r="B657" s="8" t="s">
        <v>334</v>
      </c>
      <c r="C657" t="str">
        <f t="shared" si="64"/>
        <v>ddhub:PlaneAngleQuantity</v>
      </c>
      <c r="D657">
        <f t="shared" si="65"/>
        <v>0</v>
      </c>
      <c r="E657" t="str">
        <f t="shared" si="66"/>
        <v>ddhub:Quadrant</v>
      </c>
      <c r="F657" t="s">
        <v>2027</v>
      </c>
      <c r="G657" t="s">
        <v>26</v>
      </c>
      <c r="H657" t="s">
        <v>2028</v>
      </c>
      <c r="J657" t="str">
        <f t="shared" si="62"/>
        <v>ddhub:PlaneAngleQuantity</v>
      </c>
      <c r="K657">
        <f t="shared" si="63"/>
        <v>0</v>
      </c>
      <c r="L657" t="str">
        <f t="shared" si="67"/>
        <v>.</v>
      </c>
    </row>
    <row r="658" spans="1:12">
      <c r="A658" s="4" t="s">
        <v>895</v>
      </c>
      <c r="B658" s="8" t="s">
        <v>334</v>
      </c>
      <c r="C658" t="str">
        <f t="shared" si="64"/>
        <v>ddhub:TimeQuantity</v>
      </c>
      <c r="D658">
        <f t="shared" si="65"/>
        <v>0</v>
      </c>
      <c r="E658" t="str">
        <f t="shared" si="66"/>
        <v>ddhub:QuarterCommon</v>
      </c>
      <c r="F658" t="s">
        <v>2029</v>
      </c>
      <c r="G658" t="s">
        <v>162</v>
      </c>
      <c r="H658" t="s">
        <v>2030</v>
      </c>
      <c r="J658" t="str">
        <f t="shared" si="62"/>
        <v>ddhub:TimeQuantity</v>
      </c>
      <c r="K658">
        <f t="shared" si="63"/>
        <v>0</v>
      </c>
      <c r="L658" t="str">
        <f t="shared" si="67"/>
        <v>.</v>
      </c>
    </row>
    <row r="659" spans="1:12">
      <c r="A659" s="4" t="s">
        <v>896</v>
      </c>
      <c r="B659" s="8" t="s">
        <v>25</v>
      </c>
      <c r="C659" t="str">
        <f t="shared" si="64"/>
        <v>ddhub:PlaneAngleQuantity</v>
      </c>
      <c r="D659">
        <f t="shared" si="65"/>
        <v>1</v>
      </c>
      <c r="E659" t="str">
        <f t="shared" si="66"/>
        <v>ddhub:Radian</v>
      </c>
      <c r="F659" t="s">
        <v>2031</v>
      </c>
      <c r="G659" t="s">
        <v>26</v>
      </c>
      <c r="H659" t="s">
        <v>2032</v>
      </c>
      <c r="J659" t="str">
        <f t="shared" si="62"/>
        <v>ddhub:PlaneAngleQuantity</v>
      </c>
      <c r="K659">
        <f t="shared" si="63"/>
        <v>1</v>
      </c>
      <c r="L659" t="str">
        <f t="shared" si="67"/>
        <v>.</v>
      </c>
    </row>
    <row r="660" spans="1:12">
      <c r="A660" s="4" t="s">
        <v>898</v>
      </c>
      <c r="B660" s="8" t="s">
        <v>379</v>
      </c>
      <c r="C660" t="str">
        <f t="shared" si="64"/>
        <v>ddhub:MagneticFluxDensityQuantity</v>
      </c>
      <c r="D660">
        <f t="shared" si="65"/>
        <v>1</v>
      </c>
      <c r="E660" t="str">
        <f t="shared" si="66"/>
        <v>ddhub:RadianGauss</v>
      </c>
      <c r="F660" t="s">
        <v>2033</v>
      </c>
      <c r="G660" t="s">
        <v>107</v>
      </c>
      <c r="H660" t="s">
        <v>2034</v>
      </c>
      <c r="J660" t="str">
        <f t="shared" si="62"/>
        <v>ddhub:MagneticFluxDensityQuantity</v>
      </c>
      <c r="K660">
        <f t="shared" si="63"/>
        <v>1</v>
      </c>
      <c r="L660" t="str">
        <f t="shared" si="67"/>
        <v>.</v>
      </c>
    </row>
    <row r="661" spans="1:12">
      <c r="A661" s="4" t="s">
        <v>899</v>
      </c>
      <c r="B661" s="8" t="s">
        <v>379</v>
      </c>
      <c r="C661" t="str">
        <f t="shared" si="64"/>
        <v>ddhub:MagneticFluxDensityQuantity</v>
      </c>
      <c r="D661">
        <f t="shared" si="65"/>
        <v>1</v>
      </c>
      <c r="E661" t="str">
        <f t="shared" si="66"/>
        <v>ddhub:RadianMaxwellPerSquareCentimetre</v>
      </c>
      <c r="F661" t="s">
        <v>2035</v>
      </c>
      <c r="G661" t="s">
        <v>107</v>
      </c>
      <c r="H661" t="s">
        <v>1706</v>
      </c>
      <c r="J661" t="str">
        <f t="shared" si="62"/>
        <v>ddhub:MagneticFluxDensityQuantity</v>
      </c>
      <c r="K661">
        <f t="shared" si="63"/>
        <v>1</v>
      </c>
      <c r="L661" t="str">
        <f t="shared" si="67"/>
        <v>.</v>
      </c>
    </row>
    <row r="662" spans="1:12">
      <c r="A662" s="4" t="s">
        <v>900</v>
      </c>
      <c r="B662" s="8" t="s">
        <v>379</v>
      </c>
      <c r="C662" t="str">
        <f t="shared" si="64"/>
        <v>ddhub:MagneticFluxDensityQuantity</v>
      </c>
      <c r="D662">
        <f t="shared" si="65"/>
        <v>1</v>
      </c>
      <c r="E662" t="str">
        <f t="shared" si="66"/>
        <v>ddhub:RadianMicrotesla</v>
      </c>
      <c r="F662" t="s">
        <v>2036</v>
      </c>
      <c r="G662" t="s">
        <v>107</v>
      </c>
      <c r="H662" t="s">
        <v>2037</v>
      </c>
      <c r="J662" t="str">
        <f t="shared" si="62"/>
        <v>ddhub:MagneticFluxDensityQuantity</v>
      </c>
      <c r="K662">
        <f t="shared" si="63"/>
        <v>1</v>
      </c>
      <c r="L662" t="str">
        <f t="shared" si="67"/>
        <v>.</v>
      </c>
    </row>
    <row r="663" spans="1:12">
      <c r="A663" s="4" t="s">
        <v>901</v>
      </c>
      <c r="B663" s="8" t="s">
        <v>334</v>
      </c>
      <c r="C663" t="str">
        <f t="shared" si="64"/>
        <v>ddhub:MagneticFluxDensityQuantity</v>
      </c>
      <c r="D663">
        <f t="shared" si="65"/>
        <v>0</v>
      </c>
      <c r="E663" t="str">
        <f t="shared" si="66"/>
        <v>ddhub:RadianMilligauss</v>
      </c>
      <c r="F663" t="s">
        <v>2038</v>
      </c>
      <c r="G663" t="s">
        <v>107</v>
      </c>
      <c r="H663" t="s">
        <v>2039</v>
      </c>
      <c r="J663" t="str">
        <f t="shared" si="62"/>
        <v>ddhub:MagneticFluxDensityQuantity</v>
      </c>
      <c r="K663">
        <f t="shared" si="63"/>
        <v>0</v>
      </c>
      <c r="L663" t="str">
        <f t="shared" si="67"/>
        <v>.</v>
      </c>
    </row>
    <row r="664" spans="1:12">
      <c r="A664" s="4" t="s">
        <v>902</v>
      </c>
      <c r="B664" s="8" t="s">
        <v>334</v>
      </c>
      <c r="C664" t="str">
        <f t="shared" si="64"/>
        <v>ddhub:MagneticFluxDensityQuantity</v>
      </c>
      <c r="D664">
        <f t="shared" si="65"/>
        <v>0</v>
      </c>
      <c r="E664" t="str">
        <f t="shared" si="66"/>
        <v>ddhub:RadianMillitesla</v>
      </c>
      <c r="F664" t="s">
        <v>2040</v>
      </c>
      <c r="G664" t="s">
        <v>107</v>
      </c>
      <c r="H664" t="s">
        <v>2041</v>
      </c>
      <c r="J664" t="str">
        <f t="shared" si="62"/>
        <v>ddhub:MagneticFluxDensityQuantity</v>
      </c>
      <c r="K664">
        <f t="shared" si="63"/>
        <v>0</v>
      </c>
      <c r="L664" t="str">
        <f t="shared" si="67"/>
        <v>.</v>
      </c>
    </row>
    <row r="665" spans="1:12">
      <c r="A665" s="4" t="s">
        <v>903</v>
      </c>
      <c r="B665" s="8" t="s">
        <v>379</v>
      </c>
      <c r="C665" t="str">
        <f t="shared" si="64"/>
        <v>ddhub:MagneticFluxDensityQuantity</v>
      </c>
      <c r="D665">
        <f t="shared" si="65"/>
        <v>1</v>
      </c>
      <c r="E665" t="str">
        <f t="shared" si="66"/>
        <v>ddhub:RadianNanotesla</v>
      </c>
      <c r="F665" t="s">
        <v>2042</v>
      </c>
      <c r="G665" t="s">
        <v>107</v>
      </c>
      <c r="H665" t="s">
        <v>2043</v>
      </c>
      <c r="J665" t="str">
        <f t="shared" si="62"/>
        <v>ddhub:MagneticFluxDensityQuantity</v>
      </c>
      <c r="K665">
        <f t="shared" si="63"/>
        <v>1</v>
      </c>
      <c r="L665" t="str">
        <f t="shared" si="67"/>
        <v>.</v>
      </c>
    </row>
    <row r="666" spans="1:12">
      <c r="A666" s="4" t="s">
        <v>904</v>
      </c>
      <c r="B666" s="8" t="s">
        <v>284</v>
      </c>
      <c r="C666" t="str">
        <f t="shared" si="64"/>
        <v>ddhub:AngleGradientPerLengthQuantity</v>
      </c>
      <c r="D666">
        <f t="shared" si="65"/>
        <v>1</v>
      </c>
      <c r="E666" t="str">
        <f t="shared" si="66"/>
        <v>ddhub:RadianPerCentimeter</v>
      </c>
      <c r="F666" t="s">
        <v>2044</v>
      </c>
      <c r="G666" t="s">
        <v>19</v>
      </c>
      <c r="H666" t="s">
        <v>1324</v>
      </c>
      <c r="J666" t="str">
        <f t="shared" si="62"/>
        <v>ddhub:AngleGradientPerLengthQuantity</v>
      </c>
      <c r="K666">
        <f t="shared" si="63"/>
        <v>1</v>
      </c>
      <c r="L666" t="str">
        <f t="shared" si="67"/>
        <v>.</v>
      </c>
    </row>
    <row r="667" spans="1:12">
      <c r="A667" s="4" t="s">
        <v>905</v>
      </c>
      <c r="B667" s="8" t="s">
        <v>284</v>
      </c>
      <c r="C667" t="str">
        <f t="shared" si="64"/>
        <v>ddhub:AngleGradientPerLengthQuantity</v>
      </c>
      <c r="D667">
        <f t="shared" si="65"/>
        <v>1</v>
      </c>
      <c r="E667" t="str">
        <f t="shared" si="66"/>
        <v>ddhub:RadianPerCentimetre</v>
      </c>
      <c r="F667" t="s">
        <v>2045</v>
      </c>
      <c r="G667" t="s">
        <v>19</v>
      </c>
      <c r="H667" t="s">
        <v>1324</v>
      </c>
      <c r="J667" t="str">
        <f t="shared" si="62"/>
        <v>ddhub:AngleGradientPerLengthQuantity</v>
      </c>
      <c r="K667">
        <f t="shared" si="63"/>
        <v>1</v>
      </c>
      <c r="L667" t="str">
        <f t="shared" si="67"/>
        <v>.</v>
      </c>
    </row>
    <row r="668" spans="1:12">
      <c r="A668" s="4" t="s">
        <v>906</v>
      </c>
      <c r="B668" s="8" t="s">
        <v>286</v>
      </c>
      <c r="C668" t="str">
        <f t="shared" si="64"/>
        <v>ddhub:AngularVelocityQuantity</v>
      </c>
      <c r="D668">
        <f t="shared" si="65"/>
        <v>1</v>
      </c>
      <c r="E668" t="str">
        <f t="shared" si="66"/>
        <v>ddhub:RadianPerDay</v>
      </c>
      <c r="F668" t="s">
        <v>2046</v>
      </c>
      <c r="G668" t="s">
        <v>29</v>
      </c>
      <c r="H668" t="s">
        <v>1331</v>
      </c>
      <c r="J668" t="str">
        <f t="shared" si="62"/>
        <v>ddhub:AngularVelocityQuantity</v>
      </c>
      <c r="K668">
        <f t="shared" si="63"/>
        <v>1</v>
      </c>
      <c r="L668" t="str">
        <f t="shared" si="67"/>
        <v>.</v>
      </c>
    </row>
    <row r="669" spans="1:12">
      <c r="A669" s="4" t="s">
        <v>907</v>
      </c>
      <c r="B669" s="8" t="s">
        <v>286</v>
      </c>
      <c r="C669" t="str">
        <f t="shared" si="64"/>
        <v>ddhub:AngularAccelerationQuantity</v>
      </c>
      <c r="D669">
        <f t="shared" si="65"/>
        <v>0</v>
      </c>
      <c r="E669" t="str">
        <f t="shared" si="66"/>
        <v>ddhub:RadianPerDayPerHour</v>
      </c>
      <c r="F669" t="s">
        <v>2047</v>
      </c>
      <c r="G669" t="s">
        <v>27</v>
      </c>
      <c r="H669" t="s">
        <v>1333</v>
      </c>
      <c r="J669" t="str">
        <f t="shared" si="62"/>
        <v>ddhub:AngularAccelerationQuantity</v>
      </c>
      <c r="K669">
        <f t="shared" si="63"/>
        <v>0</v>
      </c>
      <c r="L669" t="str">
        <f t="shared" si="67"/>
        <v>.</v>
      </c>
    </row>
    <row r="670" spans="1:12">
      <c r="A670" s="4" t="s">
        <v>908</v>
      </c>
      <c r="B670" s="8" t="s">
        <v>286</v>
      </c>
      <c r="C670" t="str">
        <f t="shared" si="64"/>
        <v>ddhub:AngularAccelerationQuantity</v>
      </c>
      <c r="D670">
        <f t="shared" si="65"/>
        <v>0</v>
      </c>
      <c r="E670" t="str">
        <f t="shared" si="66"/>
        <v>ddhub:RadianPerDayPerMinute</v>
      </c>
      <c r="F670" t="s">
        <v>2048</v>
      </c>
      <c r="G670" t="s">
        <v>27</v>
      </c>
      <c r="H670" t="s">
        <v>1333</v>
      </c>
      <c r="J670" t="str">
        <f t="shared" si="62"/>
        <v>ddhub:AngularAccelerationQuantity</v>
      </c>
      <c r="K670">
        <f t="shared" si="63"/>
        <v>0</v>
      </c>
      <c r="L670" t="str">
        <f t="shared" si="67"/>
        <v>.</v>
      </c>
    </row>
    <row r="671" spans="1:12">
      <c r="A671" s="4" t="s">
        <v>910</v>
      </c>
      <c r="B671" s="8" t="s">
        <v>288</v>
      </c>
      <c r="C671" t="str">
        <f t="shared" si="64"/>
        <v>ddhub:AngularAccelerationQuantity</v>
      </c>
      <c r="D671">
        <f t="shared" si="65"/>
        <v>1</v>
      </c>
      <c r="E671" t="str">
        <f t="shared" si="66"/>
        <v>ddhub:RadianPerDayPerSecond</v>
      </c>
      <c r="F671" t="s">
        <v>2049</v>
      </c>
      <c r="G671" t="s">
        <v>27</v>
      </c>
      <c r="H671" t="s">
        <v>1333</v>
      </c>
      <c r="J671" t="str">
        <f t="shared" si="62"/>
        <v>ddhub:AngularAccelerationQuantity</v>
      </c>
      <c r="K671">
        <f t="shared" si="63"/>
        <v>1</v>
      </c>
      <c r="L671" t="str">
        <f t="shared" si="67"/>
        <v>.</v>
      </c>
    </row>
    <row r="672" spans="1:12">
      <c r="A672" s="4" t="s">
        <v>911</v>
      </c>
      <c r="B672" s="8" t="s">
        <v>288</v>
      </c>
      <c r="C672" t="str">
        <f t="shared" si="64"/>
        <v>ddhub:AngularAccelerationQuantity</v>
      </c>
      <c r="D672">
        <f t="shared" si="65"/>
        <v>1</v>
      </c>
      <c r="E672" t="str">
        <f t="shared" si="66"/>
        <v>ddhub:RadianPerDaySquared</v>
      </c>
      <c r="F672" t="s">
        <v>2050</v>
      </c>
      <c r="G672" t="s">
        <v>27</v>
      </c>
      <c r="H672" t="s">
        <v>1333</v>
      </c>
      <c r="J672" t="str">
        <f t="shared" si="62"/>
        <v>ddhub:AngularAccelerationQuantity</v>
      </c>
      <c r="K672">
        <f t="shared" si="63"/>
        <v>1</v>
      </c>
      <c r="L672" t="str">
        <f t="shared" si="67"/>
        <v>.</v>
      </c>
    </row>
    <row r="673" spans="1:12">
      <c r="A673" s="4" t="s">
        <v>912</v>
      </c>
      <c r="B673" s="8" t="s">
        <v>284</v>
      </c>
      <c r="C673" t="str">
        <f t="shared" si="64"/>
        <v>ddhub:AngleGradientPerLengthQuantity</v>
      </c>
      <c r="D673">
        <f t="shared" si="65"/>
        <v>1</v>
      </c>
      <c r="E673" t="str">
        <f t="shared" si="66"/>
        <v>ddhub:RadianPerDecameter</v>
      </c>
      <c r="F673" t="s">
        <v>2051</v>
      </c>
      <c r="G673" t="s">
        <v>19</v>
      </c>
      <c r="H673" t="s">
        <v>1324</v>
      </c>
      <c r="J673" t="str">
        <f t="shared" si="62"/>
        <v>ddhub:AngleGradientPerLengthQuantity</v>
      </c>
      <c r="K673">
        <f t="shared" si="63"/>
        <v>1</v>
      </c>
      <c r="L673" t="str">
        <f t="shared" si="67"/>
        <v>.</v>
      </c>
    </row>
    <row r="674" spans="1:12">
      <c r="A674" s="4" t="s">
        <v>913</v>
      </c>
      <c r="B674" s="8" t="s">
        <v>284</v>
      </c>
      <c r="C674" t="str">
        <f t="shared" si="64"/>
        <v>ddhub:AngleGradientPerLengthQuantity</v>
      </c>
      <c r="D674">
        <f t="shared" si="65"/>
        <v>1</v>
      </c>
      <c r="E674" t="str">
        <f t="shared" si="66"/>
        <v>ddhub:RadianPerDecimeter</v>
      </c>
      <c r="F674" t="s">
        <v>2052</v>
      </c>
      <c r="G674" t="s">
        <v>19</v>
      </c>
      <c r="H674" t="s">
        <v>1324</v>
      </c>
      <c r="J674" t="str">
        <f t="shared" si="62"/>
        <v>ddhub:AngleGradientPerLengthQuantity</v>
      </c>
      <c r="K674">
        <f t="shared" si="63"/>
        <v>1</v>
      </c>
      <c r="L674" t="str">
        <f t="shared" si="67"/>
        <v>.</v>
      </c>
    </row>
    <row r="675" spans="1:12">
      <c r="A675" s="4" t="s">
        <v>914</v>
      </c>
      <c r="B675" s="8" t="s">
        <v>284</v>
      </c>
      <c r="C675" t="str">
        <f t="shared" si="64"/>
        <v>ddhub:AngleGradientPerLengthQuantity</v>
      </c>
      <c r="D675">
        <f t="shared" si="65"/>
        <v>1</v>
      </c>
      <c r="E675" t="str">
        <f t="shared" si="66"/>
        <v>ddhub:RadianPerDecimetre</v>
      </c>
      <c r="F675" t="s">
        <v>2053</v>
      </c>
      <c r="G675" t="s">
        <v>19</v>
      </c>
      <c r="H675" t="s">
        <v>1324</v>
      </c>
      <c r="J675" t="str">
        <f t="shared" si="62"/>
        <v>ddhub:AngleGradientPerLengthQuantity</v>
      </c>
      <c r="K675">
        <f t="shared" si="63"/>
        <v>1</v>
      </c>
      <c r="L675" t="str">
        <f t="shared" si="67"/>
        <v>.</v>
      </c>
    </row>
    <row r="676" spans="1:12">
      <c r="A676" s="4" t="s">
        <v>915</v>
      </c>
      <c r="B676" s="8" t="s">
        <v>284</v>
      </c>
      <c r="C676" t="str">
        <f t="shared" si="64"/>
        <v>ddhub:AngleGradientPerLengthQuantity</v>
      </c>
      <c r="D676">
        <f t="shared" si="65"/>
        <v>1</v>
      </c>
      <c r="E676" t="str">
        <f t="shared" si="66"/>
        <v>ddhub:RadianPerFoot</v>
      </c>
      <c r="F676" t="s">
        <v>2054</v>
      </c>
      <c r="G676" t="s">
        <v>19</v>
      </c>
      <c r="H676" t="s">
        <v>1324</v>
      </c>
      <c r="J676" t="str">
        <f t="shared" si="62"/>
        <v>ddhub:AngleGradientPerLengthQuantity</v>
      </c>
      <c r="K676">
        <f t="shared" si="63"/>
        <v>1</v>
      </c>
      <c r="L676" t="str">
        <f t="shared" si="67"/>
        <v>.</v>
      </c>
    </row>
    <row r="677" spans="1:12">
      <c r="A677" s="4" t="s">
        <v>916</v>
      </c>
      <c r="B677" s="8" t="s">
        <v>284</v>
      </c>
      <c r="C677" t="str">
        <f t="shared" si="64"/>
        <v>ddhub:AngleGradientPerLengthQuantity</v>
      </c>
      <c r="D677">
        <f t="shared" si="65"/>
        <v>1</v>
      </c>
      <c r="E677" t="str">
        <f t="shared" si="66"/>
        <v>ddhub:RadianPerHectometer</v>
      </c>
      <c r="F677" t="s">
        <v>2055</v>
      </c>
      <c r="G677" t="s">
        <v>19</v>
      </c>
      <c r="H677" t="s">
        <v>1324</v>
      </c>
      <c r="J677" t="str">
        <f t="shared" si="62"/>
        <v>ddhub:AngleGradientPerLengthQuantity</v>
      </c>
      <c r="K677">
        <f t="shared" si="63"/>
        <v>1</v>
      </c>
      <c r="L677" t="str">
        <f t="shared" si="67"/>
        <v>.</v>
      </c>
    </row>
    <row r="678" spans="1:12">
      <c r="A678" s="4" t="s">
        <v>917</v>
      </c>
      <c r="B678" s="8" t="s">
        <v>286</v>
      </c>
      <c r="C678" t="str">
        <f t="shared" si="64"/>
        <v>ddhub:AngularVelocityQuantity</v>
      </c>
      <c r="D678">
        <f t="shared" si="65"/>
        <v>1</v>
      </c>
      <c r="E678" t="str">
        <f t="shared" si="66"/>
        <v>ddhub:RadianPerHour</v>
      </c>
      <c r="F678" t="s">
        <v>2056</v>
      </c>
      <c r="G678" t="s">
        <v>29</v>
      </c>
      <c r="H678" t="s">
        <v>1331</v>
      </c>
      <c r="J678" t="str">
        <f t="shared" si="62"/>
        <v>ddhub:AngularVelocityQuantity</v>
      </c>
      <c r="K678">
        <f t="shared" si="63"/>
        <v>1</v>
      </c>
      <c r="L678" t="str">
        <f t="shared" si="67"/>
        <v>.</v>
      </c>
    </row>
    <row r="679" spans="1:12">
      <c r="A679" s="4" t="s">
        <v>918</v>
      </c>
      <c r="B679" s="8" t="s">
        <v>288</v>
      </c>
      <c r="C679" t="str">
        <f t="shared" si="64"/>
        <v>ddhub:AngularAccelerationQuantity</v>
      </c>
      <c r="D679">
        <f t="shared" si="65"/>
        <v>1</v>
      </c>
      <c r="E679" t="str">
        <f t="shared" si="66"/>
        <v>ddhub:RadianPerHourPerDay</v>
      </c>
      <c r="F679" t="s">
        <v>2057</v>
      </c>
      <c r="G679" t="s">
        <v>27</v>
      </c>
      <c r="H679" t="s">
        <v>1333</v>
      </c>
      <c r="J679" t="str">
        <f t="shared" si="62"/>
        <v>ddhub:AngularAccelerationQuantity</v>
      </c>
      <c r="K679">
        <f t="shared" si="63"/>
        <v>1</v>
      </c>
      <c r="L679" t="str">
        <f t="shared" si="67"/>
        <v>.</v>
      </c>
    </row>
    <row r="680" spans="1:12">
      <c r="A680" s="4" t="s">
        <v>919</v>
      </c>
      <c r="B680" s="8" t="s">
        <v>288</v>
      </c>
      <c r="C680" t="str">
        <f t="shared" si="64"/>
        <v>ddhub:AngularAccelerationQuantity</v>
      </c>
      <c r="D680">
        <f t="shared" si="65"/>
        <v>1</v>
      </c>
      <c r="E680" t="str">
        <f t="shared" si="66"/>
        <v>ddhub:RadianPerHourPerMinute</v>
      </c>
      <c r="F680" t="s">
        <v>2058</v>
      </c>
      <c r="G680" t="s">
        <v>27</v>
      </c>
      <c r="H680" t="s">
        <v>1333</v>
      </c>
      <c r="J680" t="str">
        <f t="shared" si="62"/>
        <v>ddhub:AngularAccelerationQuantity</v>
      </c>
      <c r="K680">
        <f t="shared" si="63"/>
        <v>1</v>
      </c>
      <c r="L680" t="str">
        <f t="shared" si="67"/>
        <v>.</v>
      </c>
    </row>
    <row r="681" spans="1:12">
      <c r="A681" s="4" t="s">
        <v>920</v>
      </c>
      <c r="B681" s="8" t="s">
        <v>288</v>
      </c>
      <c r="C681" t="str">
        <f t="shared" si="64"/>
        <v>ddhub:AngularAccelerationQuantity</v>
      </c>
      <c r="D681">
        <f t="shared" si="65"/>
        <v>1</v>
      </c>
      <c r="E681" t="str">
        <f t="shared" si="66"/>
        <v>ddhub:RadianPerHourPerSecond</v>
      </c>
      <c r="F681" t="s">
        <v>2059</v>
      </c>
      <c r="G681" t="s">
        <v>27</v>
      </c>
      <c r="H681" t="s">
        <v>1333</v>
      </c>
      <c r="J681" t="str">
        <f t="shared" si="62"/>
        <v>ddhub:AngularAccelerationQuantity</v>
      </c>
      <c r="K681">
        <f t="shared" si="63"/>
        <v>1</v>
      </c>
      <c r="L681" t="str">
        <f t="shared" si="67"/>
        <v>.</v>
      </c>
    </row>
    <row r="682" spans="1:12">
      <c r="A682" s="4" t="s">
        <v>921</v>
      </c>
      <c r="B682" s="8" t="s">
        <v>288</v>
      </c>
      <c r="C682" t="str">
        <f t="shared" si="64"/>
        <v>ddhub:AngularAccelerationQuantity</v>
      </c>
      <c r="D682">
        <f t="shared" si="65"/>
        <v>1</v>
      </c>
      <c r="E682" t="str">
        <f t="shared" si="66"/>
        <v>ddhub:RadianPerHourSquared</v>
      </c>
      <c r="F682" t="s">
        <v>2060</v>
      </c>
      <c r="G682" t="s">
        <v>27</v>
      </c>
      <c r="H682" t="s">
        <v>1333</v>
      </c>
      <c r="J682" t="str">
        <f t="shared" si="62"/>
        <v>ddhub:AngularAccelerationQuantity</v>
      </c>
      <c r="K682">
        <f t="shared" si="63"/>
        <v>1</v>
      </c>
      <c r="L682" t="str">
        <f t="shared" si="67"/>
        <v>.</v>
      </c>
    </row>
    <row r="683" spans="1:12">
      <c r="A683" s="4" t="s">
        <v>922</v>
      </c>
      <c r="B683" s="8" t="s">
        <v>284</v>
      </c>
      <c r="C683" t="str">
        <f t="shared" si="64"/>
        <v>ddhub:AngleGradientPerLengthQuantity</v>
      </c>
      <c r="D683">
        <f t="shared" si="65"/>
        <v>1</v>
      </c>
      <c r="E683" t="str">
        <f t="shared" si="66"/>
        <v>ddhub:RadianPerInch</v>
      </c>
      <c r="F683" t="s">
        <v>2061</v>
      </c>
      <c r="G683" t="s">
        <v>19</v>
      </c>
      <c r="H683" t="s">
        <v>1324</v>
      </c>
      <c r="J683" t="str">
        <f t="shared" si="62"/>
        <v>ddhub:AngleGradientPerLengthQuantity</v>
      </c>
      <c r="K683">
        <f t="shared" si="63"/>
        <v>1</v>
      </c>
      <c r="L683" t="str">
        <f t="shared" si="67"/>
        <v>.</v>
      </c>
    </row>
    <row r="684" spans="1:12">
      <c r="A684" s="4" t="s">
        <v>923</v>
      </c>
      <c r="B684" s="8" t="s">
        <v>284</v>
      </c>
      <c r="C684" t="str">
        <f t="shared" si="64"/>
        <v>ddhub:AngleGradientPerLengthQuantity</v>
      </c>
      <c r="D684">
        <f t="shared" si="65"/>
        <v>1</v>
      </c>
      <c r="E684" t="str">
        <f t="shared" si="66"/>
        <v>ddhub:RadianPerKilometer</v>
      </c>
      <c r="F684" t="s">
        <v>2062</v>
      </c>
      <c r="G684" t="s">
        <v>19</v>
      </c>
      <c r="H684" t="s">
        <v>1324</v>
      </c>
      <c r="J684" t="str">
        <f t="shared" si="62"/>
        <v>ddhub:AngleGradientPerLengthQuantity</v>
      </c>
      <c r="K684">
        <f t="shared" si="63"/>
        <v>1</v>
      </c>
      <c r="L684" t="str">
        <f t="shared" si="67"/>
        <v>.</v>
      </c>
    </row>
    <row r="685" spans="1:12">
      <c r="A685" s="4" t="s">
        <v>924</v>
      </c>
      <c r="B685" s="8" t="s">
        <v>284</v>
      </c>
      <c r="C685" t="str">
        <f t="shared" si="64"/>
        <v>ddhub:AngleGradientPerLengthQuantity</v>
      </c>
      <c r="D685">
        <f t="shared" si="65"/>
        <v>1</v>
      </c>
      <c r="E685" t="str">
        <f t="shared" si="66"/>
        <v>ddhub:RadianPerMetre</v>
      </c>
      <c r="F685" t="s">
        <v>2063</v>
      </c>
      <c r="G685" t="s">
        <v>19</v>
      </c>
      <c r="H685" t="s">
        <v>1324</v>
      </c>
      <c r="J685" t="str">
        <f t="shared" si="62"/>
        <v>ddhub:AngleGradientPerLengthQuantity</v>
      </c>
      <c r="K685">
        <f t="shared" si="63"/>
        <v>1</v>
      </c>
      <c r="L685" t="str">
        <f t="shared" si="67"/>
        <v>.</v>
      </c>
    </row>
    <row r="686" spans="1:12">
      <c r="A686" s="4" t="s">
        <v>925</v>
      </c>
      <c r="B686" s="8" t="s">
        <v>284</v>
      </c>
      <c r="C686" t="str">
        <f t="shared" si="64"/>
        <v>ddhub:AngleGradientPerLengthQuantity</v>
      </c>
      <c r="D686">
        <f t="shared" si="65"/>
        <v>1</v>
      </c>
      <c r="E686" t="str">
        <f t="shared" si="66"/>
        <v>ddhub:RadianPerMicrometer</v>
      </c>
      <c r="F686" t="s">
        <v>2064</v>
      </c>
      <c r="G686" t="s">
        <v>19</v>
      </c>
      <c r="H686" t="s">
        <v>1324</v>
      </c>
      <c r="J686" t="str">
        <f t="shared" si="62"/>
        <v>ddhub:AngleGradientPerLengthQuantity</v>
      </c>
      <c r="K686">
        <f t="shared" si="63"/>
        <v>1</v>
      </c>
      <c r="L686" t="str">
        <f t="shared" si="67"/>
        <v>.</v>
      </c>
    </row>
    <row r="687" spans="1:12">
      <c r="A687" s="4" t="s">
        <v>926</v>
      </c>
      <c r="B687" s="8" t="s">
        <v>284</v>
      </c>
      <c r="C687" t="str">
        <f t="shared" si="64"/>
        <v>ddhub:AngleGradientPerLengthQuantity</v>
      </c>
      <c r="D687">
        <f t="shared" si="65"/>
        <v>1</v>
      </c>
      <c r="E687" t="str">
        <f t="shared" si="66"/>
        <v>ddhub:RadianPerMile</v>
      </c>
      <c r="F687" t="s">
        <v>2065</v>
      </c>
      <c r="G687" t="s">
        <v>19</v>
      </c>
      <c r="H687" t="s">
        <v>1324</v>
      </c>
      <c r="J687" t="str">
        <f t="shared" si="62"/>
        <v>ddhub:AngleGradientPerLengthQuantity</v>
      </c>
      <c r="K687">
        <f t="shared" si="63"/>
        <v>1</v>
      </c>
      <c r="L687" t="str">
        <f t="shared" si="67"/>
        <v>.</v>
      </c>
    </row>
    <row r="688" spans="1:12">
      <c r="A688" s="4" t="s">
        <v>927</v>
      </c>
      <c r="B688" s="8" t="s">
        <v>284</v>
      </c>
      <c r="C688" t="str">
        <f t="shared" si="64"/>
        <v>ddhub:AngleGradientPerLengthQuantity</v>
      </c>
      <c r="D688">
        <f t="shared" si="65"/>
        <v>1</v>
      </c>
      <c r="E688" t="str">
        <f t="shared" si="66"/>
        <v>ddhub:RadianPerMillimeter</v>
      </c>
      <c r="F688" t="s">
        <v>2066</v>
      </c>
      <c r="G688" t="s">
        <v>19</v>
      </c>
      <c r="H688" t="s">
        <v>1324</v>
      </c>
      <c r="J688" t="str">
        <f t="shared" si="62"/>
        <v>ddhub:AngleGradientPerLengthQuantity</v>
      </c>
      <c r="K688">
        <f t="shared" si="63"/>
        <v>1</v>
      </c>
      <c r="L688" t="str">
        <f t="shared" si="67"/>
        <v>.</v>
      </c>
    </row>
    <row r="689" spans="1:12">
      <c r="A689" s="4" t="s">
        <v>928</v>
      </c>
      <c r="B689" s="8" t="s">
        <v>284</v>
      </c>
      <c r="C689" t="str">
        <f t="shared" si="64"/>
        <v>ddhub:AngleGradientPerLengthQuantity</v>
      </c>
      <c r="D689">
        <f t="shared" si="65"/>
        <v>1</v>
      </c>
      <c r="E689" t="str">
        <f t="shared" si="66"/>
        <v>ddhub:RadianPerMillimetre</v>
      </c>
      <c r="F689" t="s">
        <v>2067</v>
      </c>
      <c r="G689" t="s">
        <v>19</v>
      </c>
      <c r="H689" t="s">
        <v>1324</v>
      </c>
      <c r="J689" t="str">
        <f t="shared" si="62"/>
        <v>ddhub:AngleGradientPerLengthQuantity</v>
      </c>
      <c r="K689">
        <f t="shared" si="63"/>
        <v>1</v>
      </c>
      <c r="L689" t="str">
        <f t="shared" si="67"/>
        <v>.</v>
      </c>
    </row>
    <row r="690" spans="1:12">
      <c r="A690" s="4" t="s">
        <v>929</v>
      </c>
      <c r="B690" s="8" t="s">
        <v>286</v>
      </c>
      <c r="C690" t="str">
        <f t="shared" si="64"/>
        <v>ddhub:AngularVelocityQuantity</v>
      </c>
      <c r="D690">
        <f t="shared" si="65"/>
        <v>1</v>
      </c>
      <c r="E690" t="str">
        <f t="shared" si="66"/>
        <v>ddhub:RadianPerMinute</v>
      </c>
      <c r="F690" t="s">
        <v>2068</v>
      </c>
      <c r="G690" t="s">
        <v>29</v>
      </c>
      <c r="H690" t="s">
        <v>1331</v>
      </c>
      <c r="J690" t="str">
        <f t="shared" si="62"/>
        <v>ddhub:AngularVelocityQuantity</v>
      </c>
      <c r="K690">
        <f t="shared" si="63"/>
        <v>1</v>
      </c>
      <c r="L690" t="str">
        <f t="shared" si="67"/>
        <v>.</v>
      </c>
    </row>
    <row r="691" spans="1:12">
      <c r="A691" s="4" t="s">
        <v>930</v>
      </c>
      <c r="B691" s="8" t="s">
        <v>286</v>
      </c>
      <c r="C691" t="str">
        <f t="shared" si="64"/>
        <v>ddhub:AngularAccelerationQuantity</v>
      </c>
      <c r="D691">
        <f t="shared" si="65"/>
        <v>0</v>
      </c>
      <c r="E691" t="str">
        <f t="shared" si="66"/>
        <v>ddhub:RadianPerMinutePerDay</v>
      </c>
      <c r="F691" t="s">
        <v>2069</v>
      </c>
      <c r="G691" t="s">
        <v>27</v>
      </c>
      <c r="H691" t="s">
        <v>1333</v>
      </c>
      <c r="J691" t="str">
        <f t="shared" si="62"/>
        <v>ddhub:AngularAccelerationQuantity</v>
      </c>
      <c r="K691">
        <f t="shared" si="63"/>
        <v>0</v>
      </c>
      <c r="L691" t="str">
        <f t="shared" si="67"/>
        <v>.</v>
      </c>
    </row>
    <row r="692" spans="1:12">
      <c r="A692" s="4" t="s">
        <v>931</v>
      </c>
      <c r="B692" s="8" t="s">
        <v>286</v>
      </c>
      <c r="C692" t="str">
        <f t="shared" si="64"/>
        <v>ddhub:AngularAccelerationQuantity</v>
      </c>
      <c r="D692">
        <f t="shared" si="65"/>
        <v>0</v>
      </c>
      <c r="E692" t="str">
        <f t="shared" si="66"/>
        <v>ddhub:RadianPerMinutePerHour</v>
      </c>
      <c r="F692" t="s">
        <v>2070</v>
      </c>
      <c r="G692" t="s">
        <v>27</v>
      </c>
      <c r="H692" t="s">
        <v>1333</v>
      </c>
      <c r="J692" t="str">
        <f t="shared" si="62"/>
        <v>ddhub:AngularAccelerationQuantity</v>
      </c>
      <c r="K692">
        <f t="shared" si="63"/>
        <v>0</v>
      </c>
      <c r="L692" t="str">
        <f t="shared" si="67"/>
        <v>.</v>
      </c>
    </row>
    <row r="693" spans="1:12">
      <c r="A693" s="4" t="s">
        <v>932</v>
      </c>
      <c r="B693" s="8" t="s">
        <v>288</v>
      </c>
      <c r="C693" t="str">
        <f t="shared" si="64"/>
        <v>ddhub:AngularAccelerationQuantity</v>
      </c>
      <c r="D693">
        <f t="shared" si="65"/>
        <v>1</v>
      </c>
      <c r="E693" t="str">
        <f t="shared" si="66"/>
        <v>ddhub:RadianPerMinutePerSecond</v>
      </c>
      <c r="F693" t="s">
        <v>2071</v>
      </c>
      <c r="G693" t="s">
        <v>27</v>
      </c>
      <c r="H693" t="s">
        <v>1333</v>
      </c>
      <c r="J693" t="str">
        <f t="shared" ref="J693:J755" si="68">"ddhub:"&amp;G693</f>
        <v>ddhub:AngularAccelerationQuantity</v>
      </c>
      <c r="K693">
        <f t="shared" ref="K693:K756" si="69">IF(B693=J693,1,0)</f>
        <v>1</v>
      </c>
      <c r="L693" t="str">
        <f t="shared" si="67"/>
        <v>.</v>
      </c>
    </row>
    <row r="694" spans="1:12">
      <c r="A694" s="4" t="s">
        <v>933</v>
      </c>
      <c r="B694" s="8" t="s">
        <v>288</v>
      </c>
      <c r="C694" t="str">
        <f t="shared" si="64"/>
        <v>ddhub:AngularAccelerationQuantity</v>
      </c>
      <c r="D694">
        <f t="shared" si="65"/>
        <v>1</v>
      </c>
      <c r="E694" t="str">
        <f t="shared" si="66"/>
        <v>ddhub:RadianPerMinuteSquared</v>
      </c>
      <c r="F694" t="s">
        <v>2072</v>
      </c>
      <c r="G694" t="s">
        <v>27</v>
      </c>
      <c r="H694" t="s">
        <v>1333</v>
      </c>
      <c r="J694" t="str">
        <f t="shared" si="68"/>
        <v>ddhub:AngularAccelerationQuantity</v>
      </c>
      <c r="K694">
        <f t="shared" si="69"/>
        <v>1</v>
      </c>
      <c r="L694" t="str">
        <f t="shared" si="67"/>
        <v>.</v>
      </c>
    </row>
    <row r="695" spans="1:12">
      <c r="A695" s="4" t="s">
        <v>934</v>
      </c>
      <c r="B695" s="8" t="s">
        <v>284</v>
      </c>
      <c r="C695" t="str">
        <f t="shared" si="64"/>
        <v>ddhub:AngleGradientPerLengthQuantity</v>
      </c>
      <c r="D695">
        <f t="shared" si="65"/>
        <v>1</v>
      </c>
      <c r="E695" t="str">
        <f t="shared" si="66"/>
        <v>ddhub:RadianPerNanometer</v>
      </c>
      <c r="F695" t="s">
        <v>2073</v>
      </c>
      <c r="G695" t="s">
        <v>19</v>
      </c>
      <c r="H695" t="s">
        <v>1324</v>
      </c>
      <c r="J695" t="str">
        <f t="shared" si="68"/>
        <v>ddhub:AngleGradientPerLengthQuantity</v>
      </c>
      <c r="K695">
        <f t="shared" si="69"/>
        <v>1</v>
      </c>
      <c r="L695" t="str">
        <f t="shared" si="67"/>
        <v>.</v>
      </c>
    </row>
    <row r="696" spans="1:12">
      <c r="A696" s="4" t="s">
        <v>935</v>
      </c>
      <c r="B696" s="8" t="s">
        <v>286</v>
      </c>
      <c r="C696" t="str">
        <f t="shared" si="64"/>
        <v>ddhub:AngularVelocityQuantity</v>
      </c>
      <c r="D696">
        <f t="shared" si="65"/>
        <v>1</v>
      </c>
      <c r="E696" t="str">
        <f t="shared" si="66"/>
        <v>ddhub:RadianPerSecond</v>
      </c>
      <c r="F696" t="s">
        <v>2074</v>
      </c>
      <c r="G696" t="s">
        <v>29</v>
      </c>
      <c r="H696" t="s">
        <v>1331</v>
      </c>
      <c r="J696" t="str">
        <f t="shared" si="68"/>
        <v>ddhub:AngularVelocityQuantity</v>
      </c>
      <c r="K696">
        <f t="shared" si="69"/>
        <v>1</v>
      </c>
      <c r="L696" t="str">
        <f t="shared" si="67"/>
        <v>.</v>
      </c>
    </row>
    <row r="697" spans="1:12">
      <c r="A697" s="4" t="s">
        <v>937</v>
      </c>
      <c r="B697" s="8" t="s">
        <v>286</v>
      </c>
      <c r="C697" t="str">
        <f t="shared" si="64"/>
        <v>ddhub:AngularAccelerationQuantity</v>
      </c>
      <c r="D697">
        <f t="shared" si="65"/>
        <v>0</v>
      </c>
      <c r="E697" t="str">
        <f t="shared" si="66"/>
        <v>ddhub:RadianPerSecondPerDay</v>
      </c>
      <c r="F697" t="s">
        <v>2075</v>
      </c>
      <c r="G697" t="s">
        <v>27</v>
      </c>
      <c r="H697" t="s">
        <v>1333</v>
      </c>
      <c r="J697" t="str">
        <f t="shared" si="68"/>
        <v>ddhub:AngularAccelerationQuantity</v>
      </c>
      <c r="K697">
        <f t="shared" si="69"/>
        <v>0</v>
      </c>
      <c r="L697" t="str">
        <f t="shared" si="67"/>
        <v>.</v>
      </c>
    </row>
    <row r="698" spans="1:12">
      <c r="A698" s="4" t="s">
        <v>938</v>
      </c>
      <c r="B698" s="8" t="s">
        <v>286</v>
      </c>
      <c r="C698" t="str">
        <f t="shared" si="64"/>
        <v>ddhub:AngularAccelerationQuantity</v>
      </c>
      <c r="D698">
        <f t="shared" si="65"/>
        <v>0</v>
      </c>
      <c r="E698" t="str">
        <f t="shared" si="66"/>
        <v>ddhub:RadianPerSecondPerHour</v>
      </c>
      <c r="F698" t="s">
        <v>2076</v>
      </c>
      <c r="G698" t="s">
        <v>27</v>
      </c>
      <c r="H698" t="s">
        <v>1333</v>
      </c>
      <c r="J698" t="str">
        <f t="shared" si="68"/>
        <v>ddhub:AngularAccelerationQuantity</v>
      </c>
      <c r="K698">
        <f t="shared" si="69"/>
        <v>0</v>
      </c>
      <c r="L698" t="str">
        <f t="shared" si="67"/>
        <v>.</v>
      </c>
    </row>
    <row r="699" spans="1:12">
      <c r="A699" s="4" t="s">
        <v>939</v>
      </c>
      <c r="B699" s="8" t="s">
        <v>286</v>
      </c>
      <c r="C699" t="str">
        <f t="shared" si="64"/>
        <v>ddhub:AngularAccelerationQuantity</v>
      </c>
      <c r="D699">
        <f t="shared" si="65"/>
        <v>0</v>
      </c>
      <c r="E699" t="str">
        <f t="shared" si="66"/>
        <v>ddhub:RadianPerSecondPerMinute</v>
      </c>
      <c r="F699" t="s">
        <v>2077</v>
      </c>
      <c r="G699" t="s">
        <v>27</v>
      </c>
      <c r="H699" t="s">
        <v>1333</v>
      </c>
      <c r="J699" t="str">
        <f t="shared" si="68"/>
        <v>ddhub:AngularAccelerationQuantity</v>
      </c>
      <c r="K699">
        <f t="shared" si="69"/>
        <v>0</v>
      </c>
      <c r="L699" t="str">
        <f t="shared" si="67"/>
        <v>.</v>
      </c>
    </row>
    <row r="700" spans="1:12">
      <c r="A700" s="4" t="s">
        <v>940</v>
      </c>
      <c r="B700" s="8" t="s">
        <v>288</v>
      </c>
      <c r="C700" t="str">
        <f t="shared" si="64"/>
        <v>ddhub:AngularAccelerationQuantity</v>
      </c>
      <c r="D700">
        <f t="shared" si="65"/>
        <v>1</v>
      </c>
      <c r="E700" t="str">
        <f t="shared" si="66"/>
        <v>ddhub:RadianPerSecondSquared</v>
      </c>
      <c r="F700" t="s">
        <v>2078</v>
      </c>
      <c r="G700" t="s">
        <v>27</v>
      </c>
      <c r="H700" t="s">
        <v>1333</v>
      </c>
      <c r="J700" t="str">
        <f t="shared" si="68"/>
        <v>ddhub:AngularAccelerationQuantity</v>
      </c>
      <c r="K700">
        <f t="shared" si="69"/>
        <v>1</v>
      </c>
      <c r="L700" t="str">
        <f t="shared" si="67"/>
        <v>.</v>
      </c>
    </row>
    <row r="701" spans="1:12">
      <c r="A701" s="4" t="s">
        <v>941</v>
      </c>
      <c r="B701" s="8" t="s">
        <v>334</v>
      </c>
      <c r="C701" t="str">
        <f t="shared" si="64"/>
        <v>zzz:TBD</v>
      </c>
      <c r="D701">
        <f t="shared" si="65"/>
        <v>1</v>
      </c>
      <c r="E701" t="str">
        <f t="shared" si="66"/>
        <v>ddhub:RadianPerSquareRootDay</v>
      </c>
      <c r="F701" t="s">
        <v>2079</v>
      </c>
      <c r="G701" t="s">
        <v>1153</v>
      </c>
      <c r="H701" t="s">
        <v>1366</v>
      </c>
      <c r="J701" s="8" t="s">
        <v>334</v>
      </c>
      <c r="K701">
        <f t="shared" si="69"/>
        <v>1</v>
      </c>
      <c r="L701" t="str">
        <f t="shared" si="67"/>
        <v>.</v>
      </c>
    </row>
    <row r="702" spans="1:12">
      <c r="A702" s="4" t="s">
        <v>942</v>
      </c>
      <c r="B702" s="8" t="s">
        <v>334</v>
      </c>
      <c r="C702" t="str">
        <f t="shared" si="64"/>
        <v>zzz:TBD</v>
      </c>
      <c r="D702">
        <f t="shared" si="65"/>
        <v>1</v>
      </c>
      <c r="E702" t="str">
        <f t="shared" si="66"/>
        <v>ddhub:RadianPerSquareRootHour</v>
      </c>
      <c r="F702" t="s">
        <v>2080</v>
      </c>
      <c r="G702" t="s">
        <v>1153</v>
      </c>
      <c r="H702" t="s">
        <v>1366</v>
      </c>
      <c r="J702" s="8" t="s">
        <v>334</v>
      </c>
      <c r="K702">
        <f t="shared" si="69"/>
        <v>1</v>
      </c>
      <c r="L702" t="str">
        <f t="shared" si="67"/>
        <v>.</v>
      </c>
    </row>
    <row r="703" spans="1:12">
      <c r="A703" s="4" t="s">
        <v>943</v>
      </c>
      <c r="B703" s="8" t="s">
        <v>334</v>
      </c>
      <c r="C703" t="str">
        <f t="shared" si="64"/>
        <v>zzz:TBD</v>
      </c>
      <c r="D703">
        <f t="shared" si="65"/>
        <v>1</v>
      </c>
      <c r="E703" t="str">
        <f t="shared" si="66"/>
        <v>ddhub:RadianPerSquareRootMinute</v>
      </c>
      <c r="F703" t="s">
        <v>2081</v>
      </c>
      <c r="G703" t="s">
        <v>1153</v>
      </c>
      <c r="H703" t="s">
        <v>1366</v>
      </c>
      <c r="J703" s="8" t="s">
        <v>334</v>
      </c>
      <c r="K703">
        <f t="shared" si="69"/>
        <v>1</v>
      </c>
      <c r="L703" t="str">
        <f t="shared" si="67"/>
        <v>.</v>
      </c>
    </row>
    <row r="704" spans="1:12">
      <c r="A704" s="4" t="s">
        <v>944</v>
      </c>
      <c r="B704" s="8" t="s">
        <v>334</v>
      </c>
      <c r="C704" t="str">
        <f t="shared" si="64"/>
        <v>zzz:TBD</v>
      </c>
      <c r="D704">
        <f t="shared" si="65"/>
        <v>1</v>
      </c>
      <c r="E704" t="str">
        <f t="shared" si="66"/>
        <v>ddhub:RadianPerSquareRootSecond</v>
      </c>
      <c r="F704" t="s">
        <v>2082</v>
      </c>
      <c r="G704" t="s">
        <v>1153</v>
      </c>
      <c r="H704" t="s">
        <v>1366</v>
      </c>
      <c r="J704" s="8" t="s">
        <v>334</v>
      </c>
      <c r="K704">
        <f t="shared" si="69"/>
        <v>1</v>
      </c>
      <c r="L704" t="str">
        <f t="shared" si="67"/>
        <v>.</v>
      </c>
    </row>
    <row r="705" spans="1:12">
      <c r="A705" s="4" t="s">
        <v>945</v>
      </c>
      <c r="B705" s="8" t="s">
        <v>284</v>
      </c>
      <c r="C705" t="str">
        <f t="shared" si="64"/>
        <v>ddhub:AngleGradientPerLengthQuantity</v>
      </c>
      <c r="D705">
        <f t="shared" si="65"/>
        <v>1</v>
      </c>
      <c r="E705" t="str">
        <f t="shared" si="66"/>
        <v>ddhub:RadianPerYard</v>
      </c>
      <c r="F705" t="s">
        <v>2083</v>
      </c>
      <c r="G705" t="s">
        <v>19</v>
      </c>
      <c r="H705" t="s">
        <v>1324</v>
      </c>
      <c r="J705" t="str">
        <f t="shared" si="68"/>
        <v>ddhub:AngleGradientPerLengthQuantity</v>
      </c>
      <c r="K705">
        <f t="shared" si="69"/>
        <v>1</v>
      </c>
      <c r="L705" t="str">
        <f t="shared" si="67"/>
        <v>.</v>
      </c>
    </row>
    <row r="706" spans="1:12">
      <c r="A706" s="4" t="s">
        <v>946</v>
      </c>
      <c r="B706" s="8" t="s">
        <v>379</v>
      </c>
      <c r="C706" t="str">
        <f t="shared" si="64"/>
        <v>ddhub:MagneticFluxDensityQuantity</v>
      </c>
      <c r="D706">
        <f t="shared" si="65"/>
        <v>1</v>
      </c>
      <c r="E706" t="str">
        <f t="shared" si="66"/>
        <v>ddhub:RadianTesla</v>
      </c>
      <c r="F706" t="s">
        <v>2084</v>
      </c>
      <c r="G706" t="s">
        <v>107</v>
      </c>
      <c r="H706" t="s">
        <v>2085</v>
      </c>
      <c r="J706" t="str">
        <f t="shared" si="68"/>
        <v>ddhub:MagneticFluxDensityQuantity</v>
      </c>
      <c r="K706">
        <f t="shared" si="69"/>
        <v>1</v>
      </c>
      <c r="L706" t="str">
        <f t="shared" si="67"/>
        <v>.</v>
      </c>
    </row>
    <row r="707" spans="1:12">
      <c r="A707" s="4" t="s">
        <v>947</v>
      </c>
      <c r="B707" s="8" t="s">
        <v>379</v>
      </c>
      <c r="C707" t="str">
        <f t="shared" ref="C707:C770" si="70">VLOOKUP(A707,E$2:J$838,6)</f>
        <v>ddhub:MagneticFluxDensityQuantity</v>
      </c>
      <c r="D707">
        <f t="shared" ref="D707:D770" si="71">IF(B707=C707,1,0)</f>
        <v>1</v>
      </c>
      <c r="E707" t="str">
        <f t="shared" ref="E707:E770" si="72">"ddhub:"&amp;F707</f>
        <v>ddhub:RadianWeberPerSquareMetre</v>
      </c>
      <c r="F707" t="s">
        <v>2086</v>
      </c>
      <c r="G707" t="s">
        <v>107</v>
      </c>
      <c r="H707" t="s">
        <v>2087</v>
      </c>
      <c r="J707" t="str">
        <f t="shared" si="68"/>
        <v>ddhub:MagneticFluxDensityQuantity</v>
      </c>
      <c r="K707">
        <f t="shared" si="69"/>
        <v>1</v>
      </c>
      <c r="L707" t="str">
        <f t="shared" ref="L707:L770" si="73">IF(D707=K707,".","?")</f>
        <v>.</v>
      </c>
    </row>
    <row r="708" spans="1:12">
      <c r="A708" s="4" t="s">
        <v>948</v>
      </c>
      <c r="B708" s="8" t="s">
        <v>142</v>
      </c>
      <c r="C708" t="str">
        <f t="shared" si="70"/>
        <v>ddhub:TemperatureQuantity</v>
      </c>
      <c r="D708">
        <f t="shared" si="71"/>
        <v>1</v>
      </c>
      <c r="E708" t="str">
        <f t="shared" si="72"/>
        <v>ddhub:Rankine</v>
      </c>
      <c r="F708" t="s">
        <v>2088</v>
      </c>
      <c r="G708" t="s">
        <v>144</v>
      </c>
      <c r="H708" t="s">
        <v>2089</v>
      </c>
      <c r="J708" t="str">
        <f t="shared" si="68"/>
        <v>ddhub:TemperatureQuantity</v>
      </c>
      <c r="K708">
        <f t="shared" si="69"/>
        <v>1</v>
      </c>
      <c r="L708" t="str">
        <f t="shared" si="73"/>
        <v>.</v>
      </c>
    </row>
    <row r="709" spans="1:12">
      <c r="A709" s="4" t="s">
        <v>949</v>
      </c>
      <c r="B709" s="8" t="s">
        <v>334</v>
      </c>
      <c r="C709" t="str">
        <f t="shared" si="70"/>
        <v>zzz:TBD</v>
      </c>
      <c r="D709">
        <f t="shared" si="71"/>
        <v>1</v>
      </c>
      <c r="E709" t="str">
        <f t="shared" si="72"/>
        <v>ddhub:ReciprocalAangstroem</v>
      </c>
      <c r="F709" t="s">
        <v>2090</v>
      </c>
      <c r="G709" t="s">
        <v>177</v>
      </c>
      <c r="H709" t="s">
        <v>2091</v>
      </c>
      <c r="J709" s="8" t="s">
        <v>334</v>
      </c>
      <c r="K709">
        <f t="shared" si="69"/>
        <v>1</v>
      </c>
      <c r="L709" t="str">
        <f t="shared" si="73"/>
        <v>.</v>
      </c>
    </row>
    <row r="710" spans="1:12">
      <c r="A710" s="4" t="s">
        <v>949</v>
      </c>
      <c r="B710" s="8" t="s">
        <v>334</v>
      </c>
      <c r="C710" t="str">
        <f t="shared" si="70"/>
        <v>zzz:TBD</v>
      </c>
      <c r="D710">
        <f t="shared" si="71"/>
        <v>1</v>
      </c>
      <c r="E710" t="str">
        <f t="shared" si="72"/>
        <v>ddhub:ReciprocalAstronomicalUnit</v>
      </c>
      <c r="F710" t="s">
        <v>2092</v>
      </c>
      <c r="G710" t="s">
        <v>177</v>
      </c>
      <c r="H710" t="s">
        <v>2091</v>
      </c>
      <c r="J710" s="8" t="s">
        <v>334</v>
      </c>
      <c r="K710">
        <f t="shared" si="69"/>
        <v>1</v>
      </c>
      <c r="L710" t="str">
        <f t="shared" si="73"/>
        <v>.</v>
      </c>
    </row>
    <row r="711" spans="1:12">
      <c r="A711" s="4" t="s">
        <v>951</v>
      </c>
      <c r="B711" s="8" t="s">
        <v>334</v>
      </c>
      <c r="C711" t="str">
        <f t="shared" si="70"/>
        <v>zzz:TBD</v>
      </c>
      <c r="D711">
        <f t="shared" si="71"/>
        <v>1</v>
      </c>
      <c r="E711" t="str">
        <f t="shared" si="72"/>
        <v>ddhub:ReciprocalCentimetre</v>
      </c>
      <c r="F711" t="s">
        <v>2093</v>
      </c>
      <c r="G711" t="s">
        <v>177</v>
      </c>
      <c r="H711" t="s">
        <v>2091</v>
      </c>
      <c r="J711" s="8" t="s">
        <v>334</v>
      </c>
      <c r="K711">
        <f t="shared" si="69"/>
        <v>1</v>
      </c>
      <c r="L711" t="str">
        <f t="shared" si="73"/>
        <v>.</v>
      </c>
    </row>
    <row r="712" spans="1:12">
      <c r="A712" s="4" t="s">
        <v>952</v>
      </c>
      <c r="B712" s="8" t="s">
        <v>334</v>
      </c>
      <c r="C712" t="str">
        <f t="shared" si="70"/>
        <v>zzz:TBD</v>
      </c>
      <c r="D712">
        <f t="shared" si="71"/>
        <v>1</v>
      </c>
      <c r="E712" t="str">
        <f t="shared" si="72"/>
        <v>ddhub:ReciprocalDecametre</v>
      </c>
      <c r="F712" t="s">
        <v>2094</v>
      </c>
      <c r="G712" t="s">
        <v>177</v>
      </c>
      <c r="H712" t="s">
        <v>2091</v>
      </c>
      <c r="J712" s="8" t="s">
        <v>334</v>
      </c>
      <c r="K712">
        <f t="shared" si="69"/>
        <v>1</v>
      </c>
      <c r="L712" t="str">
        <f t="shared" si="73"/>
        <v>.</v>
      </c>
    </row>
    <row r="713" spans="1:12">
      <c r="A713" s="4" t="s">
        <v>953</v>
      </c>
      <c r="B713" s="8" t="s">
        <v>334</v>
      </c>
      <c r="C713" t="str">
        <f t="shared" si="70"/>
        <v>zzz:TBD</v>
      </c>
      <c r="D713">
        <f t="shared" si="71"/>
        <v>1</v>
      </c>
      <c r="E713" t="str">
        <f t="shared" si="72"/>
        <v>ddhub:ReciprocalDecimetre</v>
      </c>
      <c r="F713" t="s">
        <v>2095</v>
      </c>
      <c r="G713" t="s">
        <v>177</v>
      </c>
      <c r="H713" t="s">
        <v>2091</v>
      </c>
      <c r="J713" s="8" t="s">
        <v>334</v>
      </c>
      <c r="K713">
        <f t="shared" si="69"/>
        <v>1</v>
      </c>
      <c r="L713" t="str">
        <f t="shared" si="73"/>
        <v>.</v>
      </c>
    </row>
    <row r="714" spans="1:12">
      <c r="A714" s="4" t="s">
        <v>954</v>
      </c>
      <c r="B714" s="8" t="s">
        <v>334</v>
      </c>
      <c r="C714" t="str">
        <f t="shared" si="70"/>
        <v>zzz:TBD</v>
      </c>
      <c r="D714">
        <f t="shared" si="71"/>
        <v>1</v>
      </c>
      <c r="E714" t="str">
        <f t="shared" si="72"/>
        <v>ddhub:ReciprocalFathom</v>
      </c>
      <c r="F714" t="s">
        <v>2096</v>
      </c>
      <c r="G714" t="s">
        <v>177</v>
      </c>
      <c r="H714" t="s">
        <v>2091</v>
      </c>
      <c r="J714" s="8" t="s">
        <v>334</v>
      </c>
      <c r="K714">
        <f t="shared" si="69"/>
        <v>1</v>
      </c>
      <c r="L714" t="str">
        <f t="shared" si="73"/>
        <v>.</v>
      </c>
    </row>
    <row r="715" spans="1:12">
      <c r="A715" s="4" t="s">
        <v>955</v>
      </c>
      <c r="B715" s="8" t="s">
        <v>334</v>
      </c>
      <c r="C715" t="str">
        <f t="shared" si="70"/>
        <v>zzz:TBD</v>
      </c>
      <c r="D715">
        <f t="shared" si="71"/>
        <v>1</v>
      </c>
      <c r="E715" t="str">
        <f t="shared" si="72"/>
        <v>ddhub:ReciprocalFoot</v>
      </c>
      <c r="F715" t="s">
        <v>2097</v>
      </c>
      <c r="G715" t="s">
        <v>177</v>
      </c>
      <c r="H715" t="s">
        <v>2091</v>
      </c>
      <c r="J715" s="8" t="s">
        <v>334</v>
      </c>
      <c r="K715">
        <f t="shared" si="69"/>
        <v>1</v>
      </c>
      <c r="L715" t="str">
        <f t="shared" si="73"/>
        <v>.</v>
      </c>
    </row>
    <row r="716" spans="1:12">
      <c r="A716" s="4" t="s">
        <v>956</v>
      </c>
      <c r="B716" s="8" t="s">
        <v>334</v>
      </c>
      <c r="C716" t="str">
        <f t="shared" si="70"/>
        <v>zzz:TBD</v>
      </c>
      <c r="D716">
        <f t="shared" si="71"/>
        <v>1</v>
      </c>
      <c r="E716" t="str">
        <f t="shared" si="72"/>
        <v>ddhub:ReciprocalFurlong</v>
      </c>
      <c r="F716" t="s">
        <v>2098</v>
      </c>
      <c r="G716" t="s">
        <v>177</v>
      </c>
      <c r="H716" t="s">
        <v>2091</v>
      </c>
      <c r="J716" s="8" t="s">
        <v>334</v>
      </c>
      <c r="K716">
        <f t="shared" si="69"/>
        <v>1</v>
      </c>
      <c r="L716" t="str">
        <f t="shared" si="73"/>
        <v>.</v>
      </c>
    </row>
    <row r="717" spans="1:12">
      <c r="A717" s="4" t="s">
        <v>957</v>
      </c>
      <c r="B717" s="8" t="s">
        <v>334</v>
      </c>
      <c r="C717" t="str">
        <f t="shared" si="70"/>
        <v>zzz:TBD</v>
      </c>
      <c r="D717">
        <f t="shared" si="71"/>
        <v>1</v>
      </c>
      <c r="E717" t="str">
        <f t="shared" si="72"/>
        <v>ddhub:ReciprocalHand</v>
      </c>
      <c r="F717" t="s">
        <v>2099</v>
      </c>
      <c r="G717" t="s">
        <v>177</v>
      </c>
      <c r="H717" t="s">
        <v>2091</v>
      </c>
      <c r="J717" s="8" t="s">
        <v>334</v>
      </c>
      <c r="K717">
        <f t="shared" si="69"/>
        <v>1</v>
      </c>
      <c r="L717" t="str">
        <f t="shared" si="73"/>
        <v>.</v>
      </c>
    </row>
    <row r="718" spans="1:12">
      <c r="A718" s="4" t="s">
        <v>958</v>
      </c>
      <c r="B718" s="8" t="s">
        <v>334</v>
      </c>
      <c r="C718" t="str">
        <f t="shared" si="70"/>
        <v>zzz:TBD</v>
      </c>
      <c r="D718">
        <f t="shared" si="71"/>
        <v>1</v>
      </c>
      <c r="E718" t="str">
        <f t="shared" si="72"/>
        <v>ddhub:ReciprocalHectometre</v>
      </c>
      <c r="F718" t="s">
        <v>2100</v>
      </c>
      <c r="G718" t="s">
        <v>177</v>
      </c>
      <c r="H718" t="s">
        <v>2091</v>
      </c>
      <c r="J718" s="8" t="s">
        <v>334</v>
      </c>
      <c r="K718">
        <f t="shared" si="69"/>
        <v>1</v>
      </c>
      <c r="L718" t="str">
        <f t="shared" si="73"/>
        <v>.</v>
      </c>
    </row>
    <row r="719" spans="1:12">
      <c r="A719" s="4" t="s">
        <v>959</v>
      </c>
      <c r="B719" s="8" t="s">
        <v>334</v>
      </c>
      <c r="C719" t="str">
        <f t="shared" si="70"/>
        <v>zzz:TBD</v>
      </c>
      <c r="D719">
        <f t="shared" si="71"/>
        <v>1</v>
      </c>
      <c r="E719" t="str">
        <f t="shared" si="72"/>
        <v>ddhub:ReciprocalInch</v>
      </c>
      <c r="F719" t="s">
        <v>2101</v>
      </c>
      <c r="G719" t="s">
        <v>177</v>
      </c>
      <c r="H719" t="s">
        <v>2091</v>
      </c>
      <c r="J719" s="8" t="s">
        <v>334</v>
      </c>
      <c r="K719">
        <f t="shared" si="69"/>
        <v>1</v>
      </c>
      <c r="L719" t="str">
        <f t="shared" si="73"/>
        <v>.</v>
      </c>
    </row>
    <row r="720" spans="1:12">
      <c r="A720" s="4" t="s">
        <v>960</v>
      </c>
      <c r="B720" s="8" t="s">
        <v>334</v>
      </c>
      <c r="C720" t="str">
        <f t="shared" si="70"/>
        <v>zzz:TBD</v>
      </c>
      <c r="D720">
        <f t="shared" si="71"/>
        <v>1</v>
      </c>
      <c r="E720" s="4" t="s">
        <v>960</v>
      </c>
      <c r="J720" s="8" t="s">
        <v>334</v>
      </c>
      <c r="K720">
        <f t="shared" si="69"/>
        <v>1</v>
      </c>
      <c r="L720" t="str">
        <f t="shared" si="73"/>
        <v>.</v>
      </c>
    </row>
    <row r="721" spans="1:12">
      <c r="A721" s="4" t="s">
        <v>961</v>
      </c>
      <c r="B721" s="8" t="s">
        <v>334</v>
      </c>
      <c r="C721" t="str">
        <f t="shared" si="70"/>
        <v>zzz:TBD</v>
      </c>
      <c r="D721">
        <f t="shared" si="71"/>
        <v>1</v>
      </c>
      <c r="E721" s="4" t="s">
        <v>961</v>
      </c>
      <c r="J721" s="8" t="s">
        <v>334</v>
      </c>
      <c r="K721">
        <f t="shared" si="69"/>
        <v>1</v>
      </c>
      <c r="L721" t="str">
        <f t="shared" si="73"/>
        <v>.</v>
      </c>
    </row>
    <row r="722" spans="1:12">
      <c r="A722" s="4" t="s">
        <v>962</v>
      </c>
      <c r="B722" s="8" t="s">
        <v>334</v>
      </c>
      <c r="C722" t="str">
        <f t="shared" si="70"/>
        <v>zzz:TBD</v>
      </c>
      <c r="D722">
        <f t="shared" si="71"/>
        <v>1</v>
      </c>
      <c r="E722" s="4" t="s">
        <v>962</v>
      </c>
      <c r="J722" s="8" t="s">
        <v>334</v>
      </c>
      <c r="K722">
        <f t="shared" si="69"/>
        <v>1</v>
      </c>
      <c r="L722" t="str">
        <f t="shared" si="73"/>
        <v>.</v>
      </c>
    </row>
    <row r="723" spans="1:12">
      <c r="A723" s="4" t="s">
        <v>963</v>
      </c>
      <c r="B723" s="8" t="s">
        <v>334</v>
      </c>
      <c r="C723" t="str">
        <f t="shared" si="70"/>
        <v>zzz:TBD</v>
      </c>
      <c r="D723">
        <f t="shared" si="71"/>
        <v>1</v>
      </c>
      <c r="E723" s="4" t="s">
        <v>963</v>
      </c>
      <c r="J723" s="8" t="s">
        <v>334</v>
      </c>
      <c r="K723">
        <f t="shared" si="69"/>
        <v>1</v>
      </c>
      <c r="L723" t="str">
        <f t="shared" si="73"/>
        <v>.</v>
      </c>
    </row>
    <row r="724" spans="1:12">
      <c r="A724" s="4" t="s">
        <v>964</v>
      </c>
      <c r="B724" s="8" t="s">
        <v>334</v>
      </c>
      <c r="C724" t="str">
        <f t="shared" si="70"/>
        <v>zzz:TBD</v>
      </c>
      <c r="D724">
        <f t="shared" si="71"/>
        <v>1</v>
      </c>
      <c r="E724" s="4" t="s">
        <v>964</v>
      </c>
      <c r="J724" s="8" t="s">
        <v>334</v>
      </c>
      <c r="K724">
        <f t="shared" si="69"/>
        <v>1</v>
      </c>
      <c r="L724" t="str">
        <f t="shared" si="73"/>
        <v>.</v>
      </c>
    </row>
    <row r="725" spans="1:12">
      <c r="A725" s="4" t="s">
        <v>965</v>
      </c>
      <c r="B725" s="8" t="s">
        <v>334</v>
      </c>
      <c r="C725" t="str">
        <f t="shared" si="70"/>
        <v>zzz:TBD</v>
      </c>
      <c r="D725">
        <f t="shared" si="71"/>
        <v>1</v>
      </c>
      <c r="E725" s="4" t="s">
        <v>965</v>
      </c>
      <c r="J725" s="8" t="s">
        <v>334</v>
      </c>
      <c r="K725">
        <f t="shared" si="69"/>
        <v>1</v>
      </c>
      <c r="L725" t="str">
        <f t="shared" si="73"/>
        <v>.</v>
      </c>
    </row>
    <row r="726" spans="1:12">
      <c r="A726" s="4" t="s">
        <v>966</v>
      </c>
      <c r="B726" s="8" t="s">
        <v>334</v>
      </c>
      <c r="C726" t="str">
        <f t="shared" si="70"/>
        <v>zzz:TBD</v>
      </c>
      <c r="D726">
        <f t="shared" si="71"/>
        <v>1</v>
      </c>
      <c r="E726" s="4" t="s">
        <v>966</v>
      </c>
      <c r="J726" s="8" t="s">
        <v>334</v>
      </c>
      <c r="K726">
        <f t="shared" si="69"/>
        <v>1</v>
      </c>
      <c r="L726" t="str">
        <f t="shared" si="73"/>
        <v>.</v>
      </c>
    </row>
    <row r="727" spans="1:12">
      <c r="A727" s="4" t="s">
        <v>967</v>
      </c>
      <c r="B727" s="8" t="s">
        <v>334</v>
      </c>
      <c r="C727" t="str">
        <f t="shared" si="70"/>
        <v>zzz:TBD</v>
      </c>
      <c r="D727">
        <f t="shared" si="71"/>
        <v>1</v>
      </c>
      <c r="E727" s="4" t="s">
        <v>967</v>
      </c>
      <c r="J727" s="8" t="s">
        <v>334</v>
      </c>
      <c r="K727">
        <f t="shared" si="69"/>
        <v>1</v>
      </c>
      <c r="L727" t="str">
        <f t="shared" si="73"/>
        <v>.</v>
      </c>
    </row>
    <row r="728" spans="1:12">
      <c r="A728" s="4" t="s">
        <v>968</v>
      </c>
      <c r="B728" s="8" t="s">
        <v>334</v>
      </c>
      <c r="C728" t="str">
        <f t="shared" si="70"/>
        <v>zzz:TBD</v>
      </c>
      <c r="D728">
        <f t="shared" si="71"/>
        <v>1</v>
      </c>
      <c r="E728" s="4" t="s">
        <v>968</v>
      </c>
      <c r="J728" s="8" t="s">
        <v>334</v>
      </c>
      <c r="K728">
        <f t="shared" si="69"/>
        <v>1</v>
      </c>
      <c r="L728" t="str">
        <f t="shared" si="73"/>
        <v>.</v>
      </c>
    </row>
    <row r="729" spans="1:12">
      <c r="A729" s="4" t="s">
        <v>969</v>
      </c>
      <c r="B729" s="8" t="s">
        <v>334</v>
      </c>
      <c r="C729" t="str">
        <f t="shared" si="70"/>
        <v>zzz:TBD</v>
      </c>
      <c r="D729">
        <f t="shared" si="71"/>
        <v>1</v>
      </c>
      <c r="E729" s="4" t="s">
        <v>969</v>
      </c>
      <c r="J729" s="8" t="s">
        <v>334</v>
      </c>
      <c r="K729">
        <f t="shared" si="69"/>
        <v>1</v>
      </c>
      <c r="L729" t="str">
        <f t="shared" si="73"/>
        <v>.</v>
      </c>
    </row>
    <row r="730" spans="1:12">
      <c r="A730" s="4" t="s">
        <v>970</v>
      </c>
      <c r="B730" s="8" t="s">
        <v>334</v>
      </c>
      <c r="C730" t="str">
        <f t="shared" si="70"/>
        <v>zzz:TBD</v>
      </c>
      <c r="D730">
        <f t="shared" si="71"/>
        <v>1</v>
      </c>
      <c r="E730" s="4" t="s">
        <v>970</v>
      </c>
      <c r="J730" s="8" t="s">
        <v>334</v>
      </c>
      <c r="K730">
        <f t="shared" si="69"/>
        <v>1</v>
      </c>
      <c r="L730" t="str">
        <f t="shared" si="73"/>
        <v>.</v>
      </c>
    </row>
    <row r="731" spans="1:12">
      <c r="A731" s="4" t="s">
        <v>971</v>
      </c>
      <c r="B731" s="8" t="s">
        <v>334</v>
      </c>
      <c r="C731" t="str">
        <f t="shared" si="70"/>
        <v>zzz:TBD</v>
      </c>
      <c r="D731">
        <f t="shared" si="71"/>
        <v>1</v>
      </c>
      <c r="E731" s="4" t="s">
        <v>971</v>
      </c>
      <c r="J731" s="8" t="s">
        <v>334</v>
      </c>
      <c r="K731">
        <f t="shared" si="69"/>
        <v>1</v>
      </c>
      <c r="L731" t="str">
        <f t="shared" si="73"/>
        <v>.</v>
      </c>
    </row>
    <row r="732" spans="1:12">
      <c r="A732" s="4" t="s">
        <v>972</v>
      </c>
      <c r="B732" s="8" t="s">
        <v>334</v>
      </c>
      <c r="C732" t="str">
        <f t="shared" si="70"/>
        <v>zzz:TBD</v>
      </c>
      <c r="D732">
        <f t="shared" si="71"/>
        <v>1</v>
      </c>
      <c r="E732" s="4" t="s">
        <v>972</v>
      </c>
      <c r="J732" s="8" t="s">
        <v>334</v>
      </c>
      <c r="K732">
        <f t="shared" si="69"/>
        <v>1</v>
      </c>
      <c r="L732" t="str">
        <f t="shared" si="73"/>
        <v>.</v>
      </c>
    </row>
    <row r="733" spans="1:12">
      <c r="A733" s="4" t="s">
        <v>973</v>
      </c>
      <c r="B733" s="8" t="s">
        <v>334</v>
      </c>
      <c r="C733" t="str">
        <f t="shared" si="70"/>
        <v>zzz:TBD</v>
      </c>
      <c r="D733">
        <f t="shared" si="71"/>
        <v>1</v>
      </c>
      <c r="E733" s="4" t="s">
        <v>973</v>
      </c>
      <c r="J733" s="8" t="s">
        <v>334</v>
      </c>
      <c r="K733">
        <f t="shared" si="69"/>
        <v>1</v>
      </c>
      <c r="L733" t="str">
        <f t="shared" si="73"/>
        <v>.</v>
      </c>
    </row>
    <row r="734" spans="1:12">
      <c r="A734" s="4" t="s">
        <v>974</v>
      </c>
      <c r="B734" s="8" t="s">
        <v>334</v>
      </c>
      <c r="C734" t="str">
        <f t="shared" si="70"/>
        <v>zzz:TBD</v>
      </c>
      <c r="D734">
        <f t="shared" si="71"/>
        <v>1</v>
      </c>
      <c r="E734" s="4" t="s">
        <v>974</v>
      </c>
      <c r="J734" s="8" t="s">
        <v>334</v>
      </c>
      <c r="K734">
        <f t="shared" si="69"/>
        <v>1</v>
      </c>
      <c r="L734" t="str">
        <f t="shared" si="73"/>
        <v>.</v>
      </c>
    </row>
    <row r="735" spans="1:12">
      <c r="A735" s="4" t="s">
        <v>975</v>
      </c>
      <c r="B735" s="8" t="s">
        <v>334</v>
      </c>
      <c r="C735" t="str">
        <f t="shared" si="70"/>
        <v>zzz:TBD</v>
      </c>
      <c r="D735">
        <f t="shared" si="71"/>
        <v>1</v>
      </c>
      <c r="E735" s="4" t="s">
        <v>975</v>
      </c>
      <c r="J735" s="8" t="s">
        <v>334</v>
      </c>
      <c r="K735">
        <f t="shared" si="69"/>
        <v>1</v>
      </c>
      <c r="L735" t="str">
        <f t="shared" si="73"/>
        <v>.</v>
      </c>
    </row>
    <row r="736" spans="1:12">
      <c r="A736" s="4" t="s">
        <v>976</v>
      </c>
      <c r="B736" s="8" t="s">
        <v>334</v>
      </c>
      <c r="C736" t="str">
        <f t="shared" si="70"/>
        <v>zzz:TBD</v>
      </c>
      <c r="D736">
        <f t="shared" si="71"/>
        <v>1</v>
      </c>
      <c r="E736" s="4" t="s">
        <v>976</v>
      </c>
      <c r="J736" s="8" t="s">
        <v>334</v>
      </c>
      <c r="K736">
        <f t="shared" si="69"/>
        <v>1</v>
      </c>
      <c r="L736" t="str">
        <f t="shared" si="73"/>
        <v>.</v>
      </c>
    </row>
    <row r="737" spans="1:12">
      <c r="A737" s="4" t="s">
        <v>977</v>
      </c>
      <c r="B737" s="8" t="s">
        <v>334</v>
      </c>
      <c r="C737" t="str">
        <f t="shared" si="70"/>
        <v>zzz:TBD</v>
      </c>
      <c r="D737">
        <f t="shared" si="71"/>
        <v>1</v>
      </c>
      <c r="E737" s="4" t="s">
        <v>977</v>
      </c>
      <c r="J737" s="8" t="s">
        <v>334</v>
      </c>
      <c r="K737">
        <f t="shared" si="69"/>
        <v>1</v>
      </c>
      <c r="L737" t="str">
        <f t="shared" si="73"/>
        <v>.</v>
      </c>
    </row>
    <row r="738" spans="1:12">
      <c r="A738" s="4" t="s">
        <v>978</v>
      </c>
      <c r="B738" s="8" t="s">
        <v>334</v>
      </c>
      <c r="C738" t="str">
        <f t="shared" si="70"/>
        <v>zzz:TBD</v>
      </c>
      <c r="D738">
        <f t="shared" si="71"/>
        <v>1</v>
      </c>
      <c r="E738" s="4" t="s">
        <v>978</v>
      </c>
      <c r="J738" s="8" t="s">
        <v>334</v>
      </c>
      <c r="K738">
        <f t="shared" si="69"/>
        <v>1</v>
      </c>
      <c r="L738" t="str">
        <f t="shared" si="73"/>
        <v>.</v>
      </c>
    </row>
    <row r="739" spans="1:12">
      <c r="A739" s="4" t="s">
        <v>979</v>
      </c>
      <c r="B739" s="8" t="s">
        <v>334</v>
      </c>
      <c r="C739" t="str">
        <f t="shared" si="70"/>
        <v>zzz:TBD</v>
      </c>
      <c r="D739">
        <f t="shared" si="71"/>
        <v>1</v>
      </c>
      <c r="E739" s="4" t="s">
        <v>979</v>
      </c>
      <c r="J739" s="8" t="s">
        <v>334</v>
      </c>
      <c r="K739">
        <f t="shared" si="69"/>
        <v>1</v>
      </c>
      <c r="L739" t="str">
        <f t="shared" si="73"/>
        <v>.</v>
      </c>
    </row>
    <row r="740" spans="1:12">
      <c r="A740" s="4" t="s">
        <v>980</v>
      </c>
      <c r="B740" s="8" t="s">
        <v>142</v>
      </c>
      <c r="C740" t="str">
        <f t="shared" si="70"/>
        <v>ddhub:RelativeTemperatureQuantity</v>
      </c>
      <c r="D740">
        <f t="shared" si="71"/>
        <v>0</v>
      </c>
      <c r="E740" t="str">
        <f t="shared" si="72"/>
        <v>ddhub:RelativeCelsius</v>
      </c>
      <c r="F740" t="s">
        <v>2102</v>
      </c>
      <c r="G740" t="s">
        <v>140</v>
      </c>
      <c r="H740" t="s">
        <v>2103</v>
      </c>
      <c r="J740" t="str">
        <f t="shared" si="68"/>
        <v>ddhub:RelativeTemperatureQuantity</v>
      </c>
      <c r="K740">
        <f t="shared" si="69"/>
        <v>0</v>
      </c>
      <c r="L740" t="str">
        <f t="shared" si="73"/>
        <v>.</v>
      </c>
    </row>
    <row r="741" spans="1:12">
      <c r="A741" s="4" t="s">
        <v>982</v>
      </c>
      <c r="B741" s="8" t="s">
        <v>2104</v>
      </c>
      <c r="C741" s="13" t="str">
        <f t="shared" si="70"/>
        <v>ddhub:PlaneAngleQuantity</v>
      </c>
      <c r="D741">
        <f t="shared" si="71"/>
        <v>0</v>
      </c>
      <c r="E741" t="str">
        <f t="shared" si="72"/>
        <v>ddhub:Revolution</v>
      </c>
      <c r="F741" t="s">
        <v>2105</v>
      </c>
      <c r="G741" t="s">
        <v>26</v>
      </c>
      <c r="H741" t="s">
        <v>1243</v>
      </c>
      <c r="J741" t="str">
        <f t="shared" si="68"/>
        <v>ddhub:PlaneAngleQuantity</v>
      </c>
      <c r="K741">
        <f t="shared" si="69"/>
        <v>0</v>
      </c>
      <c r="L741" t="str">
        <f t="shared" si="73"/>
        <v>.</v>
      </c>
    </row>
    <row r="742" spans="1:12">
      <c r="A742" s="4" t="s">
        <v>983</v>
      </c>
      <c r="B742" s="8" t="s">
        <v>384</v>
      </c>
      <c r="C742" t="str">
        <f t="shared" si="70"/>
        <v>ddhub:AngularVelocityQuantity</v>
      </c>
      <c r="D742">
        <f t="shared" si="71"/>
        <v>0</v>
      </c>
      <c r="E742" t="str">
        <f t="shared" si="72"/>
        <v>ddhub:RotationPerHour</v>
      </c>
      <c r="F742" t="s">
        <v>2106</v>
      </c>
      <c r="G742" t="s">
        <v>29</v>
      </c>
      <c r="H742" t="s">
        <v>2107</v>
      </c>
      <c r="J742" t="str">
        <f t="shared" si="68"/>
        <v>ddhub:AngularVelocityQuantity</v>
      </c>
      <c r="K742">
        <f t="shared" si="69"/>
        <v>0</v>
      </c>
      <c r="L742" t="str">
        <f t="shared" si="73"/>
        <v>.</v>
      </c>
    </row>
    <row r="743" spans="1:12">
      <c r="A743" s="4" t="s">
        <v>984</v>
      </c>
      <c r="B743" s="8" t="s">
        <v>384</v>
      </c>
      <c r="C743" t="str">
        <f t="shared" si="70"/>
        <v>ddhub:AngularVelocityQuantity</v>
      </c>
      <c r="D743">
        <f t="shared" si="71"/>
        <v>0</v>
      </c>
      <c r="E743" t="str">
        <f t="shared" si="72"/>
        <v>ddhub:RotationPerSecond</v>
      </c>
      <c r="F743" t="s">
        <v>2108</v>
      </c>
      <c r="G743" t="s">
        <v>29</v>
      </c>
      <c r="H743" t="s">
        <v>2107</v>
      </c>
      <c r="J743" t="str">
        <f t="shared" si="68"/>
        <v>ddhub:AngularVelocityQuantity</v>
      </c>
      <c r="K743">
        <f t="shared" si="69"/>
        <v>0</v>
      </c>
      <c r="L743" t="str">
        <f t="shared" si="73"/>
        <v>.</v>
      </c>
    </row>
    <row r="744" spans="1:12">
      <c r="A744" s="4" t="s">
        <v>985</v>
      </c>
      <c r="B744" s="8" t="s">
        <v>384</v>
      </c>
      <c r="C744" t="str">
        <f t="shared" si="70"/>
        <v>ddhub:AngularVelocityQuantity</v>
      </c>
      <c r="D744">
        <f t="shared" si="71"/>
        <v>0</v>
      </c>
      <c r="E744" t="str">
        <f t="shared" si="72"/>
        <v>ddhub:Rpm</v>
      </c>
      <c r="F744" t="s">
        <v>2109</v>
      </c>
      <c r="G744" t="s">
        <v>29</v>
      </c>
      <c r="H744" t="s">
        <v>2110</v>
      </c>
      <c r="J744" t="str">
        <f t="shared" si="68"/>
        <v>ddhub:AngularVelocityQuantity</v>
      </c>
      <c r="K744">
        <f t="shared" si="69"/>
        <v>0</v>
      </c>
      <c r="L744" t="str">
        <f t="shared" si="73"/>
        <v>.</v>
      </c>
    </row>
    <row r="745" spans="1:12">
      <c r="A745" s="4" t="s">
        <v>987</v>
      </c>
      <c r="B745" s="8" t="s">
        <v>9</v>
      </c>
      <c r="C745" t="str">
        <f t="shared" si="70"/>
        <v>ddhub:LengthQuantity</v>
      </c>
      <c r="D745">
        <f t="shared" si="71"/>
        <v>1</v>
      </c>
      <c r="E745" t="str">
        <f t="shared" si="72"/>
        <v>ddhub:ScandinavianMile</v>
      </c>
      <c r="F745" t="s">
        <v>2111</v>
      </c>
      <c r="G745" t="s">
        <v>10</v>
      </c>
      <c r="H745" t="s">
        <v>2112</v>
      </c>
      <c r="J745" t="str">
        <f t="shared" si="68"/>
        <v>ddhub:LengthQuantity</v>
      </c>
      <c r="K745">
        <f t="shared" si="69"/>
        <v>1</v>
      </c>
      <c r="L745" t="str">
        <f t="shared" si="73"/>
        <v>.</v>
      </c>
    </row>
    <row r="746" spans="1:12">
      <c r="A746" s="4" t="s">
        <v>988</v>
      </c>
      <c r="B746" s="8" t="s">
        <v>201</v>
      </c>
      <c r="C746" t="str">
        <f t="shared" si="70"/>
        <v>ddhub:TimeQuantity</v>
      </c>
      <c r="D746">
        <f t="shared" si="71"/>
        <v>1</v>
      </c>
      <c r="E746" t="str">
        <f t="shared" si="72"/>
        <v>ddhub:Second</v>
      </c>
      <c r="F746" t="s">
        <v>2113</v>
      </c>
      <c r="G746" t="s">
        <v>162</v>
      </c>
      <c r="H746" t="s">
        <v>2114</v>
      </c>
      <c r="J746" t="str">
        <f t="shared" si="68"/>
        <v>ddhub:TimeQuantity</v>
      </c>
      <c r="K746">
        <f t="shared" si="69"/>
        <v>1</v>
      </c>
      <c r="L746" t="str">
        <f t="shared" si="73"/>
        <v>.</v>
      </c>
    </row>
    <row r="747" spans="1:12">
      <c r="A747" s="4" t="s">
        <v>990</v>
      </c>
      <c r="B747" s="8" t="s">
        <v>334</v>
      </c>
      <c r="C747" t="str">
        <f t="shared" si="70"/>
        <v>ddhub:PlaneAngleQuantity</v>
      </c>
      <c r="D747">
        <f t="shared" si="71"/>
        <v>0</v>
      </c>
      <c r="E747" t="str">
        <f t="shared" si="72"/>
        <v>ddhub:Sextant</v>
      </c>
      <c r="F747" t="s">
        <v>2115</v>
      </c>
      <c r="G747" t="s">
        <v>26</v>
      </c>
      <c r="H747" t="s">
        <v>2116</v>
      </c>
      <c r="J747" t="str">
        <f t="shared" si="68"/>
        <v>ddhub:PlaneAngleQuantity</v>
      </c>
      <c r="K747">
        <f t="shared" si="69"/>
        <v>0</v>
      </c>
      <c r="L747" t="str">
        <f t="shared" si="73"/>
        <v>.</v>
      </c>
    </row>
    <row r="748" spans="1:12">
      <c r="A748" s="4" t="s">
        <v>991</v>
      </c>
      <c r="B748" s="8" t="s">
        <v>201</v>
      </c>
      <c r="C748" t="str">
        <f t="shared" si="70"/>
        <v>ddhub:TimeQuantity</v>
      </c>
      <c r="D748">
        <f t="shared" si="71"/>
        <v>1</v>
      </c>
      <c r="E748" t="str">
        <f t="shared" si="72"/>
        <v>ddhub:Shake</v>
      </c>
      <c r="F748" t="s">
        <v>2117</v>
      </c>
      <c r="G748" t="s">
        <v>162</v>
      </c>
      <c r="H748" t="s">
        <v>2118</v>
      </c>
      <c r="J748" t="str">
        <f t="shared" si="68"/>
        <v>ddhub:TimeQuantity</v>
      </c>
      <c r="K748">
        <f t="shared" si="69"/>
        <v>1</v>
      </c>
      <c r="L748" t="str">
        <f t="shared" si="73"/>
        <v>.</v>
      </c>
    </row>
    <row r="749" spans="1:12">
      <c r="A749" s="4" t="s">
        <v>992</v>
      </c>
      <c r="B749" s="8" t="s">
        <v>384</v>
      </c>
      <c r="C749" t="str">
        <f t="shared" si="70"/>
        <v>ddhub:FrequencyQuantity</v>
      </c>
      <c r="D749">
        <f t="shared" si="71"/>
        <v>1</v>
      </c>
      <c r="E749" t="str">
        <f t="shared" si="72"/>
        <v>ddhub:ShockPerHour</v>
      </c>
      <c r="F749" t="s">
        <v>2119</v>
      </c>
      <c r="G749" t="s">
        <v>77</v>
      </c>
      <c r="H749" t="s">
        <v>2120</v>
      </c>
      <c r="J749" t="str">
        <f t="shared" si="68"/>
        <v>ddhub:FrequencyQuantity</v>
      </c>
      <c r="K749">
        <f t="shared" si="69"/>
        <v>1</v>
      </c>
      <c r="L749" t="str">
        <f t="shared" si="73"/>
        <v>.</v>
      </c>
    </row>
    <row r="750" spans="1:12">
      <c r="A750" s="4" t="s">
        <v>993</v>
      </c>
      <c r="B750" s="8" t="s">
        <v>384</v>
      </c>
      <c r="C750" t="str">
        <f t="shared" si="70"/>
        <v>ddhub:FrequencyQuantity</v>
      </c>
      <c r="D750">
        <f t="shared" si="71"/>
        <v>1</v>
      </c>
      <c r="E750" t="str">
        <f t="shared" si="72"/>
        <v>ddhub:ShockPerMinute</v>
      </c>
      <c r="F750" t="s">
        <v>2121</v>
      </c>
      <c r="G750" t="s">
        <v>77</v>
      </c>
      <c r="H750" t="s">
        <v>2122</v>
      </c>
      <c r="J750" t="str">
        <f t="shared" si="68"/>
        <v>ddhub:FrequencyQuantity</v>
      </c>
      <c r="K750">
        <f t="shared" si="69"/>
        <v>1</v>
      </c>
      <c r="L750" t="str">
        <f t="shared" si="73"/>
        <v>.</v>
      </c>
    </row>
    <row r="751" spans="1:12">
      <c r="A751" s="4" t="s">
        <v>994</v>
      </c>
      <c r="B751" s="8" t="s">
        <v>384</v>
      </c>
      <c r="C751" t="str">
        <f t="shared" si="70"/>
        <v>ddhub:FrequencyQuantity</v>
      </c>
      <c r="D751">
        <f t="shared" si="71"/>
        <v>1</v>
      </c>
      <c r="E751" t="str">
        <f t="shared" si="72"/>
        <v>ddhub:ShockPerSecond</v>
      </c>
      <c r="F751" t="s">
        <v>2123</v>
      </c>
      <c r="G751" t="s">
        <v>77</v>
      </c>
      <c r="H751" t="s">
        <v>2124</v>
      </c>
      <c r="J751" t="str">
        <f t="shared" si="68"/>
        <v>ddhub:FrequencyQuantity</v>
      </c>
      <c r="K751">
        <f t="shared" si="69"/>
        <v>1</v>
      </c>
      <c r="L751" t="str">
        <f t="shared" si="73"/>
        <v>.</v>
      </c>
    </row>
    <row r="752" spans="1:12">
      <c r="A752" s="4" t="s">
        <v>996</v>
      </c>
      <c r="B752" s="8" t="s">
        <v>334</v>
      </c>
      <c r="C752" t="str">
        <f t="shared" si="70"/>
        <v>zzz:TBD</v>
      </c>
      <c r="D752">
        <f t="shared" si="71"/>
        <v>1</v>
      </c>
      <c r="E752" t="str">
        <f t="shared" si="72"/>
        <v>ddhub:SiemensVolt</v>
      </c>
      <c r="F752" t="s">
        <v>2125</v>
      </c>
      <c r="G752" t="s">
        <v>1153</v>
      </c>
      <c r="H752" t="s">
        <v>2126</v>
      </c>
      <c r="J752" s="8" t="s">
        <v>334</v>
      </c>
      <c r="K752">
        <f t="shared" si="69"/>
        <v>1</v>
      </c>
      <c r="L752" t="str">
        <f t="shared" si="73"/>
        <v>.</v>
      </c>
    </row>
    <row r="753" spans="1:12">
      <c r="A753" s="4" t="s">
        <v>998</v>
      </c>
      <c r="B753" s="8" t="s">
        <v>34</v>
      </c>
      <c r="C753" t="str">
        <f t="shared" si="70"/>
        <v>ddhub:MassQuantity</v>
      </c>
      <c r="D753">
        <f t="shared" si="71"/>
        <v>1</v>
      </c>
      <c r="E753" t="str">
        <f t="shared" si="72"/>
        <v>ddhub:SolarMass</v>
      </c>
      <c r="F753" t="s">
        <v>2127</v>
      </c>
      <c r="G753" t="s">
        <v>35</v>
      </c>
      <c r="H753" t="s">
        <v>2128</v>
      </c>
      <c r="J753" t="str">
        <f t="shared" si="68"/>
        <v>ddhub:MassQuantity</v>
      </c>
      <c r="K753">
        <f t="shared" si="69"/>
        <v>1</v>
      </c>
      <c r="L753" t="str">
        <f t="shared" si="73"/>
        <v>.</v>
      </c>
    </row>
    <row r="754" spans="1:12">
      <c r="A754" s="4" t="s">
        <v>999</v>
      </c>
      <c r="B754" s="8" t="s">
        <v>50</v>
      </c>
      <c r="C754" t="str">
        <f t="shared" si="70"/>
        <v>ddhub:SolidAngleQuantity</v>
      </c>
      <c r="D754">
        <f t="shared" si="71"/>
        <v>0</v>
      </c>
      <c r="E754" t="str">
        <f t="shared" si="72"/>
        <v>ddhub:Spat</v>
      </c>
      <c r="F754" t="s">
        <v>2129</v>
      </c>
      <c r="G754" t="s">
        <v>149</v>
      </c>
      <c r="H754" t="s">
        <v>2130</v>
      </c>
      <c r="J754" t="str">
        <f t="shared" si="68"/>
        <v>ddhub:SolidAngleQuantity</v>
      </c>
      <c r="K754">
        <f t="shared" si="69"/>
        <v>0</v>
      </c>
      <c r="L754" t="str">
        <f t="shared" si="73"/>
        <v>.</v>
      </c>
    </row>
    <row r="755" spans="1:12">
      <c r="A755" s="4" t="s">
        <v>1000</v>
      </c>
      <c r="B755" s="8" t="s">
        <v>334</v>
      </c>
      <c r="C755" s="13" t="str">
        <f t="shared" si="70"/>
        <v>ddhub:ProportionQuantity</v>
      </c>
      <c r="D755">
        <f t="shared" si="71"/>
        <v>0</v>
      </c>
      <c r="E755" t="str">
        <f t="shared" si="72"/>
        <v>ddhub:SpecificGravity</v>
      </c>
      <c r="F755" t="s">
        <v>2131</v>
      </c>
      <c r="G755" t="s">
        <v>136</v>
      </c>
      <c r="H755" t="s">
        <v>2132</v>
      </c>
      <c r="J755" t="str">
        <f t="shared" si="68"/>
        <v>ddhub:ProportionQuantity</v>
      </c>
      <c r="K755">
        <f t="shared" si="69"/>
        <v>0</v>
      </c>
      <c r="L755" t="str">
        <f t="shared" si="73"/>
        <v>.</v>
      </c>
    </row>
    <row r="756" spans="1:12">
      <c r="A756" s="4" t="s">
        <v>1001</v>
      </c>
      <c r="B756" s="8" t="s">
        <v>334</v>
      </c>
      <c r="C756" t="str">
        <f t="shared" si="70"/>
        <v>zzz:TBD</v>
      </c>
      <c r="D756">
        <f t="shared" si="71"/>
        <v>1</v>
      </c>
      <c r="E756" t="str">
        <f t="shared" si="72"/>
        <v>ddhub:SpecificGravityPer100Metre</v>
      </c>
      <c r="F756" t="s">
        <v>2133</v>
      </c>
      <c r="G756" t="s">
        <v>1153</v>
      </c>
      <c r="H756" t="s">
        <v>2134</v>
      </c>
      <c r="J756" s="8" t="s">
        <v>334</v>
      </c>
      <c r="K756">
        <f t="shared" si="69"/>
        <v>1</v>
      </c>
      <c r="L756" t="str">
        <f t="shared" si="73"/>
        <v>.</v>
      </c>
    </row>
    <row r="757" spans="1:12">
      <c r="A757" s="4" t="s">
        <v>1003</v>
      </c>
      <c r="B757" s="8" t="s">
        <v>334</v>
      </c>
      <c r="C757" t="str">
        <f t="shared" si="70"/>
        <v>zzz:TBD</v>
      </c>
      <c r="D757">
        <f t="shared" si="71"/>
        <v>1</v>
      </c>
      <c r="E757" t="str">
        <f t="shared" si="72"/>
        <v>ddhub:SpecificGravityPer10Metre</v>
      </c>
      <c r="F757" t="s">
        <v>2135</v>
      </c>
      <c r="G757" t="s">
        <v>1153</v>
      </c>
      <c r="H757" t="s">
        <v>2134</v>
      </c>
      <c r="J757" s="8" t="s">
        <v>334</v>
      </c>
      <c r="K757">
        <f t="shared" ref="K757:K820" si="74">IF(B757=J757,1,0)</f>
        <v>1</v>
      </c>
      <c r="L757" t="str">
        <f t="shared" si="73"/>
        <v>.</v>
      </c>
    </row>
    <row r="758" spans="1:12">
      <c r="A758" s="4" t="s">
        <v>1005</v>
      </c>
      <c r="B758" s="8" t="s">
        <v>426</v>
      </c>
      <c r="C758" t="str">
        <f t="shared" si="70"/>
        <v>zzz:TBD</v>
      </c>
      <c r="D758">
        <f t="shared" si="71"/>
        <v>0</v>
      </c>
      <c r="E758" t="str">
        <f t="shared" si="72"/>
        <v>ddhub:SpecificGravityPer30Metre</v>
      </c>
      <c r="F758" t="s">
        <v>2136</v>
      </c>
      <c r="G758" t="s">
        <v>1153</v>
      </c>
      <c r="H758" t="s">
        <v>2134</v>
      </c>
      <c r="J758" s="8" t="s">
        <v>334</v>
      </c>
      <c r="K758">
        <f t="shared" si="74"/>
        <v>0</v>
      </c>
      <c r="L758" t="str">
        <f t="shared" si="73"/>
        <v>.</v>
      </c>
    </row>
    <row r="759" spans="1:12">
      <c r="A759" s="4" t="s">
        <v>1006</v>
      </c>
      <c r="B759" s="8" t="s">
        <v>334</v>
      </c>
      <c r="C759" t="str">
        <f t="shared" si="70"/>
        <v>zzz:TBD</v>
      </c>
      <c r="D759">
        <f t="shared" si="71"/>
        <v>1</v>
      </c>
      <c r="E759" t="str">
        <f t="shared" si="72"/>
        <v>ddhub:SpecificGravityPerCelsius</v>
      </c>
      <c r="F759" t="s">
        <v>2137</v>
      </c>
      <c r="G759" t="s">
        <v>1153</v>
      </c>
      <c r="H759" t="s">
        <v>2138</v>
      </c>
      <c r="J759" s="8" t="s">
        <v>334</v>
      </c>
      <c r="K759">
        <f t="shared" si="74"/>
        <v>1</v>
      </c>
      <c r="L759" t="str">
        <f t="shared" si="73"/>
        <v>.</v>
      </c>
    </row>
    <row r="760" spans="1:12">
      <c r="A760" s="4" t="s">
        <v>1008</v>
      </c>
      <c r="B760" s="8" t="s">
        <v>334</v>
      </c>
      <c r="C760" t="str">
        <f t="shared" si="70"/>
        <v>zzz:TBD</v>
      </c>
      <c r="D760">
        <f t="shared" si="71"/>
        <v>1</v>
      </c>
      <c r="E760" t="str">
        <f t="shared" si="72"/>
        <v>ddhub:SpecificGravityPerHour</v>
      </c>
      <c r="F760" t="s">
        <v>2139</v>
      </c>
      <c r="G760" t="s">
        <v>1153</v>
      </c>
      <c r="H760" t="s">
        <v>2140</v>
      </c>
      <c r="J760" s="8" t="s">
        <v>334</v>
      </c>
      <c r="K760">
        <f t="shared" si="74"/>
        <v>1</v>
      </c>
      <c r="L760" t="str">
        <f t="shared" si="73"/>
        <v>.</v>
      </c>
    </row>
    <row r="761" spans="1:12">
      <c r="A761" s="4" t="s">
        <v>1009</v>
      </c>
      <c r="B761" s="8" t="s">
        <v>334</v>
      </c>
      <c r="C761" t="str">
        <f t="shared" si="70"/>
        <v>zzz:TBD</v>
      </c>
      <c r="D761">
        <f t="shared" si="71"/>
        <v>1</v>
      </c>
      <c r="E761" t="str">
        <f t="shared" si="72"/>
        <v>ddhub:SpecificGravityPerMetre</v>
      </c>
      <c r="F761" t="s">
        <v>2141</v>
      </c>
      <c r="G761" t="s">
        <v>1153</v>
      </c>
      <c r="H761" t="s">
        <v>2134</v>
      </c>
      <c r="J761" s="8" t="s">
        <v>334</v>
      </c>
      <c r="K761">
        <f t="shared" si="74"/>
        <v>1</v>
      </c>
      <c r="L761" t="str">
        <f t="shared" si="73"/>
        <v>.</v>
      </c>
    </row>
    <row r="762" spans="1:12">
      <c r="A762" s="4" t="s">
        <v>1010</v>
      </c>
      <c r="B762" s="8" t="s">
        <v>334</v>
      </c>
      <c r="C762" t="str">
        <f t="shared" si="70"/>
        <v>zzz:TBD</v>
      </c>
      <c r="D762">
        <f t="shared" si="71"/>
        <v>1</v>
      </c>
      <c r="E762" t="str">
        <f t="shared" si="72"/>
        <v>ddhub:SpecificGravityPerMinute</v>
      </c>
      <c r="F762" t="s">
        <v>2142</v>
      </c>
      <c r="G762" t="s">
        <v>1153</v>
      </c>
      <c r="H762" t="s">
        <v>2140</v>
      </c>
      <c r="J762" s="8" t="s">
        <v>334</v>
      </c>
      <c r="K762">
        <f t="shared" si="74"/>
        <v>1</v>
      </c>
      <c r="L762" t="str">
        <f t="shared" si="73"/>
        <v>.</v>
      </c>
    </row>
    <row r="763" spans="1:12">
      <c r="A763" s="4" t="s">
        <v>1011</v>
      </c>
      <c r="B763" s="8" t="s">
        <v>426</v>
      </c>
      <c r="C763" t="str">
        <f t="shared" si="70"/>
        <v>zzz:TBD</v>
      </c>
      <c r="D763">
        <f t="shared" si="71"/>
        <v>0</v>
      </c>
      <c r="E763" t="str">
        <f t="shared" si="72"/>
        <v>ddhub:SpecificGravityPerSecond</v>
      </c>
      <c r="F763" t="s">
        <v>2143</v>
      </c>
      <c r="G763" t="s">
        <v>1153</v>
      </c>
      <c r="H763" t="s">
        <v>2140</v>
      </c>
      <c r="J763" s="8" t="s">
        <v>334</v>
      </c>
      <c r="K763">
        <f t="shared" si="74"/>
        <v>0</v>
      </c>
      <c r="L763" t="str">
        <f t="shared" si="73"/>
        <v>.</v>
      </c>
    </row>
    <row r="764" spans="1:12">
      <c r="A764" s="4" t="s">
        <v>1012</v>
      </c>
      <c r="B764" s="8" t="s">
        <v>384</v>
      </c>
      <c r="C764" t="str">
        <f t="shared" si="70"/>
        <v>ddhub:FrequencyQuantity</v>
      </c>
      <c r="D764">
        <f t="shared" si="71"/>
        <v>1</v>
      </c>
      <c r="E764" t="str">
        <f t="shared" si="72"/>
        <v>ddhub:Spm</v>
      </c>
      <c r="F764" t="s">
        <v>2144</v>
      </c>
      <c r="G764" t="s">
        <v>77</v>
      </c>
      <c r="H764" t="s">
        <v>2145</v>
      </c>
      <c r="J764" t="str">
        <f t="shared" ref="J764:J820" si="75">"ddhub:"&amp;G764</f>
        <v>ddhub:FrequencyQuantity</v>
      </c>
      <c r="K764">
        <f t="shared" si="74"/>
        <v>1</v>
      </c>
      <c r="L764" t="str">
        <f t="shared" si="73"/>
        <v>.</v>
      </c>
    </row>
    <row r="765" spans="1:12">
      <c r="A765" s="4" t="s">
        <v>1013</v>
      </c>
      <c r="B765" s="8" t="s">
        <v>17</v>
      </c>
      <c r="C765" t="str">
        <f t="shared" si="70"/>
        <v>ddhub:AreaQuantity</v>
      </c>
      <c r="D765">
        <f t="shared" si="71"/>
        <v>1</v>
      </c>
      <c r="E765" t="str">
        <f t="shared" si="72"/>
        <v>ddhub:SquareCentimetre</v>
      </c>
      <c r="F765" t="s">
        <v>2146</v>
      </c>
      <c r="G765" t="s">
        <v>18</v>
      </c>
      <c r="H765" t="s">
        <v>2147</v>
      </c>
      <c r="J765" t="str">
        <f t="shared" si="75"/>
        <v>ddhub:AreaQuantity</v>
      </c>
      <c r="K765">
        <f t="shared" si="74"/>
        <v>1</v>
      </c>
      <c r="L765" t="str">
        <f t="shared" si="73"/>
        <v>.</v>
      </c>
    </row>
    <row r="766" spans="1:12">
      <c r="A766" s="4" t="s">
        <v>1015</v>
      </c>
      <c r="B766" s="8" t="s">
        <v>17</v>
      </c>
      <c r="C766" t="str">
        <f t="shared" si="70"/>
        <v>ddhub:AreaQuantity</v>
      </c>
      <c r="D766">
        <f t="shared" si="71"/>
        <v>1</v>
      </c>
      <c r="E766" t="str">
        <f t="shared" si="72"/>
        <v>ddhub:SquareDecametre</v>
      </c>
      <c r="F766" t="s">
        <v>2148</v>
      </c>
      <c r="G766" t="s">
        <v>18</v>
      </c>
      <c r="H766" t="s">
        <v>2149</v>
      </c>
      <c r="J766" t="str">
        <f t="shared" si="75"/>
        <v>ddhub:AreaQuantity</v>
      </c>
      <c r="K766">
        <f t="shared" si="74"/>
        <v>1</v>
      </c>
      <c r="L766" t="str">
        <f t="shared" si="73"/>
        <v>.</v>
      </c>
    </row>
    <row r="767" spans="1:12">
      <c r="A767" s="4" t="s">
        <v>1016</v>
      </c>
      <c r="B767" s="8" t="s">
        <v>17</v>
      </c>
      <c r="C767" t="str">
        <f t="shared" si="70"/>
        <v>ddhub:AreaQuantity</v>
      </c>
      <c r="D767">
        <f t="shared" si="71"/>
        <v>1</v>
      </c>
      <c r="E767" t="str">
        <f t="shared" si="72"/>
        <v>ddhub:SquareDecimetre</v>
      </c>
      <c r="F767" t="s">
        <v>2150</v>
      </c>
      <c r="G767" t="s">
        <v>18</v>
      </c>
      <c r="H767" t="s">
        <v>2151</v>
      </c>
      <c r="J767" t="str">
        <f t="shared" si="75"/>
        <v>ddhub:AreaQuantity</v>
      </c>
      <c r="K767">
        <f t="shared" si="74"/>
        <v>1</v>
      </c>
      <c r="L767" t="str">
        <f t="shared" si="73"/>
        <v>.</v>
      </c>
    </row>
    <row r="768" spans="1:12">
      <c r="A768" s="4" t="s">
        <v>1018</v>
      </c>
      <c r="B768" s="8" t="s">
        <v>17</v>
      </c>
      <c r="C768" t="str">
        <f t="shared" si="70"/>
        <v>ddhub:AreaQuantity</v>
      </c>
      <c r="D768">
        <f t="shared" si="71"/>
        <v>1</v>
      </c>
      <c r="E768" t="str">
        <f t="shared" si="72"/>
        <v>ddhub:SquareFoot</v>
      </c>
      <c r="F768" t="s">
        <v>2152</v>
      </c>
      <c r="G768" t="s">
        <v>18</v>
      </c>
      <c r="H768" t="s">
        <v>2153</v>
      </c>
      <c r="J768" t="str">
        <f t="shared" si="75"/>
        <v>ddhub:AreaQuantity</v>
      </c>
      <c r="K768">
        <f t="shared" si="74"/>
        <v>1</v>
      </c>
      <c r="L768" t="str">
        <f t="shared" si="73"/>
        <v>.</v>
      </c>
    </row>
    <row r="769" spans="1:12">
      <c r="A769" s="4" t="s">
        <v>1019</v>
      </c>
      <c r="B769" s="8" t="s">
        <v>17</v>
      </c>
      <c r="C769" t="str">
        <f t="shared" si="70"/>
        <v>ddhub:AreaQuantity</v>
      </c>
      <c r="D769">
        <f t="shared" si="71"/>
        <v>1</v>
      </c>
      <c r="E769" t="str">
        <f t="shared" si="72"/>
        <v>ddhub:SquareInch</v>
      </c>
      <c r="F769" t="s">
        <v>2154</v>
      </c>
      <c r="G769" t="s">
        <v>18</v>
      </c>
      <c r="H769" t="s">
        <v>2155</v>
      </c>
      <c r="J769" t="str">
        <f t="shared" si="75"/>
        <v>ddhub:AreaQuantity</v>
      </c>
      <c r="K769">
        <f t="shared" si="74"/>
        <v>1</v>
      </c>
      <c r="L769" t="str">
        <f t="shared" si="73"/>
        <v>.</v>
      </c>
    </row>
    <row r="770" spans="1:12">
      <c r="A770" s="4" t="s">
        <v>1020</v>
      </c>
      <c r="B770" s="8" t="s">
        <v>17</v>
      </c>
      <c r="C770" t="str">
        <f t="shared" si="70"/>
        <v>ddhub:AreaQuantity</v>
      </c>
      <c r="D770">
        <f t="shared" si="71"/>
        <v>1</v>
      </c>
      <c r="E770" t="str">
        <f t="shared" si="72"/>
        <v>ddhub:SquareKilometre</v>
      </c>
      <c r="F770" t="s">
        <v>2156</v>
      </c>
      <c r="G770" t="s">
        <v>18</v>
      </c>
      <c r="H770" t="s">
        <v>2157</v>
      </c>
      <c r="J770" t="str">
        <f t="shared" si="75"/>
        <v>ddhub:AreaQuantity</v>
      </c>
      <c r="K770">
        <f t="shared" si="74"/>
        <v>1</v>
      </c>
      <c r="L770" t="str">
        <f t="shared" si="73"/>
        <v>.</v>
      </c>
    </row>
    <row r="771" spans="1:12">
      <c r="A771" s="4" t="s">
        <v>1022</v>
      </c>
      <c r="B771" s="8" t="s">
        <v>17</v>
      </c>
      <c r="C771" t="str">
        <f t="shared" ref="C771:C834" si="76">VLOOKUP(A771,E$2:J$838,6)</f>
        <v>ddhub:AreaQuantity</v>
      </c>
      <c r="D771">
        <f t="shared" ref="D771:D834" si="77">IF(B771=C771,1,0)</f>
        <v>1</v>
      </c>
      <c r="E771" t="str">
        <f t="shared" ref="E771:E834" si="78">"ddhub:"&amp;F771</f>
        <v>ddhub:SquareMetre</v>
      </c>
      <c r="F771" t="s">
        <v>2158</v>
      </c>
      <c r="G771" t="s">
        <v>18</v>
      </c>
      <c r="H771" t="s">
        <v>2159</v>
      </c>
      <c r="J771" t="str">
        <f t="shared" si="75"/>
        <v>ddhub:AreaQuantity</v>
      </c>
      <c r="K771">
        <f t="shared" si="74"/>
        <v>1</v>
      </c>
      <c r="L771" t="str">
        <f t="shared" ref="L771:L834" si="79">IF(D771=K771,".","?")</f>
        <v>.</v>
      </c>
    </row>
    <row r="772" spans="1:12">
      <c r="A772" s="4" t="s">
        <v>1025</v>
      </c>
      <c r="B772" s="8" t="s">
        <v>17</v>
      </c>
      <c r="C772" t="str">
        <f t="shared" si="76"/>
        <v>ddhub:AreaQuantity</v>
      </c>
      <c r="D772">
        <f t="shared" si="77"/>
        <v>1</v>
      </c>
      <c r="E772" t="str">
        <f t="shared" si="78"/>
        <v>ddhub:SquareMicrometre</v>
      </c>
      <c r="F772" t="s">
        <v>2160</v>
      </c>
      <c r="G772" t="s">
        <v>18</v>
      </c>
      <c r="H772" t="s">
        <v>2161</v>
      </c>
      <c r="J772" t="str">
        <f t="shared" si="75"/>
        <v>ddhub:AreaQuantity</v>
      </c>
      <c r="K772">
        <f t="shared" si="74"/>
        <v>1</v>
      </c>
      <c r="L772" t="str">
        <f t="shared" si="79"/>
        <v>.</v>
      </c>
    </row>
    <row r="773" spans="1:12">
      <c r="A773" s="4" t="s">
        <v>1027</v>
      </c>
      <c r="B773" s="8" t="s">
        <v>17</v>
      </c>
      <c r="C773" t="str">
        <f t="shared" si="76"/>
        <v>ddhub:AreaQuantity</v>
      </c>
      <c r="D773">
        <f t="shared" si="77"/>
        <v>1</v>
      </c>
      <c r="E773" t="str">
        <f t="shared" si="78"/>
        <v>ddhub:SquareMile</v>
      </c>
      <c r="F773" t="s">
        <v>2162</v>
      </c>
      <c r="G773" t="s">
        <v>18</v>
      </c>
      <c r="H773" t="s">
        <v>2163</v>
      </c>
      <c r="J773" t="str">
        <f t="shared" si="75"/>
        <v>ddhub:AreaQuantity</v>
      </c>
      <c r="K773">
        <f t="shared" si="74"/>
        <v>1</v>
      </c>
      <c r="L773" t="str">
        <f t="shared" si="79"/>
        <v>.</v>
      </c>
    </row>
    <row r="774" spans="1:12">
      <c r="A774" s="4" t="s">
        <v>1028</v>
      </c>
      <c r="B774" s="8" t="s">
        <v>17</v>
      </c>
      <c r="C774" t="str">
        <f t="shared" si="76"/>
        <v>ddhub:AreaQuantity</v>
      </c>
      <c r="D774">
        <f t="shared" si="77"/>
        <v>1</v>
      </c>
      <c r="E774" t="str">
        <f t="shared" si="78"/>
        <v>ddhub:SquareMillimetre</v>
      </c>
      <c r="F774" t="s">
        <v>2164</v>
      </c>
      <c r="G774" t="s">
        <v>18</v>
      </c>
      <c r="H774" t="s">
        <v>2165</v>
      </c>
      <c r="J774" t="str">
        <f t="shared" si="75"/>
        <v>ddhub:AreaQuantity</v>
      </c>
      <c r="K774">
        <f t="shared" si="74"/>
        <v>1</v>
      </c>
      <c r="L774" t="str">
        <f t="shared" si="79"/>
        <v>.</v>
      </c>
    </row>
    <row r="775" spans="1:12">
      <c r="A775" s="4" t="s">
        <v>1029</v>
      </c>
      <c r="B775" s="8" t="s">
        <v>17</v>
      </c>
      <c r="C775" t="str">
        <f t="shared" si="76"/>
        <v>ddhub:AreaQuantity</v>
      </c>
      <c r="D775">
        <f t="shared" si="77"/>
        <v>1</v>
      </c>
      <c r="E775" t="str">
        <f t="shared" si="78"/>
        <v>ddhub:SquareYard</v>
      </c>
      <c r="F775" t="s">
        <v>2166</v>
      </c>
      <c r="G775" t="s">
        <v>18</v>
      </c>
      <c r="H775" t="s">
        <v>2167</v>
      </c>
      <c r="J775" t="str">
        <f t="shared" si="75"/>
        <v>ddhub:AreaQuantity</v>
      </c>
      <c r="K775">
        <f t="shared" si="74"/>
        <v>1</v>
      </c>
      <c r="L775" t="str">
        <f t="shared" si="79"/>
        <v>.</v>
      </c>
    </row>
    <row r="776" spans="1:12">
      <c r="A776" s="4" t="s">
        <v>1030</v>
      </c>
      <c r="B776" s="8" t="s">
        <v>170</v>
      </c>
      <c r="C776" t="str">
        <f t="shared" si="76"/>
        <v>ddhub:PressureQuantity</v>
      </c>
      <c r="D776">
        <f t="shared" si="77"/>
        <v>1</v>
      </c>
      <c r="E776" t="str">
        <f t="shared" si="78"/>
        <v>ddhub:StandardAtmosphere</v>
      </c>
      <c r="F776" t="s">
        <v>2168</v>
      </c>
      <c r="G776" t="s">
        <v>43</v>
      </c>
      <c r="H776" t="s">
        <v>2169</v>
      </c>
      <c r="J776" t="str">
        <f t="shared" si="75"/>
        <v>ddhub:PressureQuantity</v>
      </c>
      <c r="K776">
        <f t="shared" si="74"/>
        <v>1</v>
      </c>
      <c r="L776" t="str">
        <f t="shared" si="79"/>
        <v>.</v>
      </c>
    </row>
    <row r="777" spans="1:12">
      <c r="A777" s="4" t="s">
        <v>1031</v>
      </c>
      <c r="B777" s="8" t="s">
        <v>13</v>
      </c>
      <c r="C777" t="str">
        <f t="shared" si="76"/>
        <v>ddhub:ElectricCurrentQuantity</v>
      </c>
      <c r="D777">
        <f t="shared" si="77"/>
        <v>1</v>
      </c>
      <c r="E777" t="str">
        <f t="shared" si="78"/>
        <v>ddhub:Statampere</v>
      </c>
      <c r="F777" t="s">
        <v>2170</v>
      </c>
      <c r="G777" t="s">
        <v>14</v>
      </c>
      <c r="H777" t="s">
        <v>2171</v>
      </c>
      <c r="J777" t="str">
        <f t="shared" si="75"/>
        <v>ddhub:ElectricCurrentQuantity</v>
      </c>
      <c r="K777">
        <f t="shared" si="74"/>
        <v>1</v>
      </c>
      <c r="L777" t="str">
        <f t="shared" si="79"/>
        <v>.</v>
      </c>
    </row>
    <row r="778" spans="1:12">
      <c r="A778" s="4" t="s">
        <v>1032</v>
      </c>
      <c r="B778" s="8" t="s">
        <v>328</v>
      </c>
      <c r="C778" t="str">
        <f t="shared" si="76"/>
        <v>ddhub:SolidAngleQuantity</v>
      </c>
      <c r="D778">
        <f t="shared" si="77"/>
        <v>1</v>
      </c>
      <c r="E778" t="str">
        <f t="shared" si="78"/>
        <v>ddhub:Steradian</v>
      </c>
      <c r="F778" t="s">
        <v>2172</v>
      </c>
      <c r="G778" t="s">
        <v>149</v>
      </c>
      <c r="H778" t="s">
        <v>2173</v>
      </c>
      <c r="J778" t="str">
        <f t="shared" si="75"/>
        <v>ddhub:SolidAngleQuantity</v>
      </c>
      <c r="K778">
        <f t="shared" si="74"/>
        <v>1</v>
      </c>
      <c r="L778" t="str">
        <f t="shared" si="79"/>
        <v>.</v>
      </c>
    </row>
    <row r="779" spans="1:12">
      <c r="A779" s="4" t="s">
        <v>1033</v>
      </c>
      <c r="B779" s="8" t="s">
        <v>34</v>
      </c>
      <c r="C779" t="str">
        <f t="shared" si="76"/>
        <v>ddhub:MassQuantity</v>
      </c>
      <c r="D779">
        <f t="shared" si="77"/>
        <v>1</v>
      </c>
      <c r="E779" t="str">
        <f t="shared" si="78"/>
        <v>ddhub:Stone</v>
      </c>
      <c r="F779" t="s">
        <v>2174</v>
      </c>
      <c r="G779" t="s">
        <v>35</v>
      </c>
      <c r="H779" t="s">
        <v>2175</v>
      </c>
      <c r="J779" t="str">
        <f t="shared" si="75"/>
        <v>ddhub:MassQuantity</v>
      </c>
      <c r="K779">
        <f t="shared" si="74"/>
        <v>1</v>
      </c>
      <c r="L779" t="str">
        <f t="shared" si="79"/>
        <v>.</v>
      </c>
    </row>
    <row r="780" spans="1:12">
      <c r="A780" s="4" t="s">
        <v>1034</v>
      </c>
      <c r="B780" s="8" t="s">
        <v>384</v>
      </c>
      <c r="C780" t="str">
        <f t="shared" si="76"/>
        <v>ddhub:FrequencyQuantity</v>
      </c>
      <c r="D780">
        <f t="shared" si="77"/>
        <v>1</v>
      </c>
      <c r="E780" t="str">
        <f t="shared" si="78"/>
        <v>ddhub:StrokePerHour</v>
      </c>
      <c r="F780" t="s">
        <v>2176</v>
      </c>
      <c r="G780" t="s">
        <v>77</v>
      </c>
      <c r="H780" t="s">
        <v>2177</v>
      </c>
      <c r="J780" t="str">
        <f t="shared" si="75"/>
        <v>ddhub:FrequencyQuantity</v>
      </c>
      <c r="K780">
        <f t="shared" si="74"/>
        <v>1</v>
      </c>
      <c r="L780" t="str">
        <f t="shared" si="79"/>
        <v>.</v>
      </c>
    </row>
    <row r="781" spans="1:12">
      <c r="A781" s="4" t="s">
        <v>1035</v>
      </c>
      <c r="B781" s="8" t="s">
        <v>384</v>
      </c>
      <c r="C781" t="str">
        <f t="shared" si="76"/>
        <v>ddhub:FrequencyQuantity</v>
      </c>
      <c r="D781">
        <f t="shared" si="77"/>
        <v>1</v>
      </c>
      <c r="E781" t="str">
        <f t="shared" si="78"/>
        <v>ddhub:StrokePerSecond</v>
      </c>
      <c r="F781" t="s">
        <v>2178</v>
      </c>
      <c r="G781" t="s">
        <v>77</v>
      </c>
      <c r="H781" t="s">
        <v>2179</v>
      </c>
      <c r="J781" t="str">
        <f t="shared" si="75"/>
        <v>ddhub:FrequencyQuantity</v>
      </c>
      <c r="K781">
        <f t="shared" si="74"/>
        <v>1</v>
      </c>
      <c r="L781" t="str">
        <f t="shared" si="79"/>
        <v>.</v>
      </c>
    </row>
    <row r="782" spans="1:12">
      <c r="A782" s="4" t="s">
        <v>1036</v>
      </c>
      <c r="B782" s="8" t="s">
        <v>9</v>
      </c>
      <c r="C782" t="str">
        <f t="shared" si="76"/>
        <v>ddhub:LengthQuantity</v>
      </c>
      <c r="D782">
        <f t="shared" si="77"/>
        <v>1</v>
      </c>
      <c r="E782" t="str">
        <f t="shared" si="78"/>
        <v>ddhub:SurveyorSChain</v>
      </c>
      <c r="F782" t="s">
        <v>2180</v>
      </c>
      <c r="G782" t="s">
        <v>10</v>
      </c>
      <c r="H782" t="s">
        <v>2181</v>
      </c>
      <c r="J782" t="str">
        <f t="shared" si="75"/>
        <v>ddhub:LengthQuantity</v>
      </c>
      <c r="K782">
        <f t="shared" si="74"/>
        <v>1</v>
      </c>
      <c r="L782" t="str">
        <f t="shared" si="79"/>
        <v>.</v>
      </c>
    </row>
    <row r="783" spans="1:12">
      <c r="A783" s="4" t="s">
        <v>1037</v>
      </c>
      <c r="B783" s="8" t="s">
        <v>13</v>
      </c>
      <c r="C783" t="str">
        <f t="shared" si="76"/>
        <v>ddhub:ElectricCurrentQuantity</v>
      </c>
      <c r="D783">
        <f t="shared" si="77"/>
        <v>1</v>
      </c>
      <c r="E783" t="str">
        <f t="shared" si="78"/>
        <v>ddhub:Teraampere</v>
      </c>
      <c r="F783" t="s">
        <v>2182</v>
      </c>
      <c r="G783" t="s">
        <v>14</v>
      </c>
      <c r="H783" t="s">
        <v>2183</v>
      </c>
      <c r="J783" t="str">
        <f t="shared" si="75"/>
        <v>ddhub:ElectricCurrentQuantity</v>
      </c>
      <c r="K783">
        <f t="shared" si="74"/>
        <v>1</v>
      </c>
      <c r="L783" t="str">
        <f t="shared" si="79"/>
        <v>.</v>
      </c>
    </row>
    <row r="784" spans="1:12">
      <c r="A784" s="4" t="s">
        <v>1038</v>
      </c>
      <c r="B784" s="8" t="s">
        <v>384</v>
      </c>
      <c r="C784" t="str">
        <f t="shared" si="76"/>
        <v>ddhub:FrequencyQuantity</v>
      </c>
      <c r="D784">
        <f t="shared" si="77"/>
        <v>1</v>
      </c>
      <c r="E784" t="str">
        <f t="shared" si="78"/>
        <v>ddhub:Terahertz</v>
      </c>
      <c r="F784" t="s">
        <v>2184</v>
      </c>
      <c r="G784" t="s">
        <v>77</v>
      </c>
      <c r="H784" t="s">
        <v>2185</v>
      </c>
      <c r="J784" t="str">
        <f t="shared" si="75"/>
        <v>ddhub:FrequencyQuantity</v>
      </c>
      <c r="K784">
        <f t="shared" si="74"/>
        <v>1</v>
      </c>
      <c r="L784" t="str">
        <f t="shared" si="79"/>
        <v>.</v>
      </c>
    </row>
    <row r="785" spans="1:12">
      <c r="A785" s="4" t="s">
        <v>1039</v>
      </c>
      <c r="B785" s="8" t="s">
        <v>38</v>
      </c>
      <c r="C785" t="str">
        <f t="shared" si="76"/>
        <v>ddhub:PowerQuantity</v>
      </c>
      <c r="D785">
        <f t="shared" si="77"/>
        <v>1</v>
      </c>
      <c r="E785" t="str">
        <f t="shared" si="78"/>
        <v>ddhub:Terawatt</v>
      </c>
      <c r="F785" t="s">
        <v>2186</v>
      </c>
      <c r="G785" t="s">
        <v>39</v>
      </c>
      <c r="H785" t="s">
        <v>2187</v>
      </c>
      <c r="J785" t="str">
        <f t="shared" si="75"/>
        <v>ddhub:PowerQuantity</v>
      </c>
      <c r="K785">
        <f t="shared" si="74"/>
        <v>1</v>
      </c>
      <c r="L785" t="str">
        <f t="shared" si="79"/>
        <v>.</v>
      </c>
    </row>
    <row r="786" spans="1:12">
      <c r="A786" s="4" t="s">
        <v>1040</v>
      </c>
      <c r="B786" s="8" t="s">
        <v>379</v>
      </c>
      <c r="C786" t="str">
        <f t="shared" si="76"/>
        <v>ddhub:MagneticFluxDensityQuantity</v>
      </c>
      <c r="D786">
        <f t="shared" si="77"/>
        <v>1</v>
      </c>
      <c r="E786" t="str">
        <f t="shared" si="78"/>
        <v>ddhub:Tesla</v>
      </c>
      <c r="F786" t="s">
        <v>2188</v>
      </c>
      <c r="G786" t="s">
        <v>107</v>
      </c>
      <c r="H786" t="s">
        <v>2189</v>
      </c>
      <c r="J786" t="str">
        <f t="shared" si="75"/>
        <v>ddhub:MagneticFluxDensityQuantity</v>
      </c>
      <c r="K786">
        <f t="shared" si="74"/>
        <v>1</v>
      </c>
      <c r="L786" t="str">
        <f t="shared" si="79"/>
        <v>.</v>
      </c>
    </row>
    <row r="787" spans="1:12">
      <c r="A787" s="4" t="s">
        <v>1042</v>
      </c>
      <c r="B787" s="8" t="s">
        <v>379</v>
      </c>
      <c r="C787" t="str">
        <f t="shared" si="76"/>
        <v>ddhub:MagneticFluxQuantity</v>
      </c>
      <c r="D787">
        <f t="shared" si="77"/>
        <v>0</v>
      </c>
      <c r="E787" t="str">
        <f t="shared" si="78"/>
        <v>ddhub:TeslaSquareCentimetre</v>
      </c>
      <c r="F787" t="s">
        <v>2190</v>
      </c>
      <c r="G787" t="s">
        <v>109</v>
      </c>
      <c r="H787" t="s">
        <v>2191</v>
      </c>
      <c r="J787" t="str">
        <f t="shared" si="75"/>
        <v>ddhub:MagneticFluxQuantity</v>
      </c>
      <c r="K787">
        <f t="shared" si="74"/>
        <v>0</v>
      </c>
      <c r="L787" t="str">
        <f t="shared" si="79"/>
        <v>.</v>
      </c>
    </row>
    <row r="788" spans="1:12">
      <c r="A788" s="4" t="s">
        <v>1043</v>
      </c>
      <c r="B788" s="8" t="s">
        <v>381</v>
      </c>
      <c r="C788" t="str">
        <f t="shared" si="76"/>
        <v>ddhub:MagneticFluxQuantity</v>
      </c>
      <c r="D788">
        <f t="shared" si="77"/>
        <v>1</v>
      </c>
      <c r="E788" t="str">
        <f t="shared" si="78"/>
        <v>ddhub:TeslaSquareMetre</v>
      </c>
      <c r="F788" t="s">
        <v>2192</v>
      </c>
      <c r="G788" t="s">
        <v>109</v>
      </c>
      <c r="H788" t="s">
        <v>2193</v>
      </c>
      <c r="J788" t="str">
        <f t="shared" si="75"/>
        <v>ddhub:MagneticFluxQuantity</v>
      </c>
      <c r="K788">
        <f t="shared" si="74"/>
        <v>1</v>
      </c>
      <c r="L788" t="str">
        <f t="shared" si="79"/>
        <v>.</v>
      </c>
    </row>
    <row r="789" spans="1:12">
      <c r="A789" s="4" t="s">
        <v>1044</v>
      </c>
      <c r="B789" s="8" t="s">
        <v>9</v>
      </c>
      <c r="C789" t="str">
        <f t="shared" si="76"/>
        <v>ddhub:LengthQuantity</v>
      </c>
      <c r="D789">
        <f t="shared" si="77"/>
        <v>1</v>
      </c>
      <c r="E789" t="str">
        <f t="shared" si="78"/>
        <v>ddhub:Thou</v>
      </c>
      <c r="F789" t="s">
        <v>2194</v>
      </c>
      <c r="G789" t="s">
        <v>10</v>
      </c>
      <c r="H789" t="s">
        <v>1776</v>
      </c>
      <c r="J789" t="str">
        <f t="shared" si="75"/>
        <v>ddhub:LengthQuantity</v>
      </c>
      <c r="K789">
        <f t="shared" si="74"/>
        <v>1</v>
      </c>
      <c r="L789" t="str">
        <f t="shared" si="79"/>
        <v>.</v>
      </c>
    </row>
    <row r="790" spans="1:12">
      <c r="A790" s="4" t="s">
        <v>1045</v>
      </c>
      <c r="B790" s="8" t="s">
        <v>50</v>
      </c>
      <c r="C790" t="str">
        <f t="shared" si="76"/>
        <v>ddhub:VolumeQuantity</v>
      </c>
      <c r="D790">
        <f t="shared" si="77"/>
        <v>1</v>
      </c>
      <c r="E790" t="str">
        <f t="shared" si="78"/>
        <v>ddhub:ThousandStandardCubicFoot</v>
      </c>
      <c r="F790" t="s">
        <v>2195</v>
      </c>
      <c r="G790" t="s">
        <v>51</v>
      </c>
      <c r="H790" t="s">
        <v>2196</v>
      </c>
      <c r="J790" t="str">
        <f t="shared" si="75"/>
        <v>ddhub:VolumeQuantity</v>
      </c>
      <c r="K790">
        <f t="shared" si="74"/>
        <v>1</v>
      </c>
      <c r="L790" t="str">
        <f t="shared" si="79"/>
        <v>.</v>
      </c>
    </row>
    <row r="791" spans="1:12">
      <c r="A791" s="4" t="s">
        <v>1046</v>
      </c>
      <c r="B791" s="8" t="s">
        <v>56</v>
      </c>
      <c r="C791" t="str">
        <f t="shared" si="76"/>
        <v>ddhub:VolumetricFlowRateQuantity</v>
      </c>
      <c r="D791">
        <f t="shared" si="77"/>
        <v>1</v>
      </c>
      <c r="E791" t="str">
        <f t="shared" si="78"/>
        <v>ddhub:ThousandStandardCubicFootPerDay</v>
      </c>
      <c r="F791" t="s">
        <v>2197</v>
      </c>
      <c r="G791" t="s">
        <v>53</v>
      </c>
      <c r="H791" t="s">
        <v>2198</v>
      </c>
      <c r="J791" t="str">
        <f t="shared" si="75"/>
        <v>ddhub:VolumetricFlowRateQuantity</v>
      </c>
      <c r="K791">
        <f t="shared" si="74"/>
        <v>1</v>
      </c>
      <c r="L791" t="str">
        <f t="shared" si="79"/>
        <v>.</v>
      </c>
    </row>
    <row r="792" spans="1:12">
      <c r="A792" s="4" t="s">
        <v>1047</v>
      </c>
      <c r="B792" s="8" t="s">
        <v>34</v>
      </c>
      <c r="C792" t="str">
        <f t="shared" si="76"/>
        <v>ddhub:MassQuantity</v>
      </c>
      <c r="D792">
        <f t="shared" si="77"/>
        <v>1</v>
      </c>
      <c r="E792" t="str">
        <f t="shared" si="78"/>
        <v>ddhub:TonneMetric</v>
      </c>
      <c r="F792" t="s">
        <v>2199</v>
      </c>
      <c r="G792" t="s">
        <v>35</v>
      </c>
      <c r="H792" t="s">
        <v>2200</v>
      </c>
      <c r="J792" t="str">
        <f t="shared" si="75"/>
        <v>ddhub:MassQuantity</v>
      </c>
      <c r="K792">
        <f t="shared" si="74"/>
        <v>1</v>
      </c>
      <c r="L792" t="str">
        <f t="shared" si="79"/>
        <v>.</v>
      </c>
    </row>
    <row r="793" spans="1:12">
      <c r="A793" s="4" t="s">
        <v>1049</v>
      </c>
      <c r="B793" s="8" t="s">
        <v>34</v>
      </c>
      <c r="C793" t="str">
        <f t="shared" si="76"/>
        <v>ddhub:MassQuantity</v>
      </c>
      <c r="D793">
        <f t="shared" si="77"/>
        <v>1</v>
      </c>
      <c r="E793" t="str">
        <f t="shared" si="78"/>
        <v>ddhub:TonUk</v>
      </c>
      <c r="F793" t="s">
        <v>2201</v>
      </c>
      <c r="G793" t="s">
        <v>35</v>
      </c>
      <c r="H793" t="s">
        <v>2202</v>
      </c>
      <c r="J793" t="str">
        <f t="shared" si="75"/>
        <v>ddhub:MassQuantity</v>
      </c>
      <c r="K793">
        <f t="shared" si="74"/>
        <v>1</v>
      </c>
      <c r="L793" t="str">
        <f t="shared" si="79"/>
        <v>.</v>
      </c>
    </row>
    <row r="794" spans="1:12">
      <c r="A794" s="4" t="s">
        <v>1050</v>
      </c>
      <c r="B794" s="8" t="s">
        <v>34</v>
      </c>
      <c r="C794" t="str">
        <f t="shared" si="76"/>
        <v>ddhub:MassQuantity</v>
      </c>
      <c r="D794">
        <f t="shared" si="77"/>
        <v>1</v>
      </c>
      <c r="E794" t="str">
        <f t="shared" si="78"/>
        <v>ddhub:TonUs</v>
      </c>
      <c r="F794" t="s">
        <v>2203</v>
      </c>
      <c r="G794" t="s">
        <v>35</v>
      </c>
      <c r="H794" t="s">
        <v>2204</v>
      </c>
      <c r="J794" t="str">
        <f t="shared" si="75"/>
        <v>ddhub:MassQuantity</v>
      </c>
      <c r="K794">
        <f t="shared" si="74"/>
        <v>1</v>
      </c>
      <c r="L794" t="str">
        <f t="shared" si="79"/>
        <v>.</v>
      </c>
    </row>
    <row r="795" spans="1:12">
      <c r="A795" s="4" t="s">
        <v>1051</v>
      </c>
      <c r="B795" s="8" t="s">
        <v>170</v>
      </c>
      <c r="C795" t="str">
        <f t="shared" si="76"/>
        <v>ddhub:PressureQuantity</v>
      </c>
      <c r="D795">
        <f t="shared" si="77"/>
        <v>1</v>
      </c>
      <c r="E795" t="str">
        <f t="shared" si="78"/>
        <v>ddhub:Torr</v>
      </c>
      <c r="F795" t="s">
        <v>2205</v>
      </c>
      <c r="G795" t="s">
        <v>43</v>
      </c>
      <c r="H795" t="s">
        <v>2206</v>
      </c>
      <c r="J795" t="str">
        <f t="shared" si="75"/>
        <v>ddhub:PressureQuantity</v>
      </c>
      <c r="K795">
        <f t="shared" si="74"/>
        <v>1</v>
      </c>
      <c r="L795" t="str">
        <f t="shared" si="79"/>
        <v>.</v>
      </c>
    </row>
    <row r="796" spans="1:12">
      <c r="A796" s="4" t="s">
        <v>1052</v>
      </c>
      <c r="B796" s="8" t="s">
        <v>50</v>
      </c>
      <c r="C796" t="str">
        <f t="shared" si="76"/>
        <v>ddhub:VolumeQuantity</v>
      </c>
      <c r="D796">
        <f t="shared" si="77"/>
        <v>1</v>
      </c>
      <c r="E796" t="str">
        <f t="shared" si="78"/>
        <v>ddhub:UkGallon</v>
      </c>
      <c r="F796" t="s">
        <v>2207</v>
      </c>
      <c r="G796" t="s">
        <v>51</v>
      </c>
      <c r="H796" t="s">
        <v>2208</v>
      </c>
      <c r="J796" t="str">
        <f t="shared" si="75"/>
        <v>ddhub:VolumeQuantity</v>
      </c>
      <c r="K796">
        <f t="shared" si="74"/>
        <v>1</v>
      </c>
      <c r="L796" t="str">
        <f t="shared" si="79"/>
        <v>.</v>
      </c>
    </row>
    <row r="797" spans="1:12">
      <c r="A797" s="4" t="s">
        <v>1053</v>
      </c>
      <c r="B797" s="8" t="s">
        <v>56</v>
      </c>
      <c r="C797" t="str">
        <f t="shared" si="76"/>
        <v>ddhub:VolumetricFlowRateQuantity</v>
      </c>
      <c r="D797">
        <f t="shared" si="77"/>
        <v>1</v>
      </c>
      <c r="E797" t="str">
        <f t="shared" si="78"/>
        <v>ddhub:UkGallonPerDay</v>
      </c>
      <c r="F797" t="s">
        <v>2209</v>
      </c>
      <c r="G797" t="s">
        <v>53</v>
      </c>
      <c r="H797" t="s">
        <v>2198</v>
      </c>
      <c r="J797" t="str">
        <f t="shared" si="75"/>
        <v>ddhub:VolumetricFlowRateQuantity</v>
      </c>
      <c r="K797">
        <f t="shared" si="74"/>
        <v>1</v>
      </c>
      <c r="L797" t="str">
        <f t="shared" si="79"/>
        <v>.</v>
      </c>
    </row>
    <row r="798" spans="1:12">
      <c r="A798" s="4" t="s">
        <v>1054</v>
      </c>
      <c r="B798" s="8" t="s">
        <v>56</v>
      </c>
      <c r="C798" t="str">
        <f t="shared" si="76"/>
        <v>ddhub:VolumetricFlowRateQuantity</v>
      </c>
      <c r="D798">
        <f t="shared" si="77"/>
        <v>1</v>
      </c>
      <c r="E798" t="str">
        <f t="shared" si="78"/>
        <v>ddhub:UkGallonPerHour</v>
      </c>
      <c r="F798" t="s">
        <v>2210</v>
      </c>
      <c r="G798" t="s">
        <v>53</v>
      </c>
      <c r="H798" t="s">
        <v>2198</v>
      </c>
      <c r="J798" t="str">
        <f t="shared" si="75"/>
        <v>ddhub:VolumetricFlowRateQuantity</v>
      </c>
      <c r="K798">
        <f t="shared" si="74"/>
        <v>1</v>
      </c>
      <c r="L798" t="str">
        <f t="shared" si="79"/>
        <v>.</v>
      </c>
    </row>
    <row r="799" spans="1:12">
      <c r="A799" s="4" t="s">
        <v>1055</v>
      </c>
      <c r="B799" s="8" t="s">
        <v>56</v>
      </c>
      <c r="C799" t="str">
        <f t="shared" si="76"/>
        <v>ddhub:VolumetricFlowRateQuantity</v>
      </c>
      <c r="D799">
        <f t="shared" si="77"/>
        <v>1</v>
      </c>
      <c r="E799" t="str">
        <f t="shared" si="78"/>
        <v>ddhub:UkGallonPerMinute</v>
      </c>
      <c r="F799" t="s">
        <v>2211</v>
      </c>
      <c r="G799" t="s">
        <v>53</v>
      </c>
      <c r="H799" t="s">
        <v>2198</v>
      </c>
      <c r="J799" t="str">
        <f t="shared" si="75"/>
        <v>ddhub:VolumetricFlowRateQuantity</v>
      </c>
      <c r="K799">
        <f t="shared" si="74"/>
        <v>1</v>
      </c>
      <c r="L799" t="str">
        <f t="shared" si="79"/>
        <v>.</v>
      </c>
    </row>
    <row r="800" spans="1:12">
      <c r="A800" s="4" t="s">
        <v>1056</v>
      </c>
      <c r="B800" s="8" t="s">
        <v>56</v>
      </c>
      <c r="C800" t="str">
        <f t="shared" si="76"/>
        <v>ddhub:VolumetricFlowRateOfChangeQuantity</v>
      </c>
      <c r="D800">
        <f t="shared" si="77"/>
        <v>0</v>
      </c>
      <c r="E800" t="str">
        <f t="shared" si="78"/>
        <v>ddhub:UkGallonPerMinutePerSecond</v>
      </c>
      <c r="F800" t="s">
        <v>2212</v>
      </c>
      <c r="G800" t="s">
        <v>173</v>
      </c>
      <c r="H800" t="s">
        <v>2213</v>
      </c>
      <c r="J800" t="str">
        <f t="shared" si="75"/>
        <v>ddhub:VolumetricFlowRateOfChangeQuantity</v>
      </c>
      <c r="K800">
        <f t="shared" si="74"/>
        <v>0</v>
      </c>
      <c r="L800" t="str">
        <f t="shared" si="79"/>
        <v>.</v>
      </c>
    </row>
    <row r="801" spans="1:12">
      <c r="A801" s="4" t="s">
        <v>1057</v>
      </c>
      <c r="B801" s="8" t="s">
        <v>56</v>
      </c>
      <c r="C801" t="str">
        <f t="shared" si="76"/>
        <v>ddhub:VolumetricFlowRateOfChangeQuantity</v>
      </c>
      <c r="D801">
        <f t="shared" si="77"/>
        <v>0</v>
      </c>
      <c r="E801" t="str">
        <f t="shared" si="78"/>
        <v>ddhub:UkGallonPerMinuteSquared</v>
      </c>
      <c r="F801" t="s">
        <v>2214</v>
      </c>
      <c r="G801" t="s">
        <v>173</v>
      </c>
      <c r="H801" t="s">
        <v>2213</v>
      </c>
      <c r="J801" t="str">
        <f t="shared" si="75"/>
        <v>ddhub:VolumetricFlowRateOfChangeQuantity</v>
      </c>
      <c r="K801">
        <f t="shared" si="74"/>
        <v>0</v>
      </c>
      <c r="L801" t="str">
        <f t="shared" si="79"/>
        <v>.</v>
      </c>
    </row>
    <row r="802" spans="1:12">
      <c r="A802" s="4" t="s">
        <v>1058</v>
      </c>
      <c r="B802" s="8" t="s">
        <v>56</v>
      </c>
      <c r="C802" t="str">
        <f t="shared" si="76"/>
        <v>ddhub:VolumetricFlowRateQuantity</v>
      </c>
      <c r="D802">
        <f t="shared" si="77"/>
        <v>1</v>
      </c>
      <c r="E802" t="str">
        <f t="shared" si="78"/>
        <v>ddhub:UkGallonPerSecond</v>
      </c>
      <c r="F802" t="s">
        <v>2215</v>
      </c>
      <c r="G802" t="s">
        <v>53</v>
      </c>
      <c r="H802" t="s">
        <v>2198</v>
      </c>
      <c r="J802" t="str">
        <f t="shared" si="75"/>
        <v>ddhub:VolumetricFlowRateQuantity</v>
      </c>
      <c r="K802">
        <f t="shared" si="74"/>
        <v>1</v>
      </c>
      <c r="L802" t="str">
        <f t="shared" si="79"/>
        <v>.</v>
      </c>
    </row>
    <row r="803" spans="1:12">
      <c r="A803" s="4" t="s">
        <v>1059</v>
      </c>
      <c r="B803" s="8" t="s">
        <v>56</v>
      </c>
      <c r="C803" t="str">
        <f t="shared" si="76"/>
        <v>ddhub:VolumetricFlowRateQuantity</v>
      </c>
      <c r="D803">
        <f t="shared" si="77"/>
        <v>1</v>
      </c>
      <c r="E803" t="str">
        <f t="shared" si="78"/>
        <v>ddhub:UkGallonPerYear</v>
      </c>
      <c r="F803" t="s">
        <v>2216</v>
      </c>
      <c r="G803" t="s">
        <v>53</v>
      </c>
      <c r="H803" t="s">
        <v>2198</v>
      </c>
      <c r="J803" t="str">
        <f t="shared" si="75"/>
        <v>ddhub:VolumetricFlowRateQuantity</v>
      </c>
      <c r="K803">
        <f t="shared" si="74"/>
        <v>1</v>
      </c>
      <c r="L803" t="str">
        <f t="shared" si="79"/>
        <v>.</v>
      </c>
    </row>
    <row r="804" spans="1:12">
      <c r="A804" s="4" t="s">
        <v>1060</v>
      </c>
      <c r="B804" s="8" t="s">
        <v>9</v>
      </c>
      <c r="C804" t="str">
        <f t="shared" si="76"/>
        <v>ddhub:LengthQuantity</v>
      </c>
      <c r="D804">
        <f t="shared" si="77"/>
        <v>1</v>
      </c>
      <c r="E804" t="str">
        <f t="shared" si="78"/>
        <v>ddhub:UkNauticalMile</v>
      </c>
      <c r="F804" t="s">
        <v>2217</v>
      </c>
      <c r="G804" t="s">
        <v>10</v>
      </c>
      <c r="H804" t="s">
        <v>2218</v>
      </c>
      <c r="J804" t="str">
        <f t="shared" si="75"/>
        <v>ddhub:LengthQuantity</v>
      </c>
      <c r="K804">
        <f t="shared" si="74"/>
        <v>1</v>
      </c>
      <c r="L804" t="str">
        <f t="shared" si="79"/>
        <v>.</v>
      </c>
    </row>
    <row r="805" spans="1:12">
      <c r="A805" s="4" t="s">
        <v>1061</v>
      </c>
      <c r="B805" s="8" t="s">
        <v>334</v>
      </c>
      <c r="C805" t="str">
        <f t="shared" si="76"/>
        <v>ddhub:MagneticFluxQuantity</v>
      </c>
      <c r="D805">
        <f t="shared" si="77"/>
        <v>0</v>
      </c>
      <c r="E805" t="str">
        <f t="shared" si="78"/>
        <v>ddhub:UnitPole</v>
      </c>
      <c r="F805" t="s">
        <v>2219</v>
      </c>
      <c r="G805" t="s">
        <v>109</v>
      </c>
      <c r="H805" t="s">
        <v>2220</v>
      </c>
      <c r="J805" t="str">
        <f t="shared" si="75"/>
        <v>ddhub:MagneticFluxQuantity</v>
      </c>
      <c r="K805">
        <f t="shared" si="74"/>
        <v>0</v>
      </c>
      <c r="L805" t="str">
        <f t="shared" si="79"/>
        <v>.</v>
      </c>
    </row>
    <row r="806" spans="1:12">
      <c r="A806" s="4" t="s">
        <v>1062</v>
      </c>
      <c r="B806" s="8" t="s">
        <v>50</v>
      </c>
      <c r="C806" t="str">
        <f t="shared" si="76"/>
        <v>ddhub:VolumeQuantity</v>
      </c>
      <c r="D806">
        <f t="shared" si="77"/>
        <v>1</v>
      </c>
      <c r="E806" t="str">
        <f t="shared" si="78"/>
        <v>ddhub:UsGallon</v>
      </c>
      <c r="F806" t="s">
        <v>2221</v>
      </c>
      <c r="G806" t="s">
        <v>51</v>
      </c>
      <c r="H806" t="s">
        <v>2222</v>
      </c>
      <c r="J806" t="str">
        <f t="shared" si="75"/>
        <v>ddhub:VolumeQuantity</v>
      </c>
      <c r="K806">
        <f t="shared" si="74"/>
        <v>1</v>
      </c>
      <c r="L806" t="str">
        <f t="shared" si="79"/>
        <v>.</v>
      </c>
    </row>
    <row r="807" spans="1:12">
      <c r="A807" s="4" t="s">
        <v>1063</v>
      </c>
      <c r="B807" s="8" t="s">
        <v>56</v>
      </c>
      <c r="C807" t="str">
        <f t="shared" si="76"/>
        <v>ddhub:VolumetricFlowRateQuantity</v>
      </c>
      <c r="D807">
        <f t="shared" si="77"/>
        <v>1</v>
      </c>
      <c r="E807" t="str">
        <f t="shared" si="78"/>
        <v>ddhub:UsGallonPerDay</v>
      </c>
      <c r="F807" t="s">
        <v>2223</v>
      </c>
      <c r="G807" t="s">
        <v>53</v>
      </c>
      <c r="H807" t="s">
        <v>2198</v>
      </c>
      <c r="J807" t="str">
        <f t="shared" si="75"/>
        <v>ddhub:VolumetricFlowRateQuantity</v>
      </c>
      <c r="K807">
        <f t="shared" si="74"/>
        <v>1</v>
      </c>
      <c r="L807" t="str">
        <f t="shared" si="79"/>
        <v>.</v>
      </c>
    </row>
    <row r="808" spans="1:12">
      <c r="A808" s="4" t="s">
        <v>1064</v>
      </c>
      <c r="B808" s="8" t="s">
        <v>56</v>
      </c>
      <c r="C808" t="str">
        <f t="shared" si="76"/>
        <v>ddhub:VolumetricFlowRateQuantity</v>
      </c>
      <c r="D808">
        <f t="shared" si="77"/>
        <v>1</v>
      </c>
      <c r="E808" t="str">
        <f t="shared" si="78"/>
        <v>ddhub:UsGallonPerHour</v>
      </c>
      <c r="F808" t="s">
        <v>2224</v>
      </c>
      <c r="G808" t="s">
        <v>53</v>
      </c>
      <c r="H808" t="s">
        <v>2198</v>
      </c>
      <c r="J808" t="str">
        <f t="shared" si="75"/>
        <v>ddhub:VolumetricFlowRateQuantity</v>
      </c>
      <c r="K808">
        <f t="shared" si="74"/>
        <v>1</v>
      </c>
      <c r="L808" t="str">
        <f t="shared" si="79"/>
        <v>.</v>
      </c>
    </row>
    <row r="809" spans="1:12">
      <c r="A809" s="4" t="s">
        <v>1065</v>
      </c>
      <c r="B809" s="8" t="s">
        <v>56</v>
      </c>
      <c r="C809" t="str">
        <f t="shared" si="76"/>
        <v>ddhub:VolumetricFlowRateQuantity</v>
      </c>
      <c r="D809">
        <f t="shared" si="77"/>
        <v>1</v>
      </c>
      <c r="E809" t="str">
        <f t="shared" si="78"/>
        <v>ddhub:UsGallonPerMinute</v>
      </c>
      <c r="F809" t="s">
        <v>2225</v>
      </c>
      <c r="G809" t="s">
        <v>53</v>
      </c>
      <c r="H809" t="s">
        <v>2198</v>
      </c>
      <c r="J809" t="str">
        <f t="shared" si="75"/>
        <v>ddhub:VolumetricFlowRateQuantity</v>
      </c>
      <c r="K809">
        <f t="shared" si="74"/>
        <v>1</v>
      </c>
      <c r="L809" t="str">
        <f t="shared" si="79"/>
        <v>.</v>
      </c>
    </row>
    <row r="810" spans="1:12">
      <c r="A810" s="4" t="s">
        <v>1066</v>
      </c>
      <c r="B810" s="8" t="s">
        <v>56</v>
      </c>
      <c r="C810" t="str">
        <f t="shared" si="76"/>
        <v>ddhub:VolumetricFlowRateOfChangeQuantity</v>
      </c>
      <c r="D810">
        <f t="shared" si="77"/>
        <v>0</v>
      </c>
      <c r="E810" t="str">
        <f t="shared" si="78"/>
        <v>ddhub:UsGallonPerMinutePerSecond</v>
      </c>
      <c r="F810" t="s">
        <v>2226</v>
      </c>
      <c r="G810" t="s">
        <v>173</v>
      </c>
      <c r="H810" t="s">
        <v>2213</v>
      </c>
      <c r="J810" t="str">
        <f t="shared" si="75"/>
        <v>ddhub:VolumetricFlowRateOfChangeQuantity</v>
      </c>
      <c r="K810">
        <f t="shared" si="74"/>
        <v>0</v>
      </c>
      <c r="L810" t="str">
        <f t="shared" si="79"/>
        <v>.</v>
      </c>
    </row>
    <row r="811" spans="1:12">
      <c r="A811" s="4" t="s">
        <v>1067</v>
      </c>
      <c r="B811" s="8" t="s">
        <v>56</v>
      </c>
      <c r="C811" t="str">
        <f t="shared" si="76"/>
        <v>ddhub:VolumetricFlowRateOfChangeQuantity</v>
      </c>
      <c r="D811">
        <f t="shared" si="77"/>
        <v>0</v>
      </c>
      <c r="E811" t="str">
        <f t="shared" si="78"/>
        <v>ddhub:UsGallonPerMinuteSquared</v>
      </c>
      <c r="F811" t="s">
        <v>2227</v>
      </c>
      <c r="G811" t="s">
        <v>173</v>
      </c>
      <c r="H811" t="s">
        <v>2213</v>
      </c>
      <c r="J811" t="str">
        <f t="shared" si="75"/>
        <v>ddhub:VolumetricFlowRateOfChangeQuantity</v>
      </c>
      <c r="K811">
        <f t="shared" si="74"/>
        <v>0</v>
      </c>
      <c r="L811" t="str">
        <f t="shared" si="79"/>
        <v>.</v>
      </c>
    </row>
    <row r="812" spans="1:12">
      <c r="A812" s="4" t="s">
        <v>1068</v>
      </c>
      <c r="B812" s="8" t="s">
        <v>56</v>
      </c>
      <c r="C812" t="str">
        <f t="shared" si="76"/>
        <v>ddhub:VolumetricFlowRateQuantity</v>
      </c>
      <c r="D812">
        <f t="shared" si="77"/>
        <v>1</v>
      </c>
      <c r="E812" t="str">
        <f t="shared" si="78"/>
        <v>ddhub:UsGallonPerSecond</v>
      </c>
      <c r="F812" t="s">
        <v>2228</v>
      </c>
      <c r="G812" t="s">
        <v>53</v>
      </c>
      <c r="H812" t="s">
        <v>2198</v>
      </c>
      <c r="J812" t="str">
        <f t="shared" si="75"/>
        <v>ddhub:VolumetricFlowRateQuantity</v>
      </c>
      <c r="K812">
        <f t="shared" si="74"/>
        <v>1</v>
      </c>
      <c r="L812" t="str">
        <f t="shared" si="79"/>
        <v>.</v>
      </c>
    </row>
    <row r="813" spans="1:12">
      <c r="A813" s="4" t="s">
        <v>1069</v>
      </c>
      <c r="B813" s="8" t="s">
        <v>56</v>
      </c>
      <c r="C813" t="str">
        <f t="shared" si="76"/>
        <v>ddhub:VolumetricFlowRateQuantity</v>
      </c>
      <c r="D813">
        <f t="shared" si="77"/>
        <v>1</v>
      </c>
      <c r="E813" t="str">
        <f t="shared" si="78"/>
        <v>ddhub:UsGallonPerYear</v>
      </c>
      <c r="F813" t="s">
        <v>2229</v>
      </c>
      <c r="G813" t="s">
        <v>53</v>
      </c>
      <c r="H813" t="s">
        <v>2198</v>
      </c>
      <c r="J813" t="str">
        <f t="shared" si="75"/>
        <v>ddhub:VolumetricFlowRateQuantity</v>
      </c>
      <c r="K813">
        <f t="shared" si="74"/>
        <v>1</v>
      </c>
      <c r="L813" t="str">
        <f t="shared" si="79"/>
        <v>.</v>
      </c>
    </row>
    <row r="814" spans="1:12">
      <c r="A814" s="4" t="s">
        <v>1070</v>
      </c>
      <c r="B814" s="8" t="s">
        <v>9</v>
      </c>
      <c r="C814" t="str">
        <f t="shared" si="76"/>
        <v>ddhub:LengthQuantity</v>
      </c>
      <c r="D814">
        <f t="shared" si="77"/>
        <v>1</v>
      </c>
      <c r="E814" t="str">
        <f t="shared" si="78"/>
        <v>ddhub:UsSurveyFoot</v>
      </c>
      <c r="F814" t="s">
        <v>2230</v>
      </c>
      <c r="G814" t="s">
        <v>10</v>
      </c>
      <c r="H814" t="s">
        <v>2231</v>
      </c>
      <c r="J814" t="str">
        <f t="shared" si="75"/>
        <v>ddhub:LengthQuantity</v>
      </c>
      <c r="K814">
        <f t="shared" si="74"/>
        <v>1</v>
      </c>
      <c r="L814" t="str">
        <f t="shared" si="79"/>
        <v>.</v>
      </c>
    </row>
    <row r="815" spans="1:12">
      <c r="A815" s="4" t="s">
        <v>1071</v>
      </c>
      <c r="B815" s="8" t="s">
        <v>71</v>
      </c>
      <c r="C815" t="str">
        <f t="shared" si="76"/>
        <v>ddhub:LuminousIntensityQuantity</v>
      </c>
      <c r="D815">
        <f t="shared" si="77"/>
        <v>1</v>
      </c>
      <c r="E815" t="str">
        <f t="shared" si="78"/>
        <v>ddhub:Violle</v>
      </c>
      <c r="F815" t="s">
        <v>2232</v>
      </c>
      <c r="G815" t="s">
        <v>72</v>
      </c>
      <c r="H815" t="s">
        <v>2233</v>
      </c>
      <c r="J815" t="str">
        <f t="shared" si="75"/>
        <v>ddhub:LuminousIntensityQuantity</v>
      </c>
      <c r="K815">
        <f t="shared" si="74"/>
        <v>1</v>
      </c>
      <c r="L815" t="str">
        <f t="shared" si="79"/>
        <v>.</v>
      </c>
    </row>
    <row r="816" spans="1:12">
      <c r="A816" s="4" t="s">
        <v>1072</v>
      </c>
      <c r="B816" s="8" t="s">
        <v>334</v>
      </c>
      <c r="C816" t="str">
        <f t="shared" si="76"/>
        <v>ddhub:ElectricPotentialQuantity</v>
      </c>
      <c r="D816">
        <f t="shared" si="77"/>
        <v>0</v>
      </c>
      <c r="E816" t="str">
        <f t="shared" si="78"/>
        <v>ddhub:Volt</v>
      </c>
      <c r="F816" t="s">
        <v>2234</v>
      </c>
      <c r="G816" t="s">
        <v>198</v>
      </c>
      <c r="H816" t="s">
        <v>2235</v>
      </c>
      <c r="J816" t="str">
        <f t="shared" si="75"/>
        <v>ddhub:ElectricPotentialQuantity</v>
      </c>
      <c r="K816">
        <f t="shared" si="74"/>
        <v>0</v>
      </c>
      <c r="L816" t="str">
        <f t="shared" si="79"/>
        <v>.</v>
      </c>
    </row>
    <row r="817" spans="1:12">
      <c r="A817" s="4" t="s">
        <v>1074</v>
      </c>
      <c r="B817" s="8" t="s">
        <v>13</v>
      </c>
      <c r="C817" t="str">
        <f t="shared" si="76"/>
        <v>ddhub:ElectricCurrentQuantity</v>
      </c>
      <c r="D817">
        <f t="shared" si="77"/>
        <v>1</v>
      </c>
      <c r="E817" t="str">
        <f t="shared" si="78"/>
        <v>ddhub:VoltPerOhm</v>
      </c>
      <c r="F817" t="s">
        <v>2236</v>
      </c>
      <c r="G817" t="s">
        <v>14</v>
      </c>
      <c r="H817" t="s">
        <v>2237</v>
      </c>
      <c r="J817" t="str">
        <f t="shared" si="75"/>
        <v>ddhub:ElectricCurrentQuantity</v>
      </c>
      <c r="K817">
        <f t="shared" si="74"/>
        <v>1</v>
      </c>
      <c r="L817" t="str">
        <f t="shared" si="79"/>
        <v>.</v>
      </c>
    </row>
    <row r="818" spans="1:12">
      <c r="A818" s="4" t="s">
        <v>1075</v>
      </c>
      <c r="B818" s="8" t="s">
        <v>334</v>
      </c>
      <c r="C818" t="str">
        <f t="shared" si="76"/>
        <v>ddhub:MagneticFluxQuantity</v>
      </c>
      <c r="D818">
        <f t="shared" si="77"/>
        <v>0</v>
      </c>
      <c r="E818" t="str">
        <f t="shared" si="78"/>
        <v>ddhub:VoltSecond</v>
      </c>
      <c r="F818" t="s">
        <v>2238</v>
      </c>
      <c r="G818" t="s">
        <v>109</v>
      </c>
      <c r="H818" t="s">
        <v>2193</v>
      </c>
      <c r="J818" t="str">
        <f t="shared" si="75"/>
        <v>ddhub:MagneticFluxQuantity</v>
      </c>
      <c r="K818">
        <f t="shared" si="74"/>
        <v>0</v>
      </c>
      <c r="L818" t="str">
        <f t="shared" si="79"/>
        <v>.</v>
      </c>
    </row>
    <row r="819" spans="1:12">
      <c r="A819" s="4" t="s">
        <v>1077</v>
      </c>
      <c r="B819" s="8" t="s">
        <v>38</v>
      </c>
      <c r="C819" t="str">
        <f t="shared" si="76"/>
        <v>ddhub:PowerQuantity</v>
      </c>
      <c r="D819">
        <f t="shared" si="77"/>
        <v>1</v>
      </c>
      <c r="E819" t="str">
        <f t="shared" si="78"/>
        <v>ddhub:Watt</v>
      </c>
      <c r="F819" t="s">
        <v>2239</v>
      </c>
      <c r="G819" t="s">
        <v>39</v>
      </c>
      <c r="H819" t="s">
        <v>2240</v>
      </c>
      <c r="J819" t="str">
        <f t="shared" si="75"/>
        <v>ddhub:PowerQuantity</v>
      </c>
      <c r="K819">
        <f t="shared" si="74"/>
        <v>1</v>
      </c>
      <c r="L819" t="str">
        <f t="shared" si="79"/>
        <v>.</v>
      </c>
    </row>
    <row r="820" spans="1:12">
      <c r="A820" s="4" t="s">
        <v>1079</v>
      </c>
      <c r="B820" s="8" t="s">
        <v>79</v>
      </c>
      <c r="C820" t="str">
        <f t="shared" si="76"/>
        <v>ddhub:ThermalConductivityQuantity</v>
      </c>
      <c r="D820">
        <f t="shared" si="77"/>
        <v>1</v>
      </c>
      <c r="E820" t="str">
        <f t="shared" si="78"/>
        <v>ddhub:WattPerMetreKelvin</v>
      </c>
      <c r="F820" t="s">
        <v>2241</v>
      </c>
      <c r="G820" t="s">
        <v>160</v>
      </c>
      <c r="H820" t="s">
        <v>1160</v>
      </c>
      <c r="J820" t="str">
        <f t="shared" si="75"/>
        <v>ddhub:ThermalConductivityQuantity</v>
      </c>
      <c r="K820">
        <f t="shared" si="74"/>
        <v>1</v>
      </c>
      <c r="L820" t="str">
        <f t="shared" si="79"/>
        <v>.</v>
      </c>
    </row>
    <row r="821" spans="1:12">
      <c r="A821" s="4" t="s">
        <v>1080</v>
      </c>
      <c r="B821" s="8" t="s">
        <v>79</v>
      </c>
      <c r="C821" t="str">
        <f t="shared" si="76"/>
        <v>zzz:TBD</v>
      </c>
      <c r="D821">
        <f t="shared" si="77"/>
        <v>0</v>
      </c>
      <c r="E821" t="str">
        <f t="shared" si="78"/>
        <v>ddhub:WattPerMetreKelvinPerKelvin</v>
      </c>
      <c r="F821" t="s">
        <v>2242</v>
      </c>
      <c r="G821" t="s">
        <v>1153</v>
      </c>
      <c r="H821" t="s">
        <v>2243</v>
      </c>
      <c r="J821" s="8" t="s">
        <v>334</v>
      </c>
      <c r="K821">
        <f t="shared" ref="K821:K838" si="80">IF(B821=J821,1,0)</f>
        <v>0</v>
      </c>
      <c r="L821" t="str">
        <f t="shared" si="79"/>
        <v>.</v>
      </c>
    </row>
    <row r="822" spans="1:12">
      <c r="A822" s="4" t="s">
        <v>1081</v>
      </c>
      <c r="B822" s="8" t="s">
        <v>79</v>
      </c>
      <c r="C822" t="str">
        <f t="shared" si="76"/>
        <v>ddhub:HeatTransferCoefficientQuantity</v>
      </c>
      <c r="D822">
        <f t="shared" si="77"/>
        <v>0</v>
      </c>
      <c r="E822" t="str">
        <f t="shared" si="78"/>
        <v>ddhub:WattPerSquareMetrePerKelvin</v>
      </c>
      <c r="F822" t="s">
        <v>2244</v>
      </c>
      <c r="G822" t="s">
        <v>90</v>
      </c>
      <c r="H822" t="s">
        <v>2245</v>
      </c>
      <c r="J822" t="str">
        <f t="shared" ref="J822:J838" si="81">"ddhub:"&amp;G822</f>
        <v>ddhub:HeatTransferCoefficientQuantity</v>
      </c>
      <c r="K822">
        <f t="shared" si="80"/>
        <v>0</v>
      </c>
      <c r="L822" t="str">
        <f t="shared" si="79"/>
        <v>.</v>
      </c>
    </row>
    <row r="823" spans="1:12">
      <c r="A823" s="4" t="s">
        <v>1082</v>
      </c>
      <c r="B823" s="8" t="s">
        <v>334</v>
      </c>
      <c r="C823" t="str">
        <f t="shared" si="76"/>
        <v>ddhub:ElectricCurrentQuantity</v>
      </c>
      <c r="D823">
        <f t="shared" si="77"/>
        <v>0</v>
      </c>
      <c r="E823" t="str">
        <f t="shared" si="78"/>
        <v>ddhub:WattPerVolt</v>
      </c>
      <c r="F823" t="s">
        <v>2246</v>
      </c>
      <c r="G823" t="s">
        <v>14</v>
      </c>
      <c r="H823" t="s">
        <v>2247</v>
      </c>
      <c r="J823" t="str">
        <f t="shared" si="81"/>
        <v>ddhub:ElectricCurrentQuantity</v>
      </c>
      <c r="K823">
        <f t="shared" si="80"/>
        <v>0</v>
      </c>
      <c r="L823" t="str">
        <f t="shared" si="79"/>
        <v>.</v>
      </c>
    </row>
    <row r="824" spans="1:12">
      <c r="A824" s="4" t="s">
        <v>1083</v>
      </c>
      <c r="B824" s="8" t="s">
        <v>381</v>
      </c>
      <c r="C824" t="str">
        <f t="shared" si="76"/>
        <v>ddhub:MagneticFluxQuantity</v>
      </c>
      <c r="D824">
        <f t="shared" si="77"/>
        <v>1</v>
      </c>
      <c r="E824" t="str">
        <f t="shared" si="78"/>
        <v>ddhub:Weber</v>
      </c>
      <c r="F824" t="s">
        <v>2248</v>
      </c>
      <c r="G824" t="s">
        <v>109</v>
      </c>
      <c r="H824" t="s">
        <v>2249</v>
      </c>
      <c r="J824" t="str">
        <f t="shared" si="81"/>
        <v>ddhub:MagneticFluxQuantity</v>
      </c>
      <c r="K824">
        <f t="shared" si="80"/>
        <v>1</v>
      </c>
      <c r="L824" t="str">
        <f t="shared" si="79"/>
        <v>.</v>
      </c>
    </row>
    <row r="825" spans="1:12">
      <c r="A825" s="4" t="s">
        <v>1084</v>
      </c>
      <c r="B825" s="8" t="s">
        <v>334</v>
      </c>
      <c r="C825" t="str">
        <f t="shared" si="76"/>
        <v>ddhub:ElectricCurrentQuantity</v>
      </c>
      <c r="D825">
        <f t="shared" si="77"/>
        <v>0</v>
      </c>
      <c r="E825" t="str">
        <f t="shared" si="78"/>
        <v>ddhub:WeberPerHenry</v>
      </c>
      <c r="F825" t="s">
        <v>2250</v>
      </c>
      <c r="G825" t="s">
        <v>14</v>
      </c>
      <c r="H825" t="s">
        <v>2251</v>
      </c>
      <c r="J825" t="str">
        <f t="shared" si="81"/>
        <v>ddhub:ElectricCurrentQuantity</v>
      </c>
      <c r="K825">
        <f t="shared" si="80"/>
        <v>0</v>
      </c>
      <c r="L825" t="str">
        <f t="shared" si="79"/>
        <v>.</v>
      </c>
    </row>
    <row r="826" spans="1:12">
      <c r="A826" s="4" t="s">
        <v>1086</v>
      </c>
      <c r="B826" s="8" t="s">
        <v>379</v>
      </c>
      <c r="C826" t="str">
        <f t="shared" si="76"/>
        <v>ddhub:MagneticFluxDensityQuantity</v>
      </c>
      <c r="D826">
        <f t="shared" si="77"/>
        <v>1</v>
      </c>
      <c r="E826" t="str">
        <f t="shared" si="78"/>
        <v>ddhub:WeberPerSquareMetre</v>
      </c>
      <c r="F826" t="s">
        <v>2252</v>
      </c>
      <c r="G826" t="s">
        <v>107</v>
      </c>
      <c r="H826" t="s">
        <v>2253</v>
      </c>
      <c r="J826" t="str">
        <f t="shared" si="81"/>
        <v>ddhub:MagneticFluxDensityQuantity</v>
      </c>
      <c r="K826">
        <f t="shared" si="80"/>
        <v>1</v>
      </c>
      <c r="L826" t="str">
        <f t="shared" si="79"/>
        <v>.</v>
      </c>
    </row>
    <row r="827" spans="1:12">
      <c r="A827" s="4" t="s">
        <v>1087</v>
      </c>
      <c r="B827" s="8" t="s">
        <v>201</v>
      </c>
      <c r="C827" t="str">
        <f t="shared" si="76"/>
        <v>ddhub:TimeQuantity</v>
      </c>
      <c r="D827">
        <f t="shared" si="77"/>
        <v>1</v>
      </c>
      <c r="E827" t="str">
        <f t="shared" si="78"/>
        <v>ddhub:Week</v>
      </c>
      <c r="F827" t="s">
        <v>2254</v>
      </c>
      <c r="G827" t="s">
        <v>162</v>
      </c>
      <c r="H827" t="s">
        <v>2255</v>
      </c>
      <c r="J827" t="str">
        <f t="shared" si="81"/>
        <v>ddhub:TimeQuantity</v>
      </c>
      <c r="K827">
        <f t="shared" si="80"/>
        <v>1</v>
      </c>
      <c r="L827" t="str">
        <f t="shared" si="79"/>
        <v>.</v>
      </c>
    </row>
    <row r="828" spans="1:12">
      <c r="A828" s="4" t="s">
        <v>1088</v>
      </c>
      <c r="B828" s="8" t="s">
        <v>9</v>
      </c>
      <c r="C828" t="str">
        <f t="shared" si="76"/>
        <v>ddhub:LengthQuantity</v>
      </c>
      <c r="D828">
        <f t="shared" si="77"/>
        <v>1</v>
      </c>
      <c r="E828" t="str">
        <f t="shared" si="78"/>
        <v>ddhub:Yard</v>
      </c>
      <c r="F828" t="s">
        <v>2256</v>
      </c>
      <c r="G828" t="s">
        <v>10</v>
      </c>
      <c r="H828" t="s">
        <v>2257</v>
      </c>
      <c r="J828" t="str">
        <f t="shared" si="81"/>
        <v>ddhub:LengthQuantity</v>
      </c>
      <c r="K828">
        <f t="shared" si="80"/>
        <v>1</v>
      </c>
      <c r="L828" t="str">
        <f t="shared" si="79"/>
        <v>.</v>
      </c>
    </row>
    <row r="829" spans="1:12">
      <c r="A829" s="4" t="s">
        <v>1089</v>
      </c>
      <c r="B829" s="8" t="s">
        <v>332</v>
      </c>
      <c r="C829" t="str">
        <f t="shared" si="76"/>
        <v>ddhub:DimensionlessQuantity</v>
      </c>
      <c r="D829">
        <f t="shared" si="77"/>
        <v>1</v>
      </c>
      <c r="E829" t="str">
        <f t="shared" si="78"/>
        <v>ddhub:YardPerFoot</v>
      </c>
      <c r="F829" t="s">
        <v>2258</v>
      </c>
      <c r="G829" t="s">
        <v>44</v>
      </c>
      <c r="H829" t="s">
        <v>2259</v>
      </c>
      <c r="J829" t="str">
        <f t="shared" si="81"/>
        <v>ddhub:DimensionlessQuantity</v>
      </c>
      <c r="K829">
        <f t="shared" si="80"/>
        <v>1</v>
      </c>
      <c r="L829" t="str">
        <f t="shared" si="79"/>
        <v>.</v>
      </c>
    </row>
    <row r="830" spans="1:12">
      <c r="A830" s="4" t="s">
        <v>1090</v>
      </c>
      <c r="B830" s="8" t="s">
        <v>332</v>
      </c>
      <c r="C830" t="str">
        <f t="shared" si="76"/>
        <v>ddhub:DimensionlessQuantity</v>
      </c>
      <c r="D830">
        <f t="shared" si="77"/>
        <v>1</v>
      </c>
      <c r="E830" t="str">
        <f t="shared" si="78"/>
        <v>ddhub:YardPerMile</v>
      </c>
      <c r="F830" t="s">
        <v>2260</v>
      </c>
      <c r="G830" t="s">
        <v>44</v>
      </c>
      <c r="H830" t="s">
        <v>2261</v>
      </c>
      <c r="J830" t="str">
        <f t="shared" si="81"/>
        <v>ddhub:DimensionlessQuantity</v>
      </c>
      <c r="K830">
        <f t="shared" si="80"/>
        <v>1</v>
      </c>
      <c r="L830" t="str">
        <f t="shared" si="79"/>
        <v>.</v>
      </c>
    </row>
    <row r="831" spans="1:12">
      <c r="A831" s="4" t="s">
        <v>1091</v>
      </c>
      <c r="B831" s="8" t="s">
        <v>332</v>
      </c>
      <c r="C831" t="str">
        <f t="shared" si="76"/>
        <v>ddhub:DimensionlessQuantity</v>
      </c>
      <c r="D831">
        <f t="shared" si="77"/>
        <v>1</v>
      </c>
      <c r="E831" t="str">
        <f t="shared" si="78"/>
        <v>ddhub:YardPerYard</v>
      </c>
      <c r="F831" t="s">
        <v>2262</v>
      </c>
      <c r="G831" t="s">
        <v>44</v>
      </c>
      <c r="H831" t="s">
        <v>2263</v>
      </c>
      <c r="J831" t="str">
        <f t="shared" si="81"/>
        <v>ddhub:DimensionlessQuantity</v>
      </c>
      <c r="K831">
        <f t="shared" si="80"/>
        <v>1</v>
      </c>
      <c r="L831" t="str">
        <f t="shared" si="79"/>
        <v>.</v>
      </c>
    </row>
    <row r="832" spans="1:12">
      <c r="A832" s="4" t="s">
        <v>1092</v>
      </c>
      <c r="B832" s="8" t="s">
        <v>201</v>
      </c>
      <c r="C832" t="str">
        <f t="shared" si="76"/>
        <v>ddhub:TimeQuantity</v>
      </c>
      <c r="D832">
        <f t="shared" si="77"/>
        <v>1</v>
      </c>
      <c r="E832" t="str">
        <f t="shared" si="78"/>
        <v>ddhub:YearAverageGregorian</v>
      </c>
      <c r="F832" t="s">
        <v>2264</v>
      </c>
      <c r="G832" t="s">
        <v>162</v>
      </c>
      <c r="H832" t="s">
        <v>2265</v>
      </c>
      <c r="J832" t="str">
        <f t="shared" si="81"/>
        <v>ddhub:TimeQuantity</v>
      </c>
      <c r="K832">
        <f t="shared" si="80"/>
        <v>1</v>
      </c>
      <c r="L832" t="str">
        <f t="shared" si="79"/>
        <v>.</v>
      </c>
    </row>
    <row r="833" spans="1:12">
      <c r="A833" s="4" t="s">
        <v>1093</v>
      </c>
      <c r="B833" s="8" t="s">
        <v>201</v>
      </c>
      <c r="C833" t="str">
        <f t="shared" si="76"/>
        <v>ddhub:TimeQuantity</v>
      </c>
      <c r="D833">
        <f t="shared" si="77"/>
        <v>1</v>
      </c>
      <c r="E833" t="str">
        <f t="shared" si="78"/>
        <v>ddhub:YearCommon</v>
      </c>
      <c r="F833" t="s">
        <v>2266</v>
      </c>
      <c r="G833" t="s">
        <v>162</v>
      </c>
      <c r="H833" t="s">
        <v>2267</v>
      </c>
      <c r="J833" t="str">
        <f t="shared" si="81"/>
        <v>ddhub:TimeQuantity</v>
      </c>
      <c r="K833">
        <f t="shared" si="80"/>
        <v>1</v>
      </c>
      <c r="L833" t="str">
        <f t="shared" si="79"/>
        <v>.</v>
      </c>
    </row>
    <row r="834" spans="1:12">
      <c r="A834" s="4" t="s">
        <v>1094</v>
      </c>
      <c r="B834" s="8" t="s">
        <v>201</v>
      </c>
      <c r="C834" t="str">
        <f t="shared" si="76"/>
        <v>ddhub:TimeQuantity</v>
      </c>
      <c r="D834">
        <f t="shared" si="77"/>
        <v>1</v>
      </c>
      <c r="E834" t="str">
        <f t="shared" si="78"/>
        <v>ddhub:YearJulian</v>
      </c>
      <c r="F834" t="s">
        <v>2268</v>
      </c>
      <c r="G834" t="s">
        <v>162</v>
      </c>
      <c r="H834" t="s">
        <v>2269</v>
      </c>
      <c r="J834" t="str">
        <f t="shared" si="81"/>
        <v>ddhub:TimeQuantity</v>
      </c>
      <c r="K834">
        <f t="shared" si="80"/>
        <v>1</v>
      </c>
      <c r="L834" t="str">
        <f t="shared" si="79"/>
        <v>.</v>
      </c>
    </row>
    <row r="835" spans="1:12">
      <c r="A835" s="4" t="s">
        <v>1095</v>
      </c>
      <c r="B835" s="8" t="s">
        <v>201</v>
      </c>
      <c r="C835" t="str">
        <f t="shared" ref="C835" si="82">VLOOKUP(A835,E$2:J$838,6)</f>
        <v>ddhub:TimeQuantity</v>
      </c>
      <c r="D835">
        <f t="shared" ref="D835:D838" si="83">IF(B835=C835,1,0)</f>
        <v>1</v>
      </c>
      <c r="E835" t="str">
        <f t="shared" ref="E835:E838" si="84">"ddhub:"&amp;F835</f>
        <v>ddhub:YearLeap</v>
      </c>
      <c r="F835" t="s">
        <v>2270</v>
      </c>
      <c r="G835" t="s">
        <v>162</v>
      </c>
      <c r="H835" t="s">
        <v>2271</v>
      </c>
      <c r="J835" t="str">
        <f t="shared" si="81"/>
        <v>ddhub:TimeQuantity</v>
      </c>
      <c r="K835">
        <f t="shared" si="80"/>
        <v>1</v>
      </c>
      <c r="L835" t="str">
        <f t="shared" ref="L835:L838" si="85">IF(D835=K835,".","?")</f>
        <v>.</v>
      </c>
    </row>
    <row r="836" spans="1:12">
      <c r="A836" s="4" t="s">
        <v>1096</v>
      </c>
      <c r="B836" s="8" t="s">
        <v>201</v>
      </c>
      <c r="C836" t="str">
        <f t="shared" ref="C836:C838" si="86">VLOOKUP(A836,E$2:J$838,6,FALSE)</f>
        <v>ddhub:TimeQuantity</v>
      </c>
      <c r="D836">
        <f t="shared" si="83"/>
        <v>1</v>
      </c>
      <c r="E836" t="str">
        <f t="shared" si="84"/>
        <v>ddhub:YearTropical</v>
      </c>
      <c r="F836" t="s">
        <v>2272</v>
      </c>
      <c r="G836" t="s">
        <v>162</v>
      </c>
      <c r="H836" t="s">
        <v>2273</v>
      </c>
      <c r="J836" t="str">
        <f t="shared" si="81"/>
        <v>ddhub:TimeQuantity</v>
      </c>
      <c r="K836">
        <f t="shared" si="80"/>
        <v>1</v>
      </c>
      <c r="L836" t="str">
        <f t="shared" si="85"/>
        <v>.</v>
      </c>
    </row>
    <row r="837" spans="1:12">
      <c r="A837" s="4" t="s">
        <v>1097</v>
      </c>
      <c r="B837" s="8" t="s">
        <v>142</v>
      </c>
      <c r="C837" t="str">
        <f t="shared" si="86"/>
        <v>ddhub:TemperatureQuantity</v>
      </c>
      <c r="D837">
        <f t="shared" si="83"/>
        <v>1</v>
      </c>
      <c r="E837" t="str">
        <f t="shared" si="84"/>
        <v>ddhub:Réaumur</v>
      </c>
      <c r="F837" t="s">
        <v>2274</v>
      </c>
      <c r="G837" t="s">
        <v>144</v>
      </c>
      <c r="H837" t="s">
        <v>2275</v>
      </c>
      <c r="J837" t="str">
        <f t="shared" si="81"/>
        <v>ddhub:TemperatureQuantity</v>
      </c>
      <c r="K837">
        <f t="shared" si="80"/>
        <v>1</v>
      </c>
      <c r="L837" t="str">
        <f t="shared" si="85"/>
        <v>.</v>
      </c>
    </row>
    <row r="838" spans="1:12">
      <c r="A838" s="9" t="s">
        <v>1098</v>
      </c>
      <c r="B838" s="10" t="s">
        <v>1275</v>
      </c>
      <c r="C838" t="str">
        <f t="shared" si="86"/>
        <v>ddhub:ForceQuantity</v>
      </c>
      <c r="D838">
        <f t="shared" si="83"/>
        <v>1</v>
      </c>
      <c r="E838" t="str">
        <f t="shared" si="84"/>
        <v>ddhub:ThousandKilogramForce</v>
      </c>
      <c r="F838" t="s">
        <v>2276</v>
      </c>
      <c r="G838" t="s">
        <v>61</v>
      </c>
      <c r="H838" t="s">
        <v>2277</v>
      </c>
      <c r="J838" t="str">
        <f t="shared" si="81"/>
        <v>ddhub:ForceQuantity</v>
      </c>
      <c r="K838">
        <f t="shared" si="80"/>
        <v>1</v>
      </c>
      <c r="L838" t="str">
        <f t="shared" si="85"/>
        <v>.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9"/>
  <sheetViews>
    <sheetView topLeftCell="A813" workbookViewId="0">
      <selection activeCell="B825" sqref="B825"/>
    </sheetView>
  </sheetViews>
  <sheetFormatPr defaultColWidth="9" defaultRowHeight="14.5" outlineLevelCol="4"/>
  <cols>
    <col min="1" max="1" width="70.1775700934579" customWidth="1"/>
    <col min="2" max="2" width="45.7289719626168" customWidth="1"/>
    <col min="3" max="3" width="64.9065420560748" customWidth="1"/>
    <col min="4" max="4" width="27.1775700934579" customWidth="1"/>
    <col min="5" max="5" width="51.7289719626168" customWidth="1"/>
  </cols>
  <sheetData>
    <row r="1" spans="1:5">
      <c r="A1" s="1" t="s">
        <v>0</v>
      </c>
      <c r="B1" s="2" t="s">
        <v>1116</v>
      </c>
      <c r="C1" s="3"/>
      <c r="E1" s="2" t="s">
        <v>2278</v>
      </c>
    </row>
    <row r="2" spans="1:5">
      <c r="A2" s="4" t="s">
        <v>8</v>
      </c>
      <c r="B2" s="5" t="s">
        <v>9</v>
      </c>
      <c r="C2" s="6" t="str">
        <f t="array" ref="C2">_xlfn.TEXTJOIN(" ",TRUE,IF(D:D=A2,E:E,""))</f>
        <v>ddhub:LengthQuantity</v>
      </c>
      <c r="D2" s="7" t="s">
        <v>8</v>
      </c>
      <c r="E2" t="s">
        <v>9</v>
      </c>
    </row>
    <row r="3" spans="1:5">
      <c r="A3" s="4" t="s">
        <v>12</v>
      </c>
      <c r="B3" s="8" t="s">
        <v>13</v>
      </c>
      <c r="C3" s="6" t="str">
        <f t="array" ref="C3">_xlfn.TEXTJOIN(" ",TRUE,IF(D:D=A3,E:E,""))</f>
        <v>ddhub:ElectricCurrentQuantity</v>
      </c>
      <c r="D3" t="s">
        <v>12</v>
      </c>
      <c r="E3" t="s">
        <v>13</v>
      </c>
    </row>
    <row r="4" spans="1:5">
      <c r="A4" s="4" t="s">
        <v>16</v>
      </c>
      <c r="B4" s="8" t="s">
        <v>17</v>
      </c>
      <c r="C4" s="6" t="str">
        <f t="array" ref="C4">_xlfn.TEXTJOIN(" ",TRUE,IF(D:D=A4,E:E,""))</f>
        <v>ddhub:AreaQuantity</v>
      </c>
      <c r="D4" t="s">
        <v>16</v>
      </c>
      <c r="E4" t="s">
        <v>17</v>
      </c>
    </row>
    <row r="5" spans="1:5">
      <c r="A5" s="4" t="s">
        <v>20</v>
      </c>
      <c r="B5" s="8" t="s">
        <v>13</v>
      </c>
      <c r="C5" s="6" t="str">
        <f t="array" ref="C5">_xlfn.TEXTJOIN(" ",TRUE,IF(D:D=A5,E:E,""))</f>
        <v>ddhub:ElectricCurrentQuantity</v>
      </c>
      <c r="D5" t="s">
        <v>20</v>
      </c>
      <c r="E5" t="s">
        <v>13</v>
      </c>
    </row>
    <row r="6" spans="1:5">
      <c r="A6" s="4" t="s">
        <v>24</v>
      </c>
      <c r="B6" s="8" t="s">
        <v>25</v>
      </c>
      <c r="C6" s="6" t="str">
        <f t="array" ref="C6">_xlfn.TEXTJOIN(" ",TRUE,IF(D:D=A6,E:E,""))</f>
        <v>ddhub:PlaneAngleQuantity</v>
      </c>
      <c r="D6" t="s">
        <v>24</v>
      </c>
      <c r="E6" t="s">
        <v>25</v>
      </c>
    </row>
    <row r="7" spans="1:5">
      <c r="A7" s="4" t="s">
        <v>28</v>
      </c>
      <c r="B7" s="8" t="s">
        <v>25</v>
      </c>
      <c r="C7" s="6" t="str">
        <f t="array" ref="C7">_xlfn.TEXTJOIN(" ",TRUE,IF(D:D=A7,E:E,""))</f>
        <v>ddhub:PlaneAngleQuantity</v>
      </c>
      <c r="D7" t="s">
        <v>28</v>
      </c>
      <c r="E7" t="s">
        <v>25</v>
      </c>
    </row>
    <row r="8" spans="1:5">
      <c r="A8" s="4" t="s">
        <v>30</v>
      </c>
      <c r="B8" s="5" t="s">
        <v>9</v>
      </c>
      <c r="C8" s="6" t="str">
        <f t="array" ref="C8">_xlfn.TEXTJOIN(" ",TRUE,IF(D:D=A8,E:E,""))</f>
        <v>ddhub:LengthQuantity</v>
      </c>
      <c r="D8" t="s">
        <v>30</v>
      </c>
      <c r="E8" t="s">
        <v>9</v>
      </c>
    </row>
    <row r="9" spans="1:5">
      <c r="A9" s="4" t="s">
        <v>33</v>
      </c>
      <c r="B9" s="8" t="s">
        <v>34</v>
      </c>
      <c r="C9" s="6" t="str">
        <f t="array" ref="C9">_xlfn.TEXTJOIN(" ",TRUE,IF(D:D=A9,E:E,""))</f>
        <v>ddhub:MassQuantity</v>
      </c>
      <c r="D9" t="s">
        <v>33</v>
      </c>
      <c r="E9" t="s">
        <v>34</v>
      </c>
    </row>
    <row r="10" spans="1:5">
      <c r="A10" s="4" t="s">
        <v>37</v>
      </c>
      <c r="B10" s="8" t="s">
        <v>38</v>
      </c>
      <c r="C10" s="6" t="str">
        <f t="array" ref="C10">_xlfn.TEXTJOIN(" ",TRUE,IF(D:D=A10,E:E,""))</f>
        <v>ddhub:PowerQuantity</v>
      </c>
      <c r="D10" t="s">
        <v>37</v>
      </c>
      <c r="E10" t="s">
        <v>38</v>
      </c>
    </row>
    <row r="11" spans="1:5">
      <c r="A11" s="4" t="s">
        <v>41</v>
      </c>
      <c r="B11" s="5" t="s">
        <v>170</v>
      </c>
      <c r="C11" s="6" t="str">
        <f t="array" ref="C11">_xlfn.TEXTJOIN(" ",TRUE,IF(D:D=A11,E:E,""))</f>
        <v>ddhub:StressQuantity ddhub:PressureQuantity</v>
      </c>
      <c r="D11" t="s">
        <v>41</v>
      </c>
      <c r="E11" t="s">
        <v>2279</v>
      </c>
    </row>
    <row r="12" spans="1:5">
      <c r="A12" s="4" t="s">
        <v>45</v>
      </c>
      <c r="B12" s="8" t="s">
        <v>46</v>
      </c>
      <c r="C12" s="6" t="str">
        <f t="array" ref="C12">_xlfn.TEXTJOIN(" ",TRUE,IF(D:D=A12,E:E,""))</f>
        <v>ddhub:PressureGradientPerLengthQuantity</v>
      </c>
      <c r="D12" t="s">
        <v>41</v>
      </c>
      <c r="E12" t="s">
        <v>170</v>
      </c>
    </row>
    <row r="13" spans="1:5">
      <c r="A13" s="4" t="s">
        <v>49</v>
      </c>
      <c r="B13" s="8" t="s">
        <v>50</v>
      </c>
      <c r="C13" s="6" t="str">
        <f t="array" ref="C13">_xlfn.TEXTJOIN(" ",TRUE,IF(D:D=A13,E:E,""))</f>
        <v>ddhub:VolumeQuantity</v>
      </c>
      <c r="D13" t="s">
        <v>45</v>
      </c>
      <c r="E13" t="s">
        <v>46</v>
      </c>
    </row>
    <row r="14" spans="1:5">
      <c r="A14" s="4" t="s">
        <v>55</v>
      </c>
      <c r="B14" s="5" t="s">
        <v>56</v>
      </c>
      <c r="C14" s="6" t="str">
        <f t="array" ref="C14">_xlfn.TEXTJOIN(" ",TRUE,IF(D:D=A14,E:E,""))</f>
        <v>ddhub:VolumetricFlowRateQuantity</v>
      </c>
      <c r="D14" t="s">
        <v>49</v>
      </c>
      <c r="E14" t="s">
        <v>50</v>
      </c>
    </row>
    <row r="15" spans="1:5">
      <c r="A15" s="4" t="s">
        <v>57</v>
      </c>
      <c r="B15" s="5" t="s">
        <v>56</v>
      </c>
      <c r="C15" s="6" t="str">
        <f t="array" ref="C15">_xlfn.TEXTJOIN(" ",TRUE,IF(D:D=A15,E:E,""))</f>
        <v>ddhub:VolumetricFlowRateQuantity</v>
      </c>
      <c r="D15" t="s">
        <v>55</v>
      </c>
      <c r="E15" t="s">
        <v>56</v>
      </c>
    </row>
    <row r="16" spans="1:5">
      <c r="A16" s="4" t="s">
        <v>59</v>
      </c>
      <c r="B16" s="5" t="s">
        <v>56</v>
      </c>
      <c r="C16" s="6" t="str">
        <f t="array" ref="C16">_xlfn.TEXTJOIN(" ",TRUE,IF(D:D=A16,E:E,""))</f>
        <v>ddhub:VolumetricFlowRateQuantity</v>
      </c>
      <c r="D16" t="s">
        <v>57</v>
      </c>
      <c r="E16" t="s">
        <v>56</v>
      </c>
    </row>
    <row r="17" spans="1:5">
      <c r="A17" s="4" t="s">
        <v>63</v>
      </c>
      <c r="B17" s="5" t="s">
        <v>56</v>
      </c>
      <c r="C17" s="6" t="str">
        <f t="array" ref="C17">_xlfn.TEXTJOIN(" ",TRUE,IF(D:D=A17,E:E,""))</f>
        <v>ddhub:VolumetricFlowRateQuantity</v>
      </c>
      <c r="D17" t="s">
        <v>59</v>
      </c>
      <c r="E17" t="s">
        <v>56</v>
      </c>
    </row>
    <row r="18" spans="1:5">
      <c r="A18" s="4" t="s">
        <v>66</v>
      </c>
      <c r="B18" s="5" t="s">
        <v>56</v>
      </c>
      <c r="C18" s="6" t="str">
        <f t="array" ref="C18">_xlfn.TEXTJOIN(" ",TRUE,IF(D:D=A18,E:E,""))</f>
        <v>ddhub:VolumetricFlowRateQuantity</v>
      </c>
      <c r="D18" t="s">
        <v>63</v>
      </c>
      <c r="E18" t="s">
        <v>56</v>
      </c>
    </row>
    <row r="19" spans="1:5">
      <c r="A19" s="4" t="s">
        <v>70</v>
      </c>
      <c r="B19" s="8" t="s">
        <v>71</v>
      </c>
      <c r="C19" s="6" t="str">
        <f t="array" ref="C19">_xlfn.TEXTJOIN(" ",TRUE,IF(D:D=A19,E:E,""))</f>
        <v>ddhub:LuminousIntensityQuantity</v>
      </c>
      <c r="D19" t="s">
        <v>66</v>
      </c>
      <c r="E19" t="s">
        <v>56</v>
      </c>
    </row>
    <row r="20" spans="1:5">
      <c r="A20" s="4" t="s">
        <v>74</v>
      </c>
      <c r="B20" s="8" t="s">
        <v>13</v>
      </c>
      <c r="C20" s="6" t="str">
        <f t="array" ref="C20">_xlfn.TEXTJOIN(" ",TRUE,IF(D:D=A20,E:E,""))</f>
        <v>ddhub:ElectricCurrentQuantity</v>
      </c>
      <c r="D20" t="s">
        <v>70</v>
      </c>
      <c r="E20" t="s">
        <v>71</v>
      </c>
    </row>
    <row r="21" spans="1:5">
      <c r="A21" s="4" t="s">
        <v>75</v>
      </c>
      <c r="B21" s="8" t="s">
        <v>76</v>
      </c>
      <c r="C21" s="6" t="str">
        <f t="array" ref="C21">_xlfn.TEXTJOIN(" ",TRUE,IF(D:D=A21,E:E,""))</f>
        <v>ddhub:EnergyQuantity</v>
      </c>
      <c r="D21" t="s">
        <v>74</v>
      </c>
      <c r="E21" t="s">
        <v>13</v>
      </c>
    </row>
    <row r="22" spans="1:5">
      <c r="A22" s="4" t="s">
        <v>78</v>
      </c>
      <c r="B22" s="8" t="s">
        <v>334</v>
      </c>
      <c r="C22" s="6" t="str">
        <f t="array" ref="C22">_xlfn.TEXTJOIN(" ",TRUE,IF(D:D=A22,E:E,""))</f>
        <v>ddhub:ThermalConductivityQuantity</v>
      </c>
      <c r="D22" t="s">
        <v>75</v>
      </c>
      <c r="E22" t="s">
        <v>76</v>
      </c>
    </row>
    <row r="23" spans="1:5">
      <c r="A23" s="4" t="s">
        <v>83</v>
      </c>
      <c r="B23" s="8" t="s">
        <v>334</v>
      </c>
      <c r="C23" s="6" t="str">
        <f t="array" ref="C23">_xlfn.TEXTJOIN(" ",TRUE,IF(D:D=A23,E:E,""))</f>
        <v>ddhub:ThermalConductivityGradientPerTemperatureQuantity</v>
      </c>
      <c r="D23" t="s">
        <v>78</v>
      </c>
      <c r="E23" t="s">
        <v>79</v>
      </c>
    </row>
    <row r="24" spans="1:5">
      <c r="A24" s="4" t="s">
        <v>88</v>
      </c>
      <c r="B24" s="8" t="s">
        <v>89</v>
      </c>
      <c r="C24" s="6" t="str">
        <f t="array" ref="C24">_xlfn.TEXTJOIN(" ",TRUE,IF(D:D=A24,E:E,""))</f>
        <v>ddhub:EnergyDensityQuantity</v>
      </c>
      <c r="D24" t="s">
        <v>83</v>
      </c>
      <c r="E24" t="s">
        <v>84</v>
      </c>
    </row>
    <row r="25" spans="1:5">
      <c r="A25" s="4" t="s">
        <v>92</v>
      </c>
      <c r="B25" s="8" t="s">
        <v>89</v>
      </c>
      <c r="C25" s="6" t="str">
        <f t="array" ref="C25">_xlfn.TEXTJOIN(" ",TRUE,IF(D:D=A25,E:E,""))</f>
        <v>ddhub:EnergyDensityQuantity</v>
      </c>
      <c r="D25" t="s">
        <v>88</v>
      </c>
      <c r="E25" t="s">
        <v>89</v>
      </c>
    </row>
    <row r="26" spans="1:5">
      <c r="A26" s="4" t="s">
        <v>96</v>
      </c>
      <c r="B26" s="8" t="s">
        <v>89</v>
      </c>
      <c r="C26" s="6" t="str">
        <f t="array" ref="C26">_xlfn.TEXTJOIN(" ",TRUE,IF(D:D=A26,E:E,""))</f>
        <v>ddhub:EnergyDensityQuantity</v>
      </c>
      <c r="D26" t="s">
        <v>92</v>
      </c>
      <c r="E26" t="s">
        <v>89</v>
      </c>
    </row>
    <row r="27" spans="1:5">
      <c r="A27" s="4" t="s">
        <v>98</v>
      </c>
      <c r="B27" s="8" t="s">
        <v>89</v>
      </c>
      <c r="C27" s="6" t="str">
        <f t="array" ref="C27">_xlfn.TEXTJOIN(" ",TRUE,IF(D:D=A27,E:E,""))</f>
        <v>ddhub:EnergyDensityQuantity</v>
      </c>
      <c r="D27" t="s">
        <v>96</v>
      </c>
      <c r="E27" t="s">
        <v>89</v>
      </c>
    </row>
    <row r="28" spans="1:5">
      <c r="A28" s="4" t="s">
        <v>100</v>
      </c>
      <c r="B28" s="8" t="s">
        <v>76</v>
      </c>
      <c r="C28" s="6" t="str">
        <f t="array" ref="C28">_xlfn.TEXTJOIN(" ",TRUE,IF(D:D=A28,E:E,""))</f>
        <v>ddhub:EnergyDensityQuantity</v>
      </c>
      <c r="D28" t="s">
        <v>98</v>
      </c>
      <c r="E28" t="s">
        <v>89</v>
      </c>
    </row>
    <row r="29" spans="1:5">
      <c r="A29" s="4" t="s">
        <v>102</v>
      </c>
      <c r="B29" s="8" t="s">
        <v>334</v>
      </c>
      <c r="C29" s="6" t="str">
        <f t="array" ref="C29">_xlfn.TEXTJOIN(" ",TRUE,IF(D:D=A29,E:E,""))</f>
        <v>ddhub:ThermalConductivityQuantity</v>
      </c>
      <c r="D29" t="s">
        <v>100</v>
      </c>
      <c r="E29" t="s">
        <v>89</v>
      </c>
    </row>
    <row r="30" spans="1:5">
      <c r="A30" s="4" t="s">
        <v>104</v>
      </c>
      <c r="B30" s="8" t="s">
        <v>334</v>
      </c>
      <c r="C30" s="6" t="str">
        <f t="array" ref="C30">_xlfn.TEXTJOIN(" ",TRUE,IF(D:D=A30,E:E,""))</f>
        <v>ddhub:ThermalConductivityGradientPerTemperatureQuantity</v>
      </c>
      <c r="D30" t="s">
        <v>102</v>
      </c>
      <c r="E30" t="s">
        <v>79</v>
      </c>
    </row>
    <row r="31" spans="1:5">
      <c r="A31" s="4" t="s">
        <v>105</v>
      </c>
      <c r="B31" s="8" t="s">
        <v>334</v>
      </c>
      <c r="C31" s="6" t="str">
        <f t="array" ref="C31">_xlfn.TEXTJOIN(" ",TRUE,IF(D:D=A31,E:E,""))</f>
        <v>ddhub:HeatTransferCoefficientQuantity</v>
      </c>
      <c r="D31" t="s">
        <v>104</v>
      </c>
      <c r="E31" t="s">
        <v>84</v>
      </c>
    </row>
    <row r="32" spans="1:5">
      <c r="A32" s="4" t="s">
        <v>108</v>
      </c>
      <c r="B32" s="8" t="s">
        <v>89</v>
      </c>
      <c r="C32" s="6" t="str">
        <f t="array" ref="C32">_xlfn.TEXTJOIN(" ",TRUE,IF(D:D=A32,E:E,""))</f>
        <v>ddhub:EnergyDensityQuantity</v>
      </c>
      <c r="D32" t="s">
        <v>105</v>
      </c>
      <c r="E32" t="s">
        <v>106</v>
      </c>
    </row>
    <row r="33" spans="1:5">
      <c r="A33" s="4" t="s">
        <v>110</v>
      </c>
      <c r="B33" s="8" t="s">
        <v>334</v>
      </c>
      <c r="C33" s="6" t="str">
        <f t="array" ref="C33">_xlfn.TEXTJOIN(" ",TRUE,IF(D:D=A33,E:E,""))</f>
        <v>ddhub:IsobaricSpecificHeatCapacityQuantity</v>
      </c>
      <c r="D33" t="s">
        <v>108</v>
      </c>
      <c r="E33" t="s">
        <v>89</v>
      </c>
    </row>
    <row r="34" spans="1:5">
      <c r="A34" s="4" t="s">
        <v>113</v>
      </c>
      <c r="B34" s="8" t="s">
        <v>334</v>
      </c>
      <c r="C34" s="6" t="str">
        <f t="array" ref="C34">_xlfn.TEXTJOIN(" ",TRUE,IF(D:D=A34,E:E,""))</f>
        <v>ddhub:IsobaricSpecificHeatCapacityGradientPerTemperatureQuantity</v>
      </c>
      <c r="D34" t="s">
        <v>110</v>
      </c>
      <c r="E34" t="s">
        <v>111</v>
      </c>
    </row>
    <row r="35" spans="1:5">
      <c r="A35" s="4" t="s">
        <v>116</v>
      </c>
      <c r="B35" s="8" t="s">
        <v>76</v>
      </c>
      <c r="C35" s="6" t="str">
        <f t="array" ref="C35">_xlfn.TEXTJOIN(" ",TRUE,IF(D:D=A35,E:E,""))</f>
        <v>ddhub:EnergyQuantity</v>
      </c>
      <c r="D35" t="s">
        <v>113</v>
      </c>
      <c r="E35" t="s">
        <v>114</v>
      </c>
    </row>
    <row r="36" spans="1:5">
      <c r="A36" s="4" t="s">
        <v>117</v>
      </c>
      <c r="B36" s="8" t="s">
        <v>334</v>
      </c>
      <c r="C36" s="6" t="str">
        <f t="array" ref="C36">_xlfn.TEXTJOIN(" ",TRUE,IF(D:D=A36,E:E,""))</f>
        <v>ddhub:ThermalConductivityQuantity</v>
      </c>
      <c r="D36" t="s">
        <v>116</v>
      </c>
      <c r="E36" t="s">
        <v>76</v>
      </c>
    </row>
    <row r="37" spans="1:5">
      <c r="A37" s="4" t="s">
        <v>119</v>
      </c>
      <c r="B37" s="8" t="s">
        <v>334</v>
      </c>
      <c r="C37" s="6" t="str">
        <f t="array" ref="C37">_xlfn.TEXTJOIN(" ",TRUE,IF(D:D=A37,E:E,""))</f>
        <v>ddhub:ThermalConductivityGradientPerTemperatureQuantity</v>
      </c>
      <c r="D37" t="s">
        <v>117</v>
      </c>
      <c r="E37" t="s">
        <v>79</v>
      </c>
    </row>
    <row r="38" spans="1:5">
      <c r="A38" s="4" t="s">
        <v>121</v>
      </c>
      <c r="B38" s="8" t="s">
        <v>89</v>
      </c>
      <c r="C38" s="6" t="str">
        <f t="array" ref="C38">_xlfn.TEXTJOIN(" ",TRUE,IF(D:D=A38,E:E,""))</f>
        <v>ddhub:EnergyDensityQuantity</v>
      </c>
      <c r="D38" t="s">
        <v>119</v>
      </c>
      <c r="E38" t="s">
        <v>84</v>
      </c>
    </row>
    <row r="39" spans="1:5">
      <c r="A39" s="4" t="s">
        <v>122</v>
      </c>
      <c r="B39" s="8" t="s">
        <v>89</v>
      </c>
      <c r="C39" s="6" t="str">
        <f t="array" ref="C39">_xlfn.TEXTJOIN(" ",TRUE,IF(D:D=A39,E:E,""))</f>
        <v>ddhub:EnergyDensityQuantity</v>
      </c>
      <c r="D39" t="s">
        <v>121</v>
      </c>
      <c r="E39" t="s">
        <v>89</v>
      </c>
    </row>
    <row r="40" spans="1:5">
      <c r="A40" s="4" t="s">
        <v>124</v>
      </c>
      <c r="B40" s="8" t="s">
        <v>89</v>
      </c>
      <c r="C40" s="6" t="str">
        <f t="array" ref="C40">_xlfn.TEXTJOIN(" ",TRUE,IF(D:D=A40,E:E,""))</f>
        <v>ddhub:EnergyDensityQuantity</v>
      </c>
      <c r="D40" t="s">
        <v>122</v>
      </c>
      <c r="E40" t="s">
        <v>89</v>
      </c>
    </row>
    <row r="41" spans="1:5">
      <c r="A41" s="4" t="s">
        <v>126</v>
      </c>
      <c r="B41" s="8" t="s">
        <v>76</v>
      </c>
      <c r="C41" s="6" t="str">
        <f t="array" ref="C41">_xlfn.TEXTJOIN(" ",TRUE,IF(D:D=A41,E:E,""))</f>
        <v>ddhub:EnergyDensityQuantity</v>
      </c>
      <c r="D41" t="s">
        <v>124</v>
      </c>
      <c r="E41" t="s">
        <v>89</v>
      </c>
    </row>
    <row r="42" spans="1:5">
      <c r="A42" s="4" t="s">
        <v>127</v>
      </c>
      <c r="B42" s="8" t="s">
        <v>89</v>
      </c>
      <c r="C42" s="6" t="str">
        <f t="array" ref="C42">_xlfn.TEXTJOIN(" ",TRUE,IF(D:D=A42,E:E,""))</f>
        <v>ddhub:EnergyDensityQuantity</v>
      </c>
      <c r="D42" t="s">
        <v>126</v>
      </c>
      <c r="E42" t="s">
        <v>89</v>
      </c>
    </row>
    <row r="43" spans="1:5">
      <c r="A43" s="4" t="s">
        <v>129</v>
      </c>
      <c r="B43" s="8" t="s">
        <v>334</v>
      </c>
      <c r="C43" s="6" t="str">
        <f t="array" ref="C43">_xlfn.TEXTJOIN(" ",TRUE,IF(D:D=A43,E:E,""))</f>
        <v>ddhub:IsobaricSpecificHeatCapacityQuantity</v>
      </c>
      <c r="D43" t="s">
        <v>127</v>
      </c>
      <c r="E43" t="s">
        <v>89</v>
      </c>
    </row>
    <row r="44" spans="1:5">
      <c r="A44" s="4" t="s">
        <v>131</v>
      </c>
      <c r="B44" s="8" t="s">
        <v>334</v>
      </c>
      <c r="C44" s="6" t="str">
        <f t="array" ref="C44">_xlfn.TEXTJOIN(" ",TRUE,IF(D:D=A44,E:E,""))</f>
        <v>ddhub:IsobaricSpecificHeatCapacityGradientPerTemperatureQuantity</v>
      </c>
      <c r="D44" t="s">
        <v>129</v>
      </c>
      <c r="E44" t="s">
        <v>111</v>
      </c>
    </row>
    <row r="45" spans="1:5">
      <c r="A45" s="4" t="s">
        <v>132</v>
      </c>
      <c r="B45" s="8" t="s">
        <v>89</v>
      </c>
      <c r="C45" s="6" t="str">
        <f t="array" ref="C45">_xlfn.TEXTJOIN(" ",TRUE,IF(D:D=A45,E:E,""))</f>
        <v>ddhub:EnergyDensityQuantity</v>
      </c>
      <c r="D45" t="s">
        <v>131</v>
      </c>
      <c r="E45" t="s">
        <v>114</v>
      </c>
    </row>
    <row r="46" spans="1:5">
      <c r="A46" s="4" t="s">
        <v>134</v>
      </c>
      <c r="B46" s="8" t="s">
        <v>334</v>
      </c>
      <c r="C46" s="6" t="str">
        <f t="array" ref="C46">_xlfn.TEXTJOIN(" ",TRUE,IF(D:D=A46,E:E,""))</f>
        <v>ddhub:ThermalConductivityQuantity</v>
      </c>
      <c r="D46" t="s">
        <v>132</v>
      </c>
      <c r="E46" t="s">
        <v>89</v>
      </c>
    </row>
    <row r="47" spans="1:5">
      <c r="A47" s="4" t="s">
        <v>135</v>
      </c>
      <c r="B47" s="8" t="s">
        <v>334</v>
      </c>
      <c r="C47" s="6" t="str">
        <f t="array" ref="C47">_xlfn.TEXTJOIN(" ",TRUE,IF(D:D=A47,E:E,""))</f>
        <v>ddhub:ThermalConductivityGradientPerTemperatureQuantity</v>
      </c>
      <c r="D47" t="s">
        <v>134</v>
      </c>
      <c r="E47" t="s">
        <v>79</v>
      </c>
    </row>
    <row r="48" spans="1:5">
      <c r="A48" s="4" t="s">
        <v>137</v>
      </c>
      <c r="B48" s="8" t="s">
        <v>71</v>
      </c>
      <c r="C48" s="6" t="str">
        <f t="array" ref="C48">_xlfn.TEXTJOIN(" ",TRUE,IF(D:D=A48,E:E,""))</f>
        <v>ddhub:LuminousIntensityQuantity</v>
      </c>
      <c r="D48" t="s">
        <v>135</v>
      </c>
      <c r="E48" t="s">
        <v>84</v>
      </c>
    </row>
    <row r="49" spans="1:5">
      <c r="A49" s="4" t="s">
        <v>139</v>
      </c>
      <c r="B49" s="8" t="s">
        <v>71</v>
      </c>
      <c r="C49" s="6" t="str">
        <f t="array" ref="C49">_xlfn.TEXTJOIN(" ",TRUE,IF(D:D=A49,E:E,""))</f>
        <v>ddhub:LuminousIntensityQuantity</v>
      </c>
      <c r="D49" t="s">
        <v>137</v>
      </c>
      <c r="E49" t="s">
        <v>71</v>
      </c>
    </row>
    <row r="50" spans="1:5">
      <c r="A50" s="4" t="s">
        <v>141</v>
      </c>
      <c r="B50" s="8" t="s">
        <v>142</v>
      </c>
      <c r="C50" s="6" t="str">
        <f t="array" ref="C50">_xlfn.TEXTJOIN(" ",TRUE,IF(D:D=A50,E:E,""))</f>
        <v>ddhub:TemperatureQuantity</v>
      </c>
      <c r="D50" t="s">
        <v>139</v>
      </c>
      <c r="E50" t="s">
        <v>71</v>
      </c>
    </row>
    <row r="51" spans="1:5">
      <c r="A51" s="4" t="s">
        <v>146</v>
      </c>
      <c r="B51" s="8" t="s">
        <v>84</v>
      </c>
      <c r="C51" s="6" t="str">
        <f t="array" ref="C51">_xlfn.TEXTJOIN(" ",TRUE,IF(D:D=A51,E:E,""))</f>
        <v>ddhub:TemperatureGradientPerLengthQuantity</v>
      </c>
      <c r="D51" t="s">
        <v>141</v>
      </c>
      <c r="E51" t="s">
        <v>142</v>
      </c>
    </row>
    <row r="52" spans="1:5">
      <c r="A52" s="4" t="s">
        <v>150</v>
      </c>
      <c r="B52" s="8" t="s">
        <v>147</v>
      </c>
      <c r="C52" s="6" t="str">
        <f t="array" ref="C52">_xlfn.TEXTJOIN(" ",TRUE,IF(D:D=A52,E:E,""))</f>
        <v>ddhub:TemperatureGradientPerLengthQuantity</v>
      </c>
      <c r="D52" t="s">
        <v>146</v>
      </c>
      <c r="E52" t="s">
        <v>147</v>
      </c>
    </row>
    <row r="53" spans="1:5">
      <c r="A53" s="4" t="s">
        <v>153</v>
      </c>
      <c r="B53" s="8" t="s">
        <v>147</v>
      </c>
      <c r="C53" s="6" t="str">
        <f t="array" ref="C53">_xlfn.TEXTJOIN(" ",TRUE,IF(D:D=A53,E:E,""))</f>
        <v>ddhub:TemperatureGradientPerLengthQuantity</v>
      </c>
      <c r="D53" t="s">
        <v>150</v>
      </c>
      <c r="E53" t="s">
        <v>147</v>
      </c>
    </row>
    <row r="54" spans="1:5">
      <c r="A54" s="4" t="s">
        <v>155</v>
      </c>
      <c r="B54" s="8" t="s">
        <v>147</v>
      </c>
      <c r="C54" s="6" t="str">
        <f t="array" ref="C54">_xlfn.TEXTJOIN(" ",TRUE,IF(D:D=A54,E:E,""))</f>
        <v>ddhub:TemperatureGradientPerLengthQuantity</v>
      </c>
      <c r="D54" t="s">
        <v>153</v>
      </c>
      <c r="E54" t="s">
        <v>147</v>
      </c>
    </row>
    <row r="55" spans="1:5">
      <c r="A55" s="4" t="s">
        <v>156</v>
      </c>
      <c r="B55" s="8" t="s">
        <v>147</v>
      </c>
      <c r="C55" s="6" t="str">
        <f t="array" ref="C55">_xlfn.TEXTJOIN(" ",TRUE,IF(D:D=A55,E:E,""))</f>
        <v>ddhub:TemperatureGradientPerLengthQuantity</v>
      </c>
      <c r="D55" t="s">
        <v>155</v>
      </c>
      <c r="E55" t="s">
        <v>147</v>
      </c>
    </row>
    <row r="56" spans="1:5">
      <c r="A56" s="4" t="s">
        <v>158</v>
      </c>
      <c r="B56" s="8" t="s">
        <v>147</v>
      </c>
      <c r="C56" s="6" t="str">
        <f t="array" ref="C56">_xlfn.TEXTJOIN(" ",TRUE,IF(D:D=A56,E:E,""))</f>
        <v>ddhub:TemperatureGradientPerLengthQuantity</v>
      </c>
      <c r="D56" t="s">
        <v>156</v>
      </c>
      <c r="E56" t="s">
        <v>147</v>
      </c>
    </row>
    <row r="57" spans="1:5">
      <c r="A57" s="4" t="s">
        <v>159</v>
      </c>
      <c r="B57" s="8" t="s">
        <v>147</v>
      </c>
      <c r="C57" s="6" t="str">
        <f t="array" ref="C57">_xlfn.TEXTJOIN(" ",TRUE,IF(D:D=A57,E:E,""))</f>
        <v>ddhub:TemperatureGradientPerLengthQuantity</v>
      </c>
      <c r="D57" t="s">
        <v>158</v>
      </c>
      <c r="E57" t="s">
        <v>147</v>
      </c>
    </row>
    <row r="58" spans="1:5">
      <c r="A58" s="4" t="s">
        <v>161</v>
      </c>
      <c r="B58" s="8" t="s">
        <v>13</v>
      </c>
      <c r="C58" s="6" t="str">
        <f t="array" ref="C58">_xlfn.TEXTJOIN(" ",TRUE,IF(D:D=A58,E:E,""))</f>
        <v>ddhub:ElectricCurrentQuantity</v>
      </c>
      <c r="D58" t="s">
        <v>159</v>
      </c>
      <c r="E58" t="s">
        <v>147</v>
      </c>
    </row>
    <row r="59" spans="1:5">
      <c r="A59" s="4" t="s">
        <v>163</v>
      </c>
      <c r="B59" s="8" t="s">
        <v>34</v>
      </c>
      <c r="C59" s="6" t="str">
        <f t="array" ref="C59">_xlfn.TEXTJOIN(" ",TRUE,IF(D:D=A59,E:E,""))</f>
        <v>ddhub:MassQuantity</v>
      </c>
      <c r="D59" t="s">
        <v>161</v>
      </c>
      <c r="E59" t="s">
        <v>13</v>
      </c>
    </row>
    <row r="60" spans="1:5">
      <c r="A60" s="4" t="s">
        <v>165</v>
      </c>
      <c r="B60" s="8" t="s">
        <v>50</v>
      </c>
      <c r="C60" s="6" t="str">
        <f t="array" ref="C60">_xlfn.TEXTJOIN(" ",TRUE,IF(D:D=A60,E:E,""))</f>
        <v>ddhub:VolumeQuantity</v>
      </c>
      <c r="D60" t="s">
        <v>163</v>
      </c>
      <c r="E60" t="s">
        <v>34</v>
      </c>
    </row>
    <row r="61" spans="1:5">
      <c r="A61" s="4" t="s">
        <v>167</v>
      </c>
      <c r="B61" s="5" t="s">
        <v>9</v>
      </c>
      <c r="C61" s="6" t="str">
        <f t="array" ref="C61">_xlfn.TEXTJOIN(" ",TRUE,IF(D:D=A61,E:E,""))</f>
        <v>ddhub:LengthQuantity</v>
      </c>
      <c r="D61" t="s">
        <v>165</v>
      </c>
      <c r="E61" t="s">
        <v>50</v>
      </c>
    </row>
    <row r="62" spans="1:5">
      <c r="A62" s="4" t="s">
        <v>169</v>
      </c>
      <c r="B62" s="5" t="s">
        <v>170</v>
      </c>
      <c r="C62" s="6" t="str">
        <f t="array" ref="C62">_xlfn.TEXTJOIN(" ",TRUE,IF(D:D=A62,E:E,""))</f>
        <v>ddhub:PressureQuantity</v>
      </c>
      <c r="D62" t="s">
        <v>167</v>
      </c>
      <c r="E62" t="s">
        <v>9</v>
      </c>
    </row>
    <row r="63" spans="1:5">
      <c r="A63" s="4" t="s">
        <v>171</v>
      </c>
      <c r="B63" s="5" t="s">
        <v>172</v>
      </c>
      <c r="C63" s="6" t="str">
        <f t="array" ref="C63">_xlfn.TEXTJOIN(" ",TRUE,IF(D:D=A63,E:E,""))</f>
        <v>ddhub:VelocityQuantity</v>
      </c>
      <c r="D63" t="s">
        <v>169</v>
      </c>
      <c r="E63" t="s">
        <v>170</v>
      </c>
    </row>
    <row r="64" spans="1:5">
      <c r="A64" s="4" t="s">
        <v>174</v>
      </c>
      <c r="B64" s="5" t="s">
        <v>172</v>
      </c>
      <c r="C64" s="6" t="str">
        <f t="array" ref="C64">_xlfn.TEXTJOIN(" ",TRUE,IF(D:D=A64,E:E,""))</f>
        <v>ddhub:VelocityQuantity</v>
      </c>
      <c r="D64" t="s">
        <v>171</v>
      </c>
      <c r="E64" t="s">
        <v>172</v>
      </c>
    </row>
    <row r="65" spans="1:5">
      <c r="A65" s="4" t="s">
        <v>175</v>
      </c>
      <c r="B65" s="8" t="s">
        <v>176</v>
      </c>
      <c r="C65" s="6" t="str">
        <f t="array" ref="C65">_xlfn.TEXTJOIN(" ",TRUE,IF(D:D=A65,E:E,""))</f>
        <v>ddhub:AccelerationQuantity</v>
      </c>
      <c r="D65" t="s">
        <v>174</v>
      </c>
      <c r="E65" t="s">
        <v>172</v>
      </c>
    </row>
    <row r="66" spans="1:5">
      <c r="A66" s="4" t="s">
        <v>178</v>
      </c>
      <c r="B66" s="5" t="s">
        <v>172</v>
      </c>
      <c r="C66" s="6" t="str">
        <f t="array" ref="C66">_xlfn.TEXTJOIN(" ",TRUE,IF(D:D=A66,E:E,""))</f>
        <v>ddhub:ElongationGradientPerLengthQuantity</v>
      </c>
      <c r="D66" t="s">
        <v>175</v>
      </c>
      <c r="E66" t="s">
        <v>176</v>
      </c>
    </row>
    <row r="67" spans="1:5">
      <c r="A67" s="4" t="s">
        <v>180</v>
      </c>
      <c r="B67" s="8" t="s">
        <v>332</v>
      </c>
      <c r="C67" s="6" t="str">
        <f t="array" ref="C67">_xlfn.TEXTJOIN(" ",TRUE,IF(D:D=A67,E:E,""))</f>
        <v>ddhub:ElongationGradientPerLengthQuantity</v>
      </c>
      <c r="D67" t="s">
        <v>178</v>
      </c>
      <c r="E67" t="s">
        <v>179</v>
      </c>
    </row>
    <row r="68" spans="1:5">
      <c r="A68" s="4" t="s">
        <v>181</v>
      </c>
      <c r="B68" s="5" t="s">
        <v>172</v>
      </c>
      <c r="C68" s="6" t="str">
        <f t="array" ref="C68">_xlfn.TEXTJOIN(" ",TRUE,IF(D:D=A68,E:E,""))</f>
        <v>ddhub:VelocityQuantity</v>
      </c>
      <c r="D68" t="s">
        <v>180</v>
      </c>
      <c r="E68" t="s">
        <v>179</v>
      </c>
    </row>
    <row r="69" spans="1:5">
      <c r="A69" s="4" t="s">
        <v>183</v>
      </c>
      <c r="B69" s="8" t="s">
        <v>176</v>
      </c>
      <c r="C69" s="6" t="str">
        <f t="array" ref="C69">_xlfn.TEXTJOIN(" ",TRUE,IF(D:D=A69,E:E,""))</f>
        <v>ddhub:AccelerationQuantity</v>
      </c>
      <c r="D69" t="s">
        <v>181</v>
      </c>
      <c r="E69" t="s">
        <v>172</v>
      </c>
    </row>
    <row r="70" spans="1:5">
      <c r="A70" s="4" t="s">
        <v>185</v>
      </c>
      <c r="B70" s="5" t="s">
        <v>172</v>
      </c>
      <c r="C70" s="6" t="str">
        <f t="array" ref="C70">_xlfn.TEXTJOIN(" ",TRUE,IF(D:D=A70,E:E,""))</f>
        <v>ddhub:VelocityQuantity ddhub:HydraulicConductivityQuantity</v>
      </c>
      <c r="D70" t="s">
        <v>183</v>
      </c>
      <c r="E70" t="s">
        <v>176</v>
      </c>
    </row>
    <row r="71" spans="1:5">
      <c r="A71" s="4" t="s">
        <v>188</v>
      </c>
      <c r="B71" s="8" t="s">
        <v>176</v>
      </c>
      <c r="C71" s="6" t="str">
        <f t="array" ref="C71">_xlfn.TEXTJOIN(" ",TRUE,IF(D:D=A71,E:E,""))</f>
        <v>ddhub:AccelerationQuantity</v>
      </c>
      <c r="D71" t="s">
        <v>185</v>
      </c>
      <c r="E71" t="s">
        <v>172</v>
      </c>
    </row>
    <row r="72" spans="1:5">
      <c r="A72" s="4" t="s">
        <v>190</v>
      </c>
      <c r="B72" s="5" t="s">
        <v>170</v>
      </c>
      <c r="C72" s="6" t="str">
        <f t="array" ref="C72">_xlfn.TEXTJOIN(" ",TRUE,IF(D:D=A72,E:E,""))</f>
        <v>ddhub:PressureQuantity</v>
      </c>
      <c r="D72" t="s">
        <v>185</v>
      </c>
      <c r="E72" t="s">
        <v>2280</v>
      </c>
    </row>
    <row r="73" spans="1:5">
      <c r="A73" s="4" t="s">
        <v>191</v>
      </c>
      <c r="B73" s="8" t="s">
        <v>192</v>
      </c>
      <c r="C73" s="6" t="str">
        <f t="array" ref="C73">_xlfn.TEXTJOIN(" ",TRUE,IF(D:D=A73,E:E,""))</f>
        <v>ddhub:AmountSubstanceQuantity</v>
      </c>
      <c r="D73" t="s">
        <v>188</v>
      </c>
      <c r="E73" t="s">
        <v>176</v>
      </c>
    </row>
    <row r="74" spans="1:5">
      <c r="A74" s="4" t="s">
        <v>194</v>
      </c>
      <c r="B74" s="8" t="s">
        <v>195</v>
      </c>
      <c r="C74" s="6" t="str">
        <f t="array" ref="C74">_xlfn.TEXTJOIN(" ",TRUE,IF(D:D=A74,E:E,""))</f>
        <v>ddhub:DynamicViscosityQuantity</v>
      </c>
      <c r="D74" t="s">
        <v>190</v>
      </c>
      <c r="E74" t="s">
        <v>170</v>
      </c>
    </row>
    <row r="75" spans="1:5">
      <c r="A75" s="4" t="s">
        <v>196</v>
      </c>
      <c r="B75" s="8" t="s">
        <v>334</v>
      </c>
      <c r="C75" s="6" t="str">
        <f t="array" ref="C75">_xlfn.TEXTJOIN(" ",TRUE,IF(D:D=A75,E:E,""))</f>
        <v/>
      </c>
      <c r="D75" t="s">
        <v>191</v>
      </c>
      <c r="E75" t="s">
        <v>192</v>
      </c>
    </row>
    <row r="76" spans="1:5">
      <c r="A76" s="4" t="s">
        <v>199</v>
      </c>
      <c r="B76" s="8" t="s">
        <v>38</v>
      </c>
      <c r="C76" s="6" t="str">
        <f t="array" ref="C76">_xlfn.TEXTJOIN(" ",TRUE,IF(D:D=A76,E:E,""))</f>
        <v>ddhub:PowerQuantity</v>
      </c>
      <c r="D76" t="s">
        <v>194</v>
      </c>
      <c r="E76" t="s">
        <v>195</v>
      </c>
    </row>
    <row r="77" spans="1:5">
      <c r="A77" s="4" t="s">
        <v>200</v>
      </c>
      <c r="B77" s="8" t="s">
        <v>201</v>
      </c>
      <c r="C77" s="6" t="str">
        <f t="array" ref="C77">_xlfn.TEXTJOIN(" ",TRUE,IF(D:D=A77,E:E,""))</f>
        <v>ddhub:TimeQuantity</v>
      </c>
      <c r="D77" t="s">
        <v>199</v>
      </c>
      <c r="E77" t="s">
        <v>38</v>
      </c>
    </row>
    <row r="78" spans="1:5">
      <c r="A78" s="4" t="s">
        <v>202</v>
      </c>
      <c r="B78" s="8" t="s">
        <v>25</v>
      </c>
      <c r="C78" s="6" t="str">
        <f t="array" ref="C78">_xlfn.TEXTJOIN(" ",TRUE,IF(D:D=A78,E:E,""))</f>
        <v>ddhub:PlaneAngleQuantity</v>
      </c>
      <c r="D78" t="s">
        <v>200</v>
      </c>
      <c r="E78" t="s">
        <v>201</v>
      </c>
    </row>
    <row r="79" spans="1:5">
      <c r="A79" s="4" t="s">
        <v>204</v>
      </c>
      <c r="B79" s="8" t="s">
        <v>13</v>
      </c>
      <c r="C79" s="6" t="str">
        <f t="array" ref="C79">_xlfn.TEXTJOIN(" ",TRUE,IF(D:D=A79,E:E,""))</f>
        <v>ddhub:ElectricCurrentQuantity</v>
      </c>
      <c r="D79" t="s">
        <v>202</v>
      </c>
      <c r="E79" t="s">
        <v>25</v>
      </c>
    </row>
    <row r="80" spans="1:5">
      <c r="A80" s="4" t="s">
        <v>205</v>
      </c>
      <c r="B80" s="8" t="s">
        <v>334</v>
      </c>
      <c r="C80" s="6" t="str">
        <f t="array" ref="C80">_xlfn.TEXTJOIN(" ",TRUE,IF(D:D=A80,E:E,""))</f>
        <v>ddhub:ElectricCapacitanceQuantity</v>
      </c>
      <c r="D80" t="s">
        <v>204</v>
      </c>
      <c r="E80" t="s">
        <v>13</v>
      </c>
    </row>
    <row r="81" spans="1:5">
      <c r="A81" s="4" t="s">
        <v>208</v>
      </c>
      <c r="B81" s="8" t="s">
        <v>50</v>
      </c>
      <c r="C81" s="6" t="str">
        <f t="array" ref="C81">_xlfn.TEXTJOIN(" ",TRUE,IF(D:D=A81,E:E,""))</f>
        <v>ddhub:VolumeQuantity</v>
      </c>
      <c r="D81" t="s">
        <v>205</v>
      </c>
      <c r="E81" t="s">
        <v>206</v>
      </c>
    </row>
    <row r="82" spans="1:5">
      <c r="A82" s="4" t="s">
        <v>209</v>
      </c>
      <c r="B82" s="5" t="s">
        <v>56</v>
      </c>
      <c r="C82" s="6" t="str">
        <f t="array" ref="C82">_xlfn.TEXTJOIN(" ",TRUE,IF(D:D=A82,E:E,""))</f>
        <v>ddhub:VolumetricFlowRateQuantity</v>
      </c>
      <c r="D82" t="s">
        <v>208</v>
      </c>
      <c r="E82" t="s">
        <v>50</v>
      </c>
    </row>
    <row r="83" spans="1:5">
      <c r="A83" s="4" t="s">
        <v>211</v>
      </c>
      <c r="B83" s="5" t="s">
        <v>56</v>
      </c>
      <c r="C83" s="6" t="str">
        <f t="array" ref="C83">_xlfn.TEXTJOIN(" ",TRUE,IF(D:D=A83,E:E,""))</f>
        <v>ddhub:VolumetricFlowRateQuantity</v>
      </c>
      <c r="D83" t="s">
        <v>209</v>
      </c>
      <c r="E83" t="s">
        <v>56</v>
      </c>
    </row>
    <row r="84" spans="1:5">
      <c r="A84" s="4" t="s">
        <v>212</v>
      </c>
      <c r="B84" s="5" t="s">
        <v>56</v>
      </c>
      <c r="C84" s="6" t="str">
        <f t="array" ref="C84">_xlfn.TEXTJOIN(" ",TRUE,IF(D:D=A84,E:E,""))</f>
        <v>ddhub:VolumetricFlowRateQuantity</v>
      </c>
      <c r="D84" t="s">
        <v>211</v>
      </c>
      <c r="E84" t="s">
        <v>56</v>
      </c>
    </row>
    <row r="85" spans="1:5">
      <c r="A85" s="4" t="s">
        <v>213</v>
      </c>
      <c r="B85" s="5" t="s">
        <v>56</v>
      </c>
      <c r="C85" s="6" t="str">
        <f t="array" ref="C85">_xlfn.TEXTJOIN(" ",TRUE,IF(D:D=A85,E:E,""))</f>
        <v>ddhub:VolumetricFlowRateQuantity</v>
      </c>
      <c r="D85" t="s">
        <v>212</v>
      </c>
      <c r="E85" t="s">
        <v>56</v>
      </c>
    </row>
    <row r="86" spans="1:5">
      <c r="A86" s="4" t="s">
        <v>214</v>
      </c>
      <c r="B86" s="5" t="s">
        <v>56</v>
      </c>
      <c r="C86" s="6" t="str">
        <f t="array" ref="C86">_xlfn.TEXTJOIN(" ",TRUE,IF(D:D=A86,E:E,""))</f>
        <v>ddhub:VolumetricFlowRateQuantity</v>
      </c>
      <c r="D86" t="s">
        <v>213</v>
      </c>
      <c r="E86" t="s">
        <v>56</v>
      </c>
    </row>
    <row r="87" spans="1:5">
      <c r="A87" s="4" t="s">
        <v>215</v>
      </c>
      <c r="B87" s="8" t="s">
        <v>50</v>
      </c>
      <c r="C87" s="6" t="str">
        <f t="array" ref="C87">_xlfn.TEXTJOIN(" ",TRUE,IF(D:D=A87,E:E,""))</f>
        <v>ddhub:VolumeQuantity</v>
      </c>
      <c r="D87" t="s">
        <v>214</v>
      </c>
      <c r="E87" t="s">
        <v>56</v>
      </c>
    </row>
    <row r="88" spans="1:5">
      <c r="A88" s="4" t="s">
        <v>216</v>
      </c>
      <c r="B88" s="8" t="s">
        <v>50</v>
      </c>
      <c r="C88" s="6" t="str">
        <f t="array" ref="C88">_xlfn.TEXTJOIN(" ",TRUE,IF(D:D=A88,E:E,""))</f>
        <v>ddhub:VolumeQuantity</v>
      </c>
      <c r="D88" t="s">
        <v>215</v>
      </c>
      <c r="E88" t="s">
        <v>50</v>
      </c>
    </row>
    <row r="89" spans="1:5">
      <c r="A89" s="4" t="s">
        <v>218</v>
      </c>
      <c r="B89" s="5" t="s">
        <v>56</v>
      </c>
      <c r="C89" s="6" t="str">
        <f t="array" ref="C89">_xlfn.TEXTJOIN(" ",TRUE,IF(D:D=A89,E:E,""))</f>
        <v>ddhub:VolumetricFlowRateQuantity</v>
      </c>
      <c r="D89" t="s">
        <v>216</v>
      </c>
      <c r="E89" t="s">
        <v>50</v>
      </c>
    </row>
    <row r="90" spans="1:5">
      <c r="A90" s="4" t="s">
        <v>219</v>
      </c>
      <c r="B90" s="5" t="s">
        <v>56</v>
      </c>
      <c r="C90" s="6" t="str">
        <f t="array" ref="C90">_xlfn.TEXTJOIN(" ",TRUE,IF(D:D=A90,E:E,""))</f>
        <v>ddhub:VolumetricFlowRateQuantity</v>
      </c>
      <c r="D90" t="s">
        <v>218</v>
      </c>
      <c r="E90" t="s">
        <v>56</v>
      </c>
    </row>
    <row r="91" spans="1:5">
      <c r="A91" s="4" t="s">
        <v>220</v>
      </c>
      <c r="B91" s="5" t="s">
        <v>56</v>
      </c>
      <c r="C91" s="6" t="str">
        <f t="array" ref="C91">_xlfn.TEXTJOIN(" ",TRUE,IF(D:D=A91,E:E,""))</f>
        <v>ddhub:VolumetricFlowRateQuantity</v>
      </c>
      <c r="D91" t="s">
        <v>219</v>
      </c>
      <c r="E91" t="s">
        <v>56</v>
      </c>
    </row>
    <row r="92" spans="1:5">
      <c r="A92" s="4" t="s">
        <v>221</v>
      </c>
      <c r="B92" s="5" t="s">
        <v>56</v>
      </c>
      <c r="C92" s="6" t="str">
        <f t="array" ref="C92">_xlfn.TEXTJOIN(" ",TRUE,IF(D:D=A92,E:E,""))</f>
        <v>ddhub:VolumetricFlowRateQuantity</v>
      </c>
      <c r="D92" t="s">
        <v>220</v>
      </c>
      <c r="E92" t="s">
        <v>56</v>
      </c>
    </row>
    <row r="93" spans="1:5">
      <c r="A93" s="4" t="s">
        <v>222</v>
      </c>
      <c r="B93" s="8" t="s">
        <v>334</v>
      </c>
      <c r="C93" s="6" t="str">
        <f t="array" ref="C93">_xlfn.TEXTJOIN(" ",TRUE,IF(D:D=A93,E:E,""))</f>
        <v>ddhub:VolumetricFlowRateOfChangeQuantity</v>
      </c>
      <c r="D93" t="s">
        <v>221</v>
      </c>
      <c r="E93" t="s">
        <v>56</v>
      </c>
    </row>
    <row r="94" spans="1:5">
      <c r="A94" s="4" t="s">
        <v>225</v>
      </c>
      <c r="B94" s="5" t="s">
        <v>56</v>
      </c>
      <c r="C94" s="6" t="str">
        <f t="array" ref="C94">_xlfn.TEXTJOIN(" ",TRUE,IF(D:D=A94,E:E,""))</f>
        <v>ddhub:VolumetricFlowRateQuantity</v>
      </c>
      <c r="D94" t="s">
        <v>222</v>
      </c>
      <c r="E94" t="s">
        <v>223</v>
      </c>
    </row>
    <row r="95" spans="1:5">
      <c r="A95" s="4" t="s">
        <v>226</v>
      </c>
      <c r="B95" s="8" t="s">
        <v>334</v>
      </c>
      <c r="C95" s="6" t="str">
        <f t="array" ref="C95">_xlfn.TEXTJOIN(" ",TRUE,IF(D:D=A95,E:E,""))</f>
        <v>ddhub:PorousMediumPermeabilityQuantity</v>
      </c>
      <c r="D95" t="s">
        <v>225</v>
      </c>
      <c r="E95" t="s">
        <v>56</v>
      </c>
    </row>
    <row r="96" spans="1:5">
      <c r="A96" s="4" t="s">
        <v>229</v>
      </c>
      <c r="B96" s="8" t="s">
        <v>201</v>
      </c>
      <c r="C96" s="6" t="str">
        <f t="array" ref="C96">_xlfn.TEXTJOIN(" ",TRUE,IF(D:D=A96,E:E,""))</f>
        <v>ddhub:TimeQuantity</v>
      </c>
      <c r="D96" t="s">
        <v>226</v>
      </c>
      <c r="E96" t="s">
        <v>227</v>
      </c>
    </row>
    <row r="97" spans="1:5">
      <c r="A97" s="4" t="s">
        <v>230</v>
      </c>
      <c r="B97" s="8" t="s">
        <v>201</v>
      </c>
      <c r="C97" s="6" t="str">
        <f t="array" ref="C97">_xlfn.TEXTJOIN(" ",TRUE,IF(D:D=A97,E:E,""))</f>
        <v>ddhub:TimeQuantity</v>
      </c>
      <c r="D97" t="s">
        <v>229</v>
      </c>
      <c r="E97" t="s">
        <v>201</v>
      </c>
    </row>
    <row r="98" spans="1:5">
      <c r="A98" s="4" t="s">
        <v>231</v>
      </c>
      <c r="B98" s="8" t="s">
        <v>34</v>
      </c>
      <c r="C98" s="6" t="str">
        <f t="array" ref="C98">_xlfn.TEXTJOIN(" ",TRUE,IF(D:D=A98,E:E,""))</f>
        <v>ddhub:MassQuantity</v>
      </c>
      <c r="D98" t="s">
        <v>230</v>
      </c>
      <c r="E98" t="s">
        <v>201</v>
      </c>
    </row>
    <row r="99" spans="1:5">
      <c r="A99" s="4" t="s">
        <v>232</v>
      </c>
      <c r="B99" s="5" t="s">
        <v>9</v>
      </c>
      <c r="C99" s="6" t="str">
        <f t="array" ref="C99">_xlfn.TEXTJOIN(" ",TRUE,IF(D:D=A99,E:E,""))</f>
        <v>ddhub:LengthQuantity</v>
      </c>
      <c r="D99" t="s">
        <v>231</v>
      </c>
      <c r="E99" t="s">
        <v>34</v>
      </c>
    </row>
    <row r="100" spans="1:5">
      <c r="A100" s="4" t="s">
        <v>233</v>
      </c>
      <c r="B100" s="5" t="s">
        <v>1275</v>
      </c>
      <c r="C100" s="6" t="str">
        <f t="array" ref="C100">_xlfn.TEXTJOIN(" ",TRUE,IF(D:D=A100,E:E,""))</f>
        <v>ddhub:TensionQuantity ddhub:ForceQuantity</v>
      </c>
      <c r="D100" t="s">
        <v>232</v>
      </c>
      <c r="E100" t="s">
        <v>9</v>
      </c>
    </row>
    <row r="101" spans="1:5">
      <c r="A101" s="4" t="s">
        <v>235</v>
      </c>
      <c r="B101" s="5" t="s">
        <v>236</v>
      </c>
      <c r="C101" s="6" t="str">
        <f t="array" ref="C101">_xlfn.TEXTJOIN(" ",TRUE,IF(D:D=A101,E:E,""))</f>
        <v>ddhub:TorqueQuantity</v>
      </c>
      <c r="D101" t="s">
        <v>233</v>
      </c>
      <c r="E101" t="s">
        <v>2281</v>
      </c>
    </row>
    <row r="102" spans="1:5">
      <c r="A102" s="4" t="s">
        <v>237</v>
      </c>
      <c r="B102" s="8" t="s">
        <v>238</v>
      </c>
      <c r="C102" s="6" t="str">
        <f t="array" ref="C102">_xlfn.TEXTJOIN(" ",TRUE,IF(D:D=A102,E:E,""))</f>
        <v>ddhub:TorqueGradientPerLengthQuantity</v>
      </c>
      <c r="D102" t="s">
        <v>233</v>
      </c>
      <c r="E102" t="s">
        <v>1275</v>
      </c>
    </row>
    <row r="103" spans="1:5">
      <c r="A103" s="4" t="s">
        <v>239</v>
      </c>
      <c r="B103" s="8" t="s">
        <v>238</v>
      </c>
      <c r="C103" s="6" t="str">
        <f t="array" ref="C103">_xlfn.TEXTJOIN(" ",TRUE,IF(D:D=A103,E:E,""))</f>
        <v>ddhub:TorqueGradientPerLengthQuantity</v>
      </c>
      <c r="D103" t="s">
        <v>235</v>
      </c>
      <c r="E103" t="s">
        <v>236</v>
      </c>
    </row>
    <row r="104" spans="1:5">
      <c r="A104" s="4" t="s">
        <v>241</v>
      </c>
      <c r="B104" s="8" t="s">
        <v>238</v>
      </c>
      <c r="C104" s="6" t="str">
        <f t="array" ref="C104">_xlfn.TEXTJOIN(" ",TRUE,IF(D:D=A104,E:E,""))</f>
        <v>ddhub:TorqueGradientPerLengthQuantity</v>
      </c>
      <c r="D104" t="s">
        <v>237</v>
      </c>
      <c r="E104" t="s">
        <v>238</v>
      </c>
    </row>
    <row r="105" spans="1:5">
      <c r="A105" s="4" t="s">
        <v>242</v>
      </c>
      <c r="B105" s="8" t="s">
        <v>238</v>
      </c>
      <c r="C105" s="6" t="str">
        <f t="array" ref="C105">_xlfn.TEXTJOIN(" ",TRUE,IF(D:D=A105,E:E,""))</f>
        <v>ddhub:TorqueGradientPerLengthQuantity</v>
      </c>
      <c r="D105" t="s">
        <v>239</v>
      </c>
      <c r="E105" t="s">
        <v>238</v>
      </c>
    </row>
    <row r="106" spans="1:5">
      <c r="A106" s="4" t="s">
        <v>243</v>
      </c>
      <c r="B106" s="8" t="s">
        <v>238</v>
      </c>
      <c r="C106" s="6" t="str">
        <f t="array" ref="C106">_xlfn.TEXTJOIN(" ",TRUE,IF(D:D=A106,E:E,""))</f>
        <v>ddhub:TorqueGradientPerLengthQuantity</v>
      </c>
      <c r="D106" t="s">
        <v>241</v>
      </c>
      <c r="E106" t="s">
        <v>238</v>
      </c>
    </row>
    <row r="107" spans="1:5">
      <c r="A107" s="4" t="s">
        <v>244</v>
      </c>
      <c r="B107" s="8" t="s">
        <v>238</v>
      </c>
      <c r="C107" s="6" t="str">
        <f t="array" ref="C107">_xlfn.TEXTJOIN(" ",TRUE,IF(D:D=A107,E:E,""))</f>
        <v>ddhub:TorqueGradientPerLengthQuantity</v>
      </c>
      <c r="D107" t="s">
        <v>242</v>
      </c>
      <c r="E107" t="s">
        <v>238</v>
      </c>
    </row>
    <row r="108" spans="1:5">
      <c r="A108" s="4" t="s">
        <v>245</v>
      </c>
      <c r="B108" s="8" t="s">
        <v>246</v>
      </c>
      <c r="C108" s="6" t="str">
        <f t="array" ref="C108">_xlfn.TEXTJOIN(" ",TRUE,IF(D:D=A108,E:E,""))</f>
        <v>ddhub:ForceGradientPerLengthQuantity</v>
      </c>
      <c r="D108" t="s">
        <v>243</v>
      </c>
      <c r="E108" t="s">
        <v>238</v>
      </c>
    </row>
    <row r="109" spans="1:5">
      <c r="A109" s="4" t="s">
        <v>247</v>
      </c>
      <c r="B109" s="8" t="s">
        <v>246</v>
      </c>
      <c r="C109" s="6" t="str">
        <f t="array" ref="C109">_xlfn.TEXTJOIN(" ",TRUE,IF(D:D=A109,E:E,""))</f>
        <v>ddhub:ForceGradientPerLengthQuantity</v>
      </c>
      <c r="D109" t="s">
        <v>244</v>
      </c>
      <c r="E109" t="s">
        <v>238</v>
      </c>
    </row>
    <row r="110" spans="1:5">
      <c r="A110" s="4" t="s">
        <v>249</v>
      </c>
      <c r="B110" s="8" t="s">
        <v>246</v>
      </c>
      <c r="C110" s="6" t="str">
        <f t="array" ref="C110">_xlfn.TEXTJOIN(" ",TRUE,IF(D:D=A110,E:E,""))</f>
        <v>ddhub:ForceGradientPerLengthQuantity</v>
      </c>
      <c r="D110" t="s">
        <v>245</v>
      </c>
      <c r="E110" t="s">
        <v>246</v>
      </c>
    </row>
    <row r="111" spans="1:5">
      <c r="A111" s="4" t="s">
        <v>250</v>
      </c>
      <c r="B111" s="8" t="s">
        <v>246</v>
      </c>
      <c r="C111" s="6" t="str">
        <f t="array" ref="C111">_xlfn.TEXTJOIN(" ",TRUE,IF(D:D=A111,E:E,""))</f>
        <v>ddhub:ForceGradientPerLengthQuantity</v>
      </c>
      <c r="D111" t="s">
        <v>247</v>
      </c>
      <c r="E111" t="s">
        <v>246</v>
      </c>
    </row>
    <row r="112" spans="1:5">
      <c r="A112" s="4" t="s">
        <v>251</v>
      </c>
      <c r="B112" s="8" t="s">
        <v>246</v>
      </c>
      <c r="C112" s="6" t="str">
        <f t="array" ref="C112">_xlfn.TEXTJOIN(" ",TRUE,IF(D:D=A112,E:E,""))</f>
        <v>ddhub:ForceGradientPerLengthQuantity</v>
      </c>
      <c r="D112" t="s">
        <v>249</v>
      </c>
      <c r="E112" t="s">
        <v>246</v>
      </c>
    </row>
    <row r="113" spans="1:5">
      <c r="A113" s="4" t="s">
        <v>252</v>
      </c>
      <c r="B113" s="8" t="s">
        <v>246</v>
      </c>
      <c r="C113" s="6" t="str">
        <f t="array" ref="C113">_xlfn.TEXTJOIN(" ",TRUE,IF(D:D=A113,E:E,""))</f>
        <v>ddhub:ForceGradientPerLengthQuantity</v>
      </c>
      <c r="D113" t="s">
        <v>250</v>
      </c>
      <c r="E113" t="s">
        <v>246</v>
      </c>
    </row>
    <row r="114" spans="1:5">
      <c r="A114" s="4" t="s">
        <v>253</v>
      </c>
      <c r="B114" s="8" t="s">
        <v>38</v>
      </c>
      <c r="C114" s="6" t="str">
        <f t="array" ref="C114">_xlfn.TEXTJOIN(" ",TRUE,IF(D:D=A114,E:E,""))</f>
        <v>ddhub:PowerQuantity</v>
      </c>
      <c r="D114" t="s">
        <v>251</v>
      </c>
      <c r="E114" t="s">
        <v>246</v>
      </c>
    </row>
    <row r="115" spans="1:5">
      <c r="A115" s="4" t="s">
        <v>254</v>
      </c>
      <c r="B115" s="8" t="s">
        <v>13</v>
      </c>
      <c r="C115" s="6" t="str">
        <f t="array" ref="C115">_xlfn.TEXTJOIN(" ",TRUE,IF(D:D=A115,E:E,""))</f>
        <v>ddhub:ElectricCurrentQuantity</v>
      </c>
      <c r="D115" t="s">
        <v>252</v>
      </c>
      <c r="E115" t="s">
        <v>246</v>
      </c>
    </row>
    <row r="116" spans="1:5">
      <c r="A116" s="4" t="s">
        <v>255</v>
      </c>
      <c r="B116" s="8" t="s">
        <v>50</v>
      </c>
      <c r="C116" s="6" t="str">
        <f t="array" ref="C116">_xlfn.TEXTJOIN(" ",TRUE,IF(D:D=A116,E:E,""))</f>
        <v>ddhub:VolumeQuantity</v>
      </c>
      <c r="D116" t="s">
        <v>253</v>
      </c>
      <c r="E116" t="s">
        <v>38</v>
      </c>
    </row>
    <row r="117" spans="1:5">
      <c r="A117" s="4" t="s">
        <v>256</v>
      </c>
      <c r="B117" s="8" t="s">
        <v>71</v>
      </c>
      <c r="C117" s="6" t="str">
        <f t="array" ref="C117">_xlfn.TEXTJOIN(" ",TRUE,IF(D:D=A117,E:E,""))</f>
        <v>ddhub:LuminousIntensityQuantity</v>
      </c>
      <c r="D117" t="s">
        <v>254</v>
      </c>
      <c r="E117" t="s">
        <v>13</v>
      </c>
    </row>
    <row r="118" spans="1:5">
      <c r="A118" s="4" t="s">
        <v>257</v>
      </c>
      <c r="B118" s="5" t="s">
        <v>9</v>
      </c>
      <c r="C118" s="6" t="str">
        <f t="array" ref="C118">_xlfn.TEXTJOIN(" ",TRUE,IF(D:D=A118,E:E,""))</f>
        <v>ddhub:LengthQuantity</v>
      </c>
      <c r="D118" t="s">
        <v>255</v>
      </c>
      <c r="E118" t="s">
        <v>50</v>
      </c>
    </row>
    <row r="119" spans="1:5">
      <c r="A119" s="4" t="s">
        <v>258</v>
      </c>
      <c r="B119" s="5" t="s">
        <v>172</v>
      </c>
      <c r="C119" s="6" t="str">
        <f t="array" ref="C119">_xlfn.TEXTJOIN(" ",TRUE,IF(D:D=A119,E:E,""))</f>
        <v>ddhub:VelocityQuantity</v>
      </c>
      <c r="D119" t="s">
        <v>256</v>
      </c>
      <c r="E119" t="s">
        <v>71</v>
      </c>
    </row>
    <row r="120" spans="1:5">
      <c r="A120" s="4" t="s">
        <v>259</v>
      </c>
      <c r="B120" s="5" t="s">
        <v>172</v>
      </c>
      <c r="C120" s="6" t="str">
        <f t="array" ref="C120">_xlfn.TEXTJOIN(" ",TRUE,IF(D:D=A120,E:E,""))</f>
        <v>ddhub:VelocityQuantity</v>
      </c>
      <c r="D120" t="s">
        <v>257</v>
      </c>
      <c r="E120" t="s">
        <v>9</v>
      </c>
    </row>
    <row r="121" spans="1:5">
      <c r="A121" s="4" t="s">
        <v>260</v>
      </c>
      <c r="B121" s="8" t="s">
        <v>332</v>
      </c>
      <c r="C121" s="6" t="str">
        <f t="array" ref="C121">_xlfn.TEXTJOIN(" ",TRUE,IF(D:D=A121,E:E,""))</f>
        <v>ddhub:ElongationGradientPerLengthQuantity</v>
      </c>
      <c r="D121" t="s">
        <v>258</v>
      </c>
      <c r="E121" t="s">
        <v>172</v>
      </c>
    </row>
    <row r="122" spans="1:5">
      <c r="A122" s="4" t="s">
        <v>261</v>
      </c>
      <c r="B122" s="8" t="s">
        <v>332</v>
      </c>
      <c r="C122" s="6" t="str">
        <f t="array" ref="C122">_xlfn.TEXTJOIN(" ",TRUE,IF(D:D=A122,E:E,""))</f>
        <v>ddhub:ElongationGradientPerLengthQuantity</v>
      </c>
      <c r="D122" t="s">
        <v>259</v>
      </c>
      <c r="E122" t="s">
        <v>172</v>
      </c>
    </row>
    <row r="123" spans="1:5">
      <c r="A123" s="4" t="s">
        <v>262</v>
      </c>
      <c r="B123" s="5" t="s">
        <v>172</v>
      </c>
      <c r="C123" s="6" t="str">
        <f t="array" ref="C123">_xlfn.TEXTJOIN(" ",TRUE,IF(D:D=A123,E:E,""))</f>
        <v>ddhub:VelocityQuantity</v>
      </c>
      <c r="D123" t="s">
        <v>260</v>
      </c>
      <c r="E123" t="s">
        <v>179</v>
      </c>
    </row>
    <row r="124" spans="1:5">
      <c r="A124" s="4" t="s">
        <v>263</v>
      </c>
      <c r="B124" s="5" t="s">
        <v>172</v>
      </c>
      <c r="C124" s="6" t="str">
        <f t="array" ref="C124">_xlfn.TEXTJOIN(" ",TRUE,IF(D:D=A124,E:E,""))</f>
        <v>ddhub:VelocityQuantity</v>
      </c>
      <c r="D124" t="s">
        <v>261</v>
      </c>
      <c r="E124" t="s">
        <v>179</v>
      </c>
    </row>
    <row r="125" spans="1:5">
      <c r="A125" s="4" t="s">
        <v>264</v>
      </c>
      <c r="B125" s="8" t="s">
        <v>192</v>
      </c>
      <c r="C125" s="6" t="str">
        <f t="array" ref="C125">_xlfn.TEXTJOIN(" ",TRUE,IF(D:D=A125,E:E,""))</f>
        <v>ddhub:AmountSubstanceQuantity</v>
      </c>
      <c r="D125" t="s">
        <v>262</v>
      </c>
      <c r="E125" t="s">
        <v>172</v>
      </c>
    </row>
    <row r="126" spans="1:5">
      <c r="A126" s="4" t="s">
        <v>265</v>
      </c>
      <c r="B126" s="8" t="s">
        <v>38</v>
      </c>
      <c r="C126" s="6" t="str">
        <f t="array" ref="C126">_xlfn.TEXTJOIN(" ",TRUE,IF(D:D=A126,E:E,""))</f>
        <v>ddhub:PowerQuantity</v>
      </c>
      <c r="D126" t="s">
        <v>263</v>
      </c>
      <c r="E126" t="s">
        <v>172</v>
      </c>
    </row>
    <row r="127" spans="1:5">
      <c r="A127" s="4" t="s">
        <v>266</v>
      </c>
      <c r="B127" s="8" t="s">
        <v>25</v>
      </c>
      <c r="C127" s="6" t="str">
        <f t="array" ref="C127">_xlfn.TEXTJOIN(" ",TRUE,IF(D:D=A127,E:E,""))</f>
        <v>ddhub:PlaneAngleQuantity</v>
      </c>
      <c r="D127" t="s">
        <v>264</v>
      </c>
      <c r="E127" t="s">
        <v>192</v>
      </c>
    </row>
    <row r="128" spans="1:5">
      <c r="A128" s="4" t="s">
        <v>268</v>
      </c>
      <c r="B128" s="8" t="s">
        <v>334</v>
      </c>
      <c r="C128" s="6" t="str">
        <f t="array" ref="C128">_xlfn.TEXTJOIN(" ",TRUE,IF(D:D=A128,E:E,""))</f>
        <v>ddhub:AngleMagneticFluxDensityQuantity</v>
      </c>
      <c r="D128" t="s">
        <v>265</v>
      </c>
      <c r="E128" t="s">
        <v>38</v>
      </c>
    </row>
    <row r="129" spans="1:5">
      <c r="A129" s="4" t="s">
        <v>270</v>
      </c>
      <c r="B129" s="8" t="s">
        <v>379</v>
      </c>
      <c r="C129" s="6" t="str">
        <f t="array" ref="C129">_xlfn.TEXTJOIN(" ",TRUE,IF(D:D=A129,E:E,""))</f>
        <v>ddhub:AngleMagneticFluxDensityQuantity</v>
      </c>
      <c r="D129" t="s">
        <v>266</v>
      </c>
      <c r="E129" t="s">
        <v>25</v>
      </c>
    </row>
    <row r="130" spans="1:5">
      <c r="A130" s="4" t="s">
        <v>271</v>
      </c>
      <c r="B130" s="8" t="s">
        <v>379</v>
      </c>
      <c r="C130" s="6" t="str">
        <f t="array" ref="C130">_xlfn.TEXTJOIN(" ",TRUE,IF(D:D=A130,E:E,""))</f>
        <v>ddhub:AngleMagneticFluxDensityQuantity</v>
      </c>
      <c r="D130" t="s">
        <v>268</v>
      </c>
      <c r="E130" t="s">
        <v>269</v>
      </c>
    </row>
    <row r="131" spans="1:5">
      <c r="A131" s="4" t="s">
        <v>272</v>
      </c>
      <c r="B131" s="8" t="s">
        <v>334</v>
      </c>
      <c r="C131" s="6" t="str">
        <f t="array" ref="C131">_xlfn.TEXTJOIN(" ",TRUE,IF(D:D=A131,E:E,""))</f>
        <v>ddhub:AngleMagneticFluxDensityQuantity</v>
      </c>
      <c r="D131" t="s">
        <v>270</v>
      </c>
      <c r="E131" t="s">
        <v>269</v>
      </c>
    </row>
    <row r="132" spans="1:5">
      <c r="A132" s="4" t="s">
        <v>274</v>
      </c>
      <c r="B132" s="8" t="s">
        <v>379</v>
      </c>
      <c r="C132" s="6" t="str">
        <f t="array" ref="C132">_xlfn.TEXTJOIN(" ",TRUE,IF(D:D=A132,E:E,""))</f>
        <v>ddhub:AngleMagneticFluxDensityQuantity</v>
      </c>
      <c r="D132" t="s">
        <v>271</v>
      </c>
      <c r="E132" t="s">
        <v>269</v>
      </c>
    </row>
    <row r="133" spans="1:5">
      <c r="A133" s="4" t="s">
        <v>275</v>
      </c>
      <c r="B133" s="8" t="s">
        <v>379</v>
      </c>
      <c r="C133" s="6" t="str">
        <f t="array" ref="C133">_xlfn.TEXTJOIN(" ",TRUE,IF(D:D=A133,E:E,""))</f>
        <v>ddhub:AngleMagneticFluxDensityQuantity</v>
      </c>
      <c r="D133" t="s">
        <v>272</v>
      </c>
      <c r="E133" t="s">
        <v>269</v>
      </c>
    </row>
    <row r="134" spans="1:5">
      <c r="A134" s="4" t="s">
        <v>276</v>
      </c>
      <c r="B134" s="8" t="s">
        <v>334</v>
      </c>
      <c r="C134" s="6" t="str">
        <f t="array" ref="C134">_xlfn.TEXTJOIN(" ",TRUE,IF(D:D=A134,E:E,""))</f>
        <v>ddhub:CurvatureQuantity</v>
      </c>
      <c r="D134" t="s">
        <v>274</v>
      </c>
      <c r="E134" t="s">
        <v>269</v>
      </c>
    </row>
    <row r="135" spans="1:5">
      <c r="A135" s="4" t="s">
        <v>278</v>
      </c>
      <c r="B135" s="8" t="s">
        <v>334</v>
      </c>
      <c r="C135" s="6" t="str">
        <f t="array" ref="C135">_xlfn.TEXTJOIN(" ",TRUE,IF(D:D=A135,E:E,""))</f>
        <v>ddhub:CurvatureQuantity</v>
      </c>
      <c r="D135" t="s">
        <v>275</v>
      </c>
      <c r="E135" t="s">
        <v>269</v>
      </c>
    </row>
    <row r="136" spans="1:5">
      <c r="A136" s="4" t="s">
        <v>280</v>
      </c>
      <c r="B136" s="8" t="s">
        <v>334</v>
      </c>
      <c r="C136" s="6" t="str">
        <f t="array" ref="C136">_xlfn.TEXTJOIN(" ",TRUE,IF(D:D=A136,E:E,""))</f>
        <v>ddhub:CurvatureQuantity</v>
      </c>
      <c r="D136" t="s">
        <v>276</v>
      </c>
      <c r="E136" t="s">
        <v>277</v>
      </c>
    </row>
    <row r="137" spans="1:5">
      <c r="A137" s="4" t="s">
        <v>281</v>
      </c>
      <c r="B137" s="8" t="s">
        <v>334</v>
      </c>
      <c r="C137" s="6" t="str">
        <f t="array" ref="C137">_xlfn.TEXTJOIN(" ",TRUE,IF(D:D=A137,E:E,""))</f>
        <v>ddhub:CurvatureQuantity</v>
      </c>
      <c r="D137" t="s">
        <v>278</v>
      </c>
      <c r="E137" t="s">
        <v>277</v>
      </c>
    </row>
    <row r="138" spans="1:5">
      <c r="A138" s="4" t="s">
        <v>282</v>
      </c>
      <c r="B138" s="8" t="s">
        <v>334</v>
      </c>
      <c r="C138" s="6" t="str">
        <f t="array" ref="C138">_xlfn.TEXTJOIN(" ",TRUE,IF(D:D=A138,E:E,""))</f>
        <v>ddhub:CurvatureQuantity</v>
      </c>
      <c r="D138" t="s">
        <v>280</v>
      </c>
      <c r="E138" t="s">
        <v>277</v>
      </c>
    </row>
    <row r="139" spans="1:5">
      <c r="A139" s="4" t="s">
        <v>283</v>
      </c>
      <c r="B139" s="8" t="s">
        <v>334</v>
      </c>
      <c r="C139" s="6" t="str">
        <f t="array" ref="C139">_xlfn.TEXTJOIN(" ",TRUE,IF(D:D=A139,E:E,""))</f>
        <v>ddhub:AngleGradientPerLengthQuantity</v>
      </c>
      <c r="D139" t="s">
        <v>281</v>
      </c>
      <c r="E139" t="s">
        <v>277</v>
      </c>
    </row>
    <row r="140" spans="1:5">
      <c r="A140" s="4" t="s">
        <v>285</v>
      </c>
      <c r="B140" s="8" t="s">
        <v>286</v>
      </c>
      <c r="C140" s="6" t="str">
        <f t="array" ref="C140">_xlfn.TEXTJOIN(" ",TRUE,IF(D:D=A140,E:E,""))</f>
        <v>ddhub:AngularVelocityQuantity</v>
      </c>
      <c r="D140" t="s">
        <v>282</v>
      </c>
      <c r="E140" t="s">
        <v>277</v>
      </c>
    </row>
    <row r="141" spans="1:5">
      <c r="A141" s="4" t="s">
        <v>287</v>
      </c>
      <c r="B141" s="8" t="s">
        <v>288</v>
      </c>
      <c r="C141" s="6" t="str">
        <f t="array" ref="C141">_xlfn.TEXTJOIN(" ",TRUE,IF(D:D=A141,E:E,""))</f>
        <v>ddhub:AngularAccelerationQuantity</v>
      </c>
      <c r="D141" t="s">
        <v>283</v>
      </c>
      <c r="E141" t="s">
        <v>284</v>
      </c>
    </row>
    <row r="142" spans="1:5">
      <c r="A142" s="4" t="s">
        <v>289</v>
      </c>
      <c r="B142" s="8" t="s">
        <v>288</v>
      </c>
      <c r="C142" s="6" t="str">
        <f t="array" ref="C142">_xlfn.TEXTJOIN(" ",TRUE,IF(D:D=A142,E:E,""))</f>
        <v>ddhub:AngularAccelerationQuantity</v>
      </c>
      <c r="D142" t="s">
        <v>285</v>
      </c>
      <c r="E142" t="s">
        <v>286</v>
      </c>
    </row>
    <row r="143" spans="1:5">
      <c r="A143" s="4" t="s">
        <v>290</v>
      </c>
      <c r="B143" s="8" t="s">
        <v>288</v>
      </c>
      <c r="C143" s="6" t="str">
        <f t="array" ref="C143">_xlfn.TEXTJOIN(" ",TRUE,IF(D:D=A143,E:E,""))</f>
        <v>ddhub:AngularAccelerationQuantity</v>
      </c>
      <c r="D143" t="s">
        <v>287</v>
      </c>
      <c r="E143" t="s">
        <v>288</v>
      </c>
    </row>
    <row r="144" spans="1:5">
      <c r="A144" s="4" t="s">
        <v>291</v>
      </c>
      <c r="B144" s="8" t="s">
        <v>288</v>
      </c>
      <c r="C144" s="6" t="str">
        <f t="array" ref="C144">_xlfn.TEXTJOIN(" ",TRUE,IF(D:D=A144,E:E,""))</f>
        <v>ddhub:AngularAccelerationQuantity</v>
      </c>
      <c r="D144" t="s">
        <v>289</v>
      </c>
      <c r="E144" t="s">
        <v>288</v>
      </c>
    </row>
    <row r="145" spans="1:5">
      <c r="A145" s="4" t="s">
        <v>292</v>
      </c>
      <c r="B145" s="8" t="s">
        <v>284</v>
      </c>
      <c r="C145" s="6" t="str">
        <f t="array" ref="C145">_xlfn.TEXTJOIN(" ",TRUE,IF(D:D=A145,E:E,""))</f>
        <v>ddhub:CurvatureQuantity</v>
      </c>
      <c r="D145" t="s">
        <v>290</v>
      </c>
      <c r="E145" t="s">
        <v>288</v>
      </c>
    </row>
    <row r="146" spans="1:5">
      <c r="A146" s="4" t="s">
        <v>293</v>
      </c>
      <c r="B146" s="8" t="s">
        <v>284</v>
      </c>
      <c r="C146" s="6" t="str">
        <f t="array" ref="C146">_xlfn.TEXTJOIN(" ",TRUE,IF(D:D=A146,E:E,""))</f>
        <v>ddhub:CurvatureQuantity</v>
      </c>
      <c r="D146" t="s">
        <v>291</v>
      </c>
      <c r="E146" t="s">
        <v>288</v>
      </c>
    </row>
    <row r="147" spans="1:5">
      <c r="A147" s="4" t="s">
        <v>294</v>
      </c>
      <c r="B147" s="8" t="s">
        <v>284</v>
      </c>
      <c r="C147" s="6" t="str">
        <f t="array" ref="C147">_xlfn.TEXTJOIN(" ",TRUE,IF(D:D=A147,E:E,""))</f>
        <v>ddhub:AngleGradientPerLengthQuantity</v>
      </c>
      <c r="D147" t="s">
        <v>292</v>
      </c>
      <c r="E147" t="s">
        <v>277</v>
      </c>
    </row>
    <row r="148" spans="1:5">
      <c r="A148" s="4" t="s">
        <v>295</v>
      </c>
      <c r="B148" s="8" t="s">
        <v>284</v>
      </c>
      <c r="C148" s="6" t="str">
        <f t="array" ref="C148">_xlfn.TEXTJOIN(" ",TRUE,IF(D:D=A148,E:E,""))</f>
        <v>ddhub:CurvatureQuantity ddhub:AngleGradientPerLengthQuantity</v>
      </c>
      <c r="D148" t="s">
        <v>293</v>
      </c>
      <c r="E148" t="s">
        <v>277</v>
      </c>
    </row>
    <row r="149" spans="1:5">
      <c r="A149" s="4" t="s">
        <v>297</v>
      </c>
      <c r="B149" s="8" t="s">
        <v>284</v>
      </c>
      <c r="C149" s="6" t="str">
        <f t="array" ref="C149">_xlfn.TEXTJOIN(" ",TRUE,IF(D:D=A149,E:E,""))</f>
        <v>ddhub:CurvatureQuantity</v>
      </c>
      <c r="D149" t="s">
        <v>294</v>
      </c>
      <c r="E149" t="s">
        <v>284</v>
      </c>
    </row>
    <row r="150" spans="1:5">
      <c r="A150" s="4" t="s">
        <v>298</v>
      </c>
      <c r="B150" s="8" t="s">
        <v>286</v>
      </c>
      <c r="C150" s="6" t="str">
        <f t="array" ref="C150">_xlfn.TEXTJOIN(" ",TRUE,IF(D:D=A150,E:E,""))</f>
        <v>ddhub:AngularVelocityQuantity</v>
      </c>
      <c r="D150" t="s">
        <v>295</v>
      </c>
      <c r="E150" t="s">
        <v>277</v>
      </c>
    </row>
    <row r="151" spans="1:5">
      <c r="A151" s="4" t="s">
        <v>299</v>
      </c>
      <c r="B151" s="8" t="s">
        <v>286</v>
      </c>
      <c r="C151" s="6" t="str">
        <f t="array" ref="C151">_xlfn.TEXTJOIN(" ",TRUE,IF(D:D=A151,E:E,""))</f>
        <v>ddhub:AngularAccelerationQuantity</v>
      </c>
      <c r="D151" t="s">
        <v>295</v>
      </c>
      <c r="E151" t="s">
        <v>284</v>
      </c>
    </row>
    <row r="152" spans="1:5">
      <c r="A152" s="4" t="s">
        <v>300</v>
      </c>
      <c r="B152" s="8" t="s">
        <v>286</v>
      </c>
      <c r="C152" s="6" t="str">
        <f t="array" ref="C152">_xlfn.TEXTJOIN(" ",TRUE,IF(D:D=A152,E:E,""))</f>
        <v>ddhub:AngularAccelerationQuantity</v>
      </c>
      <c r="D152" t="s">
        <v>297</v>
      </c>
      <c r="E152" t="s">
        <v>277</v>
      </c>
    </row>
    <row r="153" spans="1:5">
      <c r="A153" s="4" t="s">
        <v>301</v>
      </c>
      <c r="B153" s="8" t="s">
        <v>286</v>
      </c>
      <c r="C153" s="6" t="str">
        <f t="array" ref="C153">_xlfn.TEXTJOIN(" ",TRUE,IF(D:D=A153,E:E,""))</f>
        <v>ddhub:AngularAccelerationQuantity</v>
      </c>
      <c r="D153" t="s">
        <v>298</v>
      </c>
      <c r="E153" t="s">
        <v>286</v>
      </c>
    </row>
    <row r="154" spans="1:5">
      <c r="A154" s="4" t="s">
        <v>302</v>
      </c>
      <c r="B154" s="8" t="s">
        <v>286</v>
      </c>
      <c r="C154" s="6" t="str">
        <f t="array" ref="C154">_xlfn.TEXTJOIN(" ",TRUE,IF(D:D=A154,E:E,""))</f>
        <v>ddhub:AngularAccelerationQuantity</v>
      </c>
      <c r="D154" t="s">
        <v>299</v>
      </c>
      <c r="E154" t="s">
        <v>288</v>
      </c>
    </row>
    <row r="155" spans="1:5">
      <c r="A155" s="4" t="s">
        <v>303</v>
      </c>
      <c r="B155" s="8" t="s">
        <v>284</v>
      </c>
      <c r="C155" s="6" t="str">
        <f t="array" ref="C155">_xlfn.TEXTJOIN(" ",TRUE,IF(D:D=A155,E:E,""))</f>
        <v>ddhub:AngleGradientPerLengthQuantity</v>
      </c>
      <c r="D155" t="s">
        <v>300</v>
      </c>
      <c r="E155" t="s">
        <v>288</v>
      </c>
    </row>
    <row r="156" spans="1:5">
      <c r="A156" s="4" t="s">
        <v>304</v>
      </c>
      <c r="B156" s="8" t="s">
        <v>284</v>
      </c>
      <c r="C156" s="6" t="str">
        <f t="array" ref="C156">_xlfn.TEXTJOIN(" ",TRUE,IF(D:D=A156,E:E,""))</f>
        <v>ddhub:CurvatureQuantity</v>
      </c>
      <c r="D156" t="s">
        <v>301</v>
      </c>
      <c r="E156" t="s">
        <v>288</v>
      </c>
    </row>
    <row r="157" spans="1:5">
      <c r="A157" s="4" t="s">
        <v>305</v>
      </c>
      <c r="B157" s="8" t="s">
        <v>284</v>
      </c>
      <c r="C157" s="6" t="str">
        <f t="array" ref="C157">_xlfn.TEXTJOIN(" ",TRUE,IF(D:D=A157,E:E,""))</f>
        <v>ddhub:CurvatureQuantity ddhub:AngleGradientPerLengthQuantity</v>
      </c>
      <c r="D157" t="s">
        <v>302</v>
      </c>
      <c r="E157" t="s">
        <v>288</v>
      </c>
    </row>
    <row r="158" spans="1:5">
      <c r="A158" s="4" t="s">
        <v>306</v>
      </c>
      <c r="B158" s="8" t="s">
        <v>284</v>
      </c>
      <c r="C158" s="6" t="str">
        <f t="array" ref="C158">_xlfn.TEXTJOIN(" ",TRUE,IF(D:D=A158,E:E,""))</f>
        <v>ddhub:CurvatureQuantity</v>
      </c>
      <c r="D158" t="s">
        <v>303</v>
      </c>
      <c r="E158" t="s">
        <v>284</v>
      </c>
    </row>
    <row r="159" spans="1:5">
      <c r="A159" s="4" t="s">
        <v>307</v>
      </c>
      <c r="B159" s="8" t="s">
        <v>284</v>
      </c>
      <c r="C159" s="6" t="str">
        <f t="array" ref="C159">_xlfn.TEXTJOIN(" ",TRUE,IF(D:D=A159,E:E,""))</f>
        <v>ddhub:CurvatureQuantity</v>
      </c>
      <c r="D159" t="s">
        <v>304</v>
      </c>
      <c r="E159" t="s">
        <v>277</v>
      </c>
    </row>
    <row r="160" spans="1:5">
      <c r="A160" s="4" t="s">
        <v>308</v>
      </c>
      <c r="B160" s="8" t="s">
        <v>284</v>
      </c>
      <c r="C160" s="6" t="str">
        <f t="array" ref="C160">_xlfn.TEXTJOIN(" ",TRUE,IF(D:D=A160,E:E,""))</f>
        <v>ddhub:CurvatureQuantity</v>
      </c>
      <c r="D160" t="s">
        <v>305</v>
      </c>
      <c r="E160" t="s">
        <v>277</v>
      </c>
    </row>
    <row r="161" spans="1:5">
      <c r="A161" s="4" t="s">
        <v>309</v>
      </c>
      <c r="B161" s="8" t="s">
        <v>284</v>
      </c>
      <c r="C161" s="6" t="str">
        <f t="array" ref="C161">_xlfn.TEXTJOIN(" ",TRUE,IF(D:D=A161,E:E,""))</f>
        <v>ddhub:AngleGradientPerLengthQuantity</v>
      </c>
      <c r="D161" t="s">
        <v>305</v>
      </c>
      <c r="E161" t="s">
        <v>284</v>
      </c>
    </row>
    <row r="162" spans="1:5">
      <c r="A162" s="4" t="s">
        <v>310</v>
      </c>
      <c r="B162" s="8" t="s">
        <v>286</v>
      </c>
      <c r="C162" s="6" t="str">
        <f t="array" ref="C162">_xlfn.TEXTJOIN(" ",TRUE,IF(D:D=A162,E:E,""))</f>
        <v>ddhub:AngularVelocityQuantity</v>
      </c>
      <c r="D162" t="s">
        <v>306</v>
      </c>
      <c r="E162" t="s">
        <v>277</v>
      </c>
    </row>
    <row r="163" spans="1:5">
      <c r="A163" s="4" t="s">
        <v>311</v>
      </c>
      <c r="B163" s="8" t="s">
        <v>288</v>
      </c>
      <c r="C163" s="6" t="str">
        <f t="array" ref="C163">_xlfn.TEXTJOIN(" ",TRUE,IF(D:D=A163,E:E,""))</f>
        <v>ddhub:AngularAccelerationQuantity</v>
      </c>
      <c r="D163" t="s">
        <v>307</v>
      </c>
      <c r="E163" t="s">
        <v>277</v>
      </c>
    </row>
    <row r="164" spans="1:5">
      <c r="A164" s="4" t="s">
        <v>312</v>
      </c>
      <c r="B164" s="8" t="s">
        <v>288</v>
      </c>
      <c r="C164" s="6" t="str">
        <f t="array" ref="C164">_xlfn.TEXTJOIN(" ",TRUE,IF(D:D=A164,E:E,""))</f>
        <v>ddhub:AngularAccelerationQuantity</v>
      </c>
      <c r="D164" t="s">
        <v>308</v>
      </c>
      <c r="E164" t="s">
        <v>277</v>
      </c>
    </row>
    <row r="165" spans="1:5">
      <c r="A165" s="4" t="s">
        <v>313</v>
      </c>
      <c r="B165" s="8" t="s">
        <v>288</v>
      </c>
      <c r="C165" s="6" t="str">
        <f t="array" ref="C165">_xlfn.TEXTJOIN(" ",TRUE,IF(D:D=A165,E:E,""))</f>
        <v>ddhub:AngularAccelerationQuantity</v>
      </c>
      <c r="D165" t="s">
        <v>309</v>
      </c>
      <c r="E165" t="s">
        <v>284</v>
      </c>
    </row>
    <row r="166" spans="1:5">
      <c r="A166" s="4" t="s">
        <v>314</v>
      </c>
      <c r="B166" s="8" t="s">
        <v>288</v>
      </c>
      <c r="C166" s="6" t="str">
        <f t="array" ref="C166">_xlfn.TEXTJOIN(" ",TRUE,IF(D:D=A166,E:E,""))</f>
        <v>ddhub:AngularAccelerationQuantity</v>
      </c>
      <c r="D166" t="s">
        <v>310</v>
      </c>
      <c r="E166" t="s">
        <v>286</v>
      </c>
    </row>
    <row r="167" spans="1:5">
      <c r="A167" s="4" t="s">
        <v>315</v>
      </c>
      <c r="B167" s="8" t="s">
        <v>284</v>
      </c>
      <c r="C167" s="6" t="str">
        <f t="array" ref="C167">_xlfn.TEXTJOIN(" ",TRUE,IF(D:D=A167,E:E,""))</f>
        <v>ddhub:CurvatureQuantity</v>
      </c>
      <c r="D167" t="s">
        <v>311</v>
      </c>
      <c r="E167" t="s">
        <v>288</v>
      </c>
    </row>
    <row r="168" spans="1:5">
      <c r="A168" s="4" t="s">
        <v>316</v>
      </c>
      <c r="B168" s="8" t="s">
        <v>286</v>
      </c>
      <c r="C168" s="6" t="str">
        <f t="array" ref="C168">_xlfn.TEXTJOIN(" ",TRUE,IF(D:D=A168,E:E,""))</f>
        <v>ddhub:AngularVelocityQuantity</v>
      </c>
      <c r="D168" t="s">
        <v>312</v>
      </c>
      <c r="E168" t="s">
        <v>288</v>
      </c>
    </row>
    <row r="169" spans="1:5">
      <c r="A169" s="4" t="s">
        <v>317</v>
      </c>
      <c r="B169" s="8" t="s">
        <v>288</v>
      </c>
      <c r="C169" s="6" t="str">
        <f t="array" ref="C169">_xlfn.TEXTJOIN(" ",TRUE,IF(D:D=A169,E:E,""))</f>
        <v>ddhub:AngularAccelerationQuantity</v>
      </c>
      <c r="D169" t="s">
        <v>313</v>
      </c>
      <c r="E169" t="s">
        <v>288</v>
      </c>
    </row>
    <row r="170" spans="1:5">
      <c r="A170" s="4" t="s">
        <v>318</v>
      </c>
      <c r="B170" s="8" t="s">
        <v>288</v>
      </c>
      <c r="C170" s="6" t="str">
        <f t="array" ref="C170">_xlfn.TEXTJOIN(" ",TRUE,IF(D:D=A170,E:E,""))</f>
        <v>ddhub:AngularAccelerationQuantity</v>
      </c>
      <c r="D170" t="s">
        <v>314</v>
      </c>
      <c r="E170" t="s">
        <v>288</v>
      </c>
    </row>
    <row r="171" spans="1:5">
      <c r="A171" s="4" t="s">
        <v>319</v>
      </c>
      <c r="B171" s="8" t="s">
        <v>288</v>
      </c>
      <c r="C171" s="6" t="str">
        <f t="array" ref="C171">_xlfn.TEXTJOIN(" ",TRUE,IF(D:D=A171,E:E,""))</f>
        <v>ddhub:AngularAccelerationQuantity</v>
      </c>
      <c r="D171" t="s">
        <v>315</v>
      </c>
      <c r="E171" t="s">
        <v>277</v>
      </c>
    </row>
    <row r="172" spans="1:5">
      <c r="A172" s="4" t="s">
        <v>320</v>
      </c>
      <c r="B172" s="8" t="s">
        <v>288</v>
      </c>
      <c r="C172" s="6" t="str">
        <f t="array" ref="C172">_xlfn.TEXTJOIN(" ",TRUE,IF(D:D=A172,E:E,""))</f>
        <v>ddhub:AngularAccelerationQuantity</v>
      </c>
      <c r="D172" t="s">
        <v>316</v>
      </c>
      <c r="E172" t="s">
        <v>286</v>
      </c>
    </row>
    <row r="173" spans="1:5">
      <c r="A173" s="4" t="s">
        <v>321</v>
      </c>
      <c r="B173" s="8" t="s">
        <v>334</v>
      </c>
      <c r="C173" s="6" t="str">
        <f t="array" ref="C173">_xlfn.TEXTJOIN(" ",TRUE,IF(D:D=A173,E:E,""))</f>
        <v>ddhub:RandomWalkQuantity</v>
      </c>
      <c r="D173" t="s">
        <v>317</v>
      </c>
      <c r="E173" t="s">
        <v>288</v>
      </c>
    </row>
    <row r="174" spans="1:5">
      <c r="A174" s="4" t="s">
        <v>323</v>
      </c>
      <c r="B174" s="8" t="s">
        <v>334</v>
      </c>
      <c r="C174" s="6" t="str">
        <f t="array" ref="C174">_xlfn.TEXTJOIN(" ",TRUE,IF(D:D=A174,E:E,""))</f>
        <v>ddhub:RandomWalkQuantity</v>
      </c>
      <c r="D174" t="s">
        <v>318</v>
      </c>
      <c r="E174" t="s">
        <v>288</v>
      </c>
    </row>
    <row r="175" spans="1:5">
      <c r="A175" s="4" t="s">
        <v>324</v>
      </c>
      <c r="B175" s="8" t="s">
        <v>334</v>
      </c>
      <c r="C175" s="6" t="str">
        <f t="array" ref="C175">_xlfn.TEXTJOIN(" ",TRUE,IF(D:D=A175,E:E,""))</f>
        <v>ddhub:RandomWalkQuantity</v>
      </c>
      <c r="D175" t="s">
        <v>319</v>
      </c>
      <c r="E175" t="s">
        <v>288</v>
      </c>
    </row>
    <row r="176" spans="1:5">
      <c r="A176" s="4" t="s">
        <v>325</v>
      </c>
      <c r="B176" s="8" t="s">
        <v>288</v>
      </c>
      <c r="C176" s="6" t="str">
        <f t="array" ref="C176">_xlfn.TEXTJOIN(" ",TRUE,IF(D:D=A176,E:E,""))</f>
        <v>ddhub:RandomWalkQuantity</v>
      </c>
      <c r="D176" t="s">
        <v>320</v>
      </c>
      <c r="E176" t="s">
        <v>288</v>
      </c>
    </row>
    <row r="177" spans="1:5">
      <c r="A177" s="4" t="s">
        <v>326</v>
      </c>
      <c r="B177" s="8" t="s">
        <v>334</v>
      </c>
      <c r="C177" s="6" t="str">
        <f t="array" ref="C177">_xlfn.TEXTJOIN(" ",TRUE,IF(D:D=A177,E:E,""))</f>
        <v>ddhub:CurvatureQuantity</v>
      </c>
      <c r="D177" t="s">
        <v>321</v>
      </c>
      <c r="E177" t="s">
        <v>322</v>
      </c>
    </row>
    <row r="178" spans="1:5">
      <c r="A178" s="4" t="s">
        <v>327</v>
      </c>
      <c r="B178" s="8" t="s">
        <v>334</v>
      </c>
      <c r="C178" s="6" t="str">
        <f t="array" ref="C178">_xlfn.TEXTJOIN(" ",TRUE,IF(D:D=A178,E:E,""))</f>
        <v>ddhub:SolidAngleQuantity</v>
      </c>
      <c r="D178" t="s">
        <v>323</v>
      </c>
      <c r="E178" t="s">
        <v>322</v>
      </c>
    </row>
    <row r="179" spans="1:5">
      <c r="A179" s="4" t="s">
        <v>329</v>
      </c>
      <c r="B179" s="8" t="s">
        <v>334</v>
      </c>
      <c r="C179" s="6" t="str">
        <f t="array" ref="C179">_xlfn.TEXTJOIN(" ",TRUE,IF(D:D=A179,E:E,""))</f>
        <v>ddhub:AngleMagneticFluxDensityQuantity</v>
      </c>
      <c r="D179" t="s">
        <v>324</v>
      </c>
      <c r="E179" t="s">
        <v>322</v>
      </c>
    </row>
    <row r="180" spans="1:5">
      <c r="A180" s="4" t="s">
        <v>330</v>
      </c>
      <c r="B180" s="8" t="s">
        <v>379</v>
      </c>
      <c r="C180" s="6" t="str">
        <f t="array" ref="C180">_xlfn.TEXTJOIN(" ",TRUE,IF(D:D=A180,E:E,""))</f>
        <v>ddhub:AngleMagneticFluxDensityQuantity</v>
      </c>
      <c r="D180" t="s">
        <v>325</v>
      </c>
      <c r="E180" t="s">
        <v>322</v>
      </c>
    </row>
    <row r="181" spans="1:5">
      <c r="A181" s="4" t="s">
        <v>331</v>
      </c>
      <c r="B181" s="8" t="s">
        <v>332</v>
      </c>
      <c r="C181" s="6" t="str">
        <f t="array" ref="C181">_xlfn.TEXTJOIN(" ",TRUE,IF(D:D=A181,E:E,""))</f>
        <v>ddhub:DimensionlessQuantity</v>
      </c>
      <c r="D181" t="s">
        <v>326</v>
      </c>
      <c r="E181" t="s">
        <v>277</v>
      </c>
    </row>
    <row r="182" spans="1:5">
      <c r="A182" s="4" t="s">
        <v>333</v>
      </c>
      <c r="B182" s="8" t="s">
        <v>334</v>
      </c>
      <c r="C182" s="6" t="str">
        <f t="array" ref="C182">_xlfn.TEXTJOIN(" ",TRUE,IF(D:D=A182,E:E,""))</f>
        <v/>
      </c>
      <c r="D182" t="s">
        <v>327</v>
      </c>
      <c r="E182" t="s">
        <v>328</v>
      </c>
    </row>
    <row r="183" spans="1:5">
      <c r="A183" s="4" t="s">
        <v>336</v>
      </c>
      <c r="B183" s="8" t="s">
        <v>332</v>
      </c>
      <c r="C183" s="6" t="str">
        <f t="array" ref="C183">_xlfn.TEXTJOIN(" ",TRUE,IF(D:D=A183,E:E,""))</f>
        <v/>
      </c>
      <c r="D183" t="s">
        <v>329</v>
      </c>
      <c r="E183" t="s">
        <v>269</v>
      </c>
    </row>
    <row r="184" spans="1:5">
      <c r="A184" s="4" t="s">
        <v>337</v>
      </c>
      <c r="B184" s="8" t="s">
        <v>334</v>
      </c>
      <c r="C184" s="6" t="str">
        <f t="array" ref="C184">_xlfn.TEXTJOIN(" ",TRUE,IF(D:D=A184,E:E,""))</f>
        <v/>
      </c>
      <c r="D184" t="s">
        <v>330</v>
      </c>
      <c r="E184" t="s">
        <v>269</v>
      </c>
    </row>
    <row r="185" spans="1:5">
      <c r="A185" s="4" t="s">
        <v>339</v>
      </c>
      <c r="B185" s="8" t="s">
        <v>334</v>
      </c>
      <c r="C185" s="6" t="str">
        <f t="array" ref="C185">_xlfn.TEXTJOIN(" ",TRUE,IF(D:D=A185,E:E,""))</f>
        <v/>
      </c>
      <c r="D185" t="s">
        <v>331</v>
      </c>
      <c r="E185" t="s">
        <v>332</v>
      </c>
    </row>
    <row r="186" spans="1:5">
      <c r="A186" s="4" t="s">
        <v>340</v>
      </c>
      <c r="B186" s="8" t="s">
        <v>71</v>
      </c>
      <c r="C186" s="6" t="str">
        <f t="array" ref="C186">_xlfn.TEXTJOIN(" ",TRUE,IF(D:D=A186,E:E,""))</f>
        <v>ddhub:LuminousIntensityQuantity</v>
      </c>
      <c r="D186" t="s">
        <v>340</v>
      </c>
      <c r="E186" t="s">
        <v>71</v>
      </c>
    </row>
    <row r="187" spans="1:5">
      <c r="A187" s="4" t="s">
        <v>341</v>
      </c>
      <c r="B187" s="5" t="s">
        <v>236</v>
      </c>
      <c r="C187" s="6" t="str">
        <f t="array" ref="C187">_xlfn.TEXTJOIN(" ",TRUE,IF(D:D=A187,E:E,""))</f>
        <v>ddhub:InterfacialTensionQuantity</v>
      </c>
      <c r="D187" t="s">
        <v>341</v>
      </c>
      <c r="E187" t="s">
        <v>342</v>
      </c>
    </row>
    <row r="188" spans="1:5">
      <c r="A188" s="4" t="s">
        <v>343</v>
      </c>
      <c r="B188" s="5" t="s">
        <v>170</v>
      </c>
      <c r="C188" s="6" t="str">
        <f t="array" ref="C188">_xlfn.TEXTJOIN(" ",TRUE,IF(D:D=A188,E:E,""))</f>
        <v>ddhub:StressQuantity ddhub:PressureQuantity</v>
      </c>
      <c r="D188" t="s">
        <v>343</v>
      </c>
      <c r="E188" t="s">
        <v>2279</v>
      </c>
    </row>
    <row r="189" spans="1:5">
      <c r="A189" s="4" t="s">
        <v>344</v>
      </c>
      <c r="B189" s="8" t="s">
        <v>195</v>
      </c>
      <c r="C189" s="6" t="str">
        <f t="array" ref="C189">_xlfn.TEXTJOIN(" ",TRUE,IF(D:D=A189,E:E,""))</f>
        <v>ddhub:DynamicViscosityQuantity</v>
      </c>
      <c r="D189" t="s">
        <v>343</v>
      </c>
      <c r="E189" t="s">
        <v>170</v>
      </c>
    </row>
    <row r="190" spans="1:5">
      <c r="A190" s="4" t="s">
        <v>345</v>
      </c>
      <c r="B190" s="8" t="s">
        <v>34</v>
      </c>
      <c r="C190" s="6" t="str">
        <f t="array" ref="C190">_xlfn.TEXTJOIN(" ",TRUE,IF(D:D=A190,E:E,""))</f>
        <v>ddhub:MassQuantity</v>
      </c>
      <c r="D190" t="s">
        <v>344</v>
      </c>
      <c r="E190" t="s">
        <v>195</v>
      </c>
    </row>
    <row r="191" spans="1:5">
      <c r="A191" s="4" t="s">
        <v>346</v>
      </c>
      <c r="B191" s="8" t="s">
        <v>38</v>
      </c>
      <c r="C191" s="6" t="str">
        <f t="array" ref="C191">_xlfn.TEXTJOIN(" ",TRUE,IF(D:D=A191,E:E,""))</f>
        <v>ddhub:PowerQuantity</v>
      </c>
      <c r="D191" t="s">
        <v>345</v>
      </c>
      <c r="E191" t="s">
        <v>34</v>
      </c>
    </row>
    <row r="192" spans="1:5">
      <c r="A192" s="4" t="s">
        <v>347</v>
      </c>
      <c r="B192" s="8" t="s">
        <v>142</v>
      </c>
      <c r="C192" s="6" t="str">
        <f t="array" ref="C192">_xlfn.TEXTJOIN(" ",TRUE,IF(D:D=A192,E:E,""))</f>
        <v>ddhub:TemperatureQuantity</v>
      </c>
      <c r="D192" t="s">
        <v>346</v>
      </c>
      <c r="E192" t="s">
        <v>38</v>
      </c>
    </row>
    <row r="193" spans="1:5">
      <c r="A193" s="4" t="s">
        <v>348</v>
      </c>
      <c r="B193" s="8" t="s">
        <v>334</v>
      </c>
      <c r="C193" s="6" t="str">
        <f t="array" ref="C193">_xlfn.TEXTJOIN(" ",TRUE,IF(D:D=A193,E:E,""))</f>
        <v>ddhub:TemperatureGradientPerLengthQuantity</v>
      </c>
      <c r="D193" t="s">
        <v>347</v>
      </c>
      <c r="E193" t="s">
        <v>142</v>
      </c>
    </row>
    <row r="194" spans="1:5">
      <c r="A194" s="4" t="s">
        <v>349</v>
      </c>
      <c r="B194" s="8" t="s">
        <v>334</v>
      </c>
      <c r="C194" s="6" t="str">
        <f t="array" ref="C194">_xlfn.TEXTJOIN(" ",TRUE,IF(D:D=A194,E:E,""))</f>
        <v>ddhub:TemperatureGradientPerLengthQuantity</v>
      </c>
      <c r="D194" t="s">
        <v>348</v>
      </c>
      <c r="E194" t="s">
        <v>147</v>
      </c>
    </row>
    <row r="195" spans="1:5">
      <c r="A195" s="4" t="s">
        <v>350</v>
      </c>
      <c r="B195" s="8" t="s">
        <v>334</v>
      </c>
      <c r="C195" s="6" t="str">
        <f t="array" ref="C195">_xlfn.TEXTJOIN(" ",TRUE,IF(D:D=A195,E:E,""))</f>
        <v>ddhub:TemperatureGradientPerLengthQuantity</v>
      </c>
      <c r="D195" t="s">
        <v>349</v>
      </c>
      <c r="E195" t="s">
        <v>147</v>
      </c>
    </row>
    <row r="196" spans="1:5">
      <c r="A196" s="4" t="s">
        <v>351</v>
      </c>
      <c r="B196" s="8" t="s">
        <v>334</v>
      </c>
      <c r="C196" s="6" t="str">
        <f t="array" ref="C196">_xlfn.TEXTJOIN(" ",TRUE,IF(D:D=A196,E:E,""))</f>
        <v>ddhub:ElectricCapacitanceQuantity</v>
      </c>
      <c r="D196" t="s">
        <v>350</v>
      </c>
      <c r="E196" t="s">
        <v>147</v>
      </c>
    </row>
    <row r="197" spans="1:5">
      <c r="A197" s="4" t="s">
        <v>352</v>
      </c>
      <c r="B197" s="5" t="s">
        <v>9</v>
      </c>
      <c r="C197" s="6" t="str">
        <f t="array" ref="C197">_xlfn.TEXTJOIN(" ",TRUE,IF(D:D=A197,E:E,""))</f>
        <v>ddhub:LengthQuantity</v>
      </c>
      <c r="D197" t="s">
        <v>351</v>
      </c>
      <c r="E197" t="s">
        <v>206</v>
      </c>
    </row>
    <row r="198" spans="1:5">
      <c r="A198" s="4" t="s">
        <v>353</v>
      </c>
      <c r="B198" s="8" t="s">
        <v>38</v>
      </c>
      <c r="C198" s="6" t="str">
        <f t="array" ref="C198">_xlfn.TEXTJOIN(" ",TRUE,IF(D:D=A198,E:E,""))</f>
        <v>ddhub:PowerQuantity</v>
      </c>
      <c r="D198" t="s">
        <v>352</v>
      </c>
      <c r="E198" t="s">
        <v>9</v>
      </c>
    </row>
    <row r="199" spans="1:5">
      <c r="A199" s="4" t="s">
        <v>354</v>
      </c>
      <c r="B199" s="5" t="s">
        <v>9</v>
      </c>
      <c r="C199" s="6" t="str">
        <f t="array" ref="C199">_xlfn.TEXTJOIN(" ",TRUE,IF(D:D=A199,E:E,""))</f>
        <v>ddhub:LengthQuantity</v>
      </c>
      <c r="D199" t="s">
        <v>353</v>
      </c>
      <c r="E199" t="s">
        <v>38</v>
      </c>
    </row>
    <row r="200" spans="1:5">
      <c r="A200" s="4" t="s">
        <v>356</v>
      </c>
      <c r="B200" s="5" t="s">
        <v>172</v>
      </c>
      <c r="C200" s="6" t="str">
        <f t="array" ref="C200">_xlfn.TEXTJOIN(" ",TRUE,IF(D:D=A200,E:E,""))</f>
        <v>ddhub:VelocityQuantity ddhub:HydraulicConductivityQuantity</v>
      </c>
      <c r="D200" t="s">
        <v>354</v>
      </c>
      <c r="E200" t="s">
        <v>9</v>
      </c>
    </row>
    <row r="201" spans="1:5">
      <c r="A201" s="4" t="s">
        <v>357</v>
      </c>
      <c r="B201" s="8" t="s">
        <v>332</v>
      </c>
      <c r="C201" s="6" t="str">
        <f t="array" ref="C201">_xlfn.TEXTJOIN(" ",TRUE,IF(D:D=A201,E:E,""))</f>
        <v>ddhub:ElongationGradientPerLengthQuantity</v>
      </c>
      <c r="D201" t="s">
        <v>356</v>
      </c>
      <c r="E201" t="s">
        <v>172</v>
      </c>
    </row>
    <row r="202" spans="1:5">
      <c r="A202" s="4" t="s">
        <v>358</v>
      </c>
      <c r="B202" s="5" t="s">
        <v>172</v>
      </c>
      <c r="C202" s="6" t="str">
        <f t="array" ref="C202">_xlfn.TEXTJOIN(" ",TRUE,IF(D:D=A202,E:E,""))</f>
        <v>ddhub:VelocityQuantity ddhub:HydraulicConductivityQuantity</v>
      </c>
      <c r="D202" t="s">
        <v>356</v>
      </c>
      <c r="E202" t="s">
        <v>2280</v>
      </c>
    </row>
    <row r="203" spans="1:5">
      <c r="A203" s="4" t="s">
        <v>359</v>
      </c>
      <c r="B203" s="8" t="s">
        <v>176</v>
      </c>
      <c r="C203" s="6" t="str">
        <f t="array" ref="C203">_xlfn.TEXTJOIN(" ",TRUE,IF(D:D=A203,E:E,""))</f>
        <v>ddhub:AccelerationQuantity</v>
      </c>
      <c r="D203" t="s">
        <v>357</v>
      </c>
      <c r="E203" t="s">
        <v>179</v>
      </c>
    </row>
    <row r="204" spans="1:5">
      <c r="A204" s="4" t="s">
        <v>360</v>
      </c>
      <c r="B204" s="8" t="s">
        <v>9</v>
      </c>
      <c r="C204" s="6" t="str">
        <f t="array" ref="C204">_xlfn.TEXTJOIN(" ",TRUE,IF(D:D=A204,E:E,""))</f>
        <v>ddhub:ElongationGradientPerLengthQuantity</v>
      </c>
      <c r="D204" t="s">
        <v>358</v>
      </c>
      <c r="E204" t="s">
        <v>172</v>
      </c>
    </row>
    <row r="205" spans="1:5">
      <c r="A205" s="4" t="s">
        <v>361</v>
      </c>
      <c r="B205" s="5" t="s">
        <v>172</v>
      </c>
      <c r="C205" s="6" t="str">
        <f t="array" ref="C205">_xlfn.TEXTJOIN(" ",TRUE,IF(D:D=A205,E:E,""))</f>
        <v>ddhub:VelocityQuantity ddhub:HydraulicConductivityQuantity</v>
      </c>
      <c r="D205" t="s">
        <v>358</v>
      </c>
      <c r="E205" t="s">
        <v>2280</v>
      </c>
    </row>
    <row r="206" spans="1:5">
      <c r="A206" s="4" t="s">
        <v>362</v>
      </c>
      <c r="B206" s="8" t="s">
        <v>176</v>
      </c>
      <c r="C206" s="6" t="str">
        <f t="array" ref="C206">_xlfn.TEXTJOIN(" ",TRUE,IF(D:D=A206,E:E,""))</f>
        <v>ddhub:AccelerationQuantity</v>
      </c>
      <c r="D206" t="s">
        <v>359</v>
      </c>
      <c r="E206" t="s">
        <v>176</v>
      </c>
    </row>
    <row r="207" spans="1:5">
      <c r="A207" s="4" t="s">
        <v>363</v>
      </c>
      <c r="B207" s="5" t="s">
        <v>172</v>
      </c>
      <c r="C207" s="6" t="str">
        <f t="array" ref="C207">_xlfn.TEXTJOIN(" ",TRUE,IF(D:D=A207,E:E,""))</f>
        <v>ddhub:VelocityQuantity ddhub:HydraulicConductivityQuantity</v>
      </c>
      <c r="D207" t="s">
        <v>360</v>
      </c>
      <c r="E207" t="s">
        <v>179</v>
      </c>
    </row>
    <row r="208" spans="1:5">
      <c r="A208" s="4" t="s">
        <v>364</v>
      </c>
      <c r="B208" s="8" t="s">
        <v>176</v>
      </c>
      <c r="C208" s="6" t="str">
        <f t="array" ref="C208">_xlfn.TEXTJOIN(" ",TRUE,IF(D:D=A208,E:E,""))</f>
        <v>ddhub:AccelerationQuantity</v>
      </c>
      <c r="D208" t="s">
        <v>361</v>
      </c>
      <c r="E208" t="s">
        <v>172</v>
      </c>
    </row>
    <row r="209" spans="1:5">
      <c r="A209" s="4" t="s">
        <v>365</v>
      </c>
      <c r="B209" s="8" t="s">
        <v>332</v>
      </c>
      <c r="C209" s="6" t="str">
        <f t="array" ref="C209">_xlfn.TEXTJOIN(" ",TRUE,IF(D:D=A209,E:E,""))</f>
        <v>ddhub:ElongationGradientPerLengthQuantity</v>
      </c>
      <c r="D209" t="s">
        <v>361</v>
      </c>
      <c r="E209" t="s">
        <v>2280</v>
      </c>
    </row>
    <row r="210" spans="1:5">
      <c r="A210" s="4" t="s">
        <v>366</v>
      </c>
      <c r="B210" s="5" t="s">
        <v>236</v>
      </c>
      <c r="C210" s="6" t="str">
        <f t="array" ref="C210">_xlfn.TEXTJOIN(" ",TRUE,IF(D:D=A210,E:E,""))</f>
        <v>ddhub:TorqueQuantity</v>
      </c>
      <c r="D210" t="s">
        <v>362</v>
      </c>
      <c r="E210" t="s">
        <v>176</v>
      </c>
    </row>
    <row r="211" spans="1:5">
      <c r="A211" s="4" t="s">
        <v>367</v>
      </c>
      <c r="B211" s="5" t="s">
        <v>236</v>
      </c>
      <c r="C211" s="6" t="str">
        <f t="array" ref="C211">_xlfn.TEXTJOIN(" ",TRUE,IF(D:D=A211,E:E,""))</f>
        <v>ddhub:TorqueGradientPerLengthQuantity</v>
      </c>
      <c r="D211" t="s">
        <v>363</v>
      </c>
      <c r="E211" t="s">
        <v>172</v>
      </c>
    </row>
    <row r="212" spans="1:5">
      <c r="A212" s="4" t="s">
        <v>368</v>
      </c>
      <c r="B212" s="5" t="s">
        <v>236</v>
      </c>
      <c r="C212" s="6" t="str">
        <f t="array" ref="C212">_xlfn.TEXTJOIN(" ",TRUE,IF(D:D=A212,E:E,""))</f>
        <v>ddhub:TorqueGradientPerLengthQuantity</v>
      </c>
      <c r="D212" t="s">
        <v>363</v>
      </c>
      <c r="E212" t="s">
        <v>2280</v>
      </c>
    </row>
    <row r="213" spans="1:5">
      <c r="A213" s="4" t="s">
        <v>369</v>
      </c>
      <c r="B213" s="5" t="s">
        <v>236</v>
      </c>
      <c r="C213" s="6" t="str">
        <f t="array" ref="C213">_xlfn.TEXTJOIN(" ",TRUE,IF(D:D=A213,E:E,""))</f>
        <v>ddhub:TorqueGradientPerLengthQuantity</v>
      </c>
      <c r="D213" t="s">
        <v>364</v>
      </c>
      <c r="E213" t="s">
        <v>176</v>
      </c>
    </row>
    <row r="214" spans="1:5">
      <c r="A214" s="4" t="s">
        <v>370</v>
      </c>
      <c r="B214" s="8" t="s">
        <v>334</v>
      </c>
      <c r="C214" s="6" t="str">
        <f t="array" ref="C214">_xlfn.TEXTJOIN(" ",TRUE,IF(D:D=A214,E:E,""))</f>
        <v>ddhub:TorqueGradientPerLengthQuantity</v>
      </c>
      <c r="D214" t="s">
        <v>365</v>
      </c>
      <c r="E214" t="s">
        <v>179</v>
      </c>
    </row>
    <row r="215" spans="1:5">
      <c r="A215" s="4" t="s">
        <v>371</v>
      </c>
      <c r="B215" s="8" t="s">
        <v>334</v>
      </c>
      <c r="C215" s="6" t="str">
        <f t="array" ref="C215">_xlfn.TEXTJOIN(" ",TRUE,IF(D:D=A215,E:E,""))</f>
        <v>ddhub:TorqueGradientPerLengthQuantity</v>
      </c>
      <c r="D215" t="s">
        <v>366</v>
      </c>
      <c r="E215" t="s">
        <v>236</v>
      </c>
    </row>
    <row r="216" spans="1:5">
      <c r="A216" s="4" t="s">
        <v>372</v>
      </c>
      <c r="B216" s="8" t="s">
        <v>334</v>
      </c>
      <c r="C216" s="6" t="str">
        <f t="array" ref="C216">_xlfn.TEXTJOIN(" ",TRUE,IF(D:D=A216,E:E,""))</f>
        <v>ddhub:TorqueGradientPerLengthQuantity</v>
      </c>
      <c r="D216" t="s">
        <v>367</v>
      </c>
      <c r="E216" t="s">
        <v>238</v>
      </c>
    </row>
    <row r="217" spans="1:5">
      <c r="A217" s="4" t="s">
        <v>373</v>
      </c>
      <c r="B217" s="5" t="s">
        <v>170</v>
      </c>
      <c r="C217" s="6" t="str">
        <f t="array" ref="C217">_xlfn.TEXTJOIN(" ",TRUE,IF(D:D=A217,E:E,""))</f>
        <v>ddhub:PressureQuantity</v>
      </c>
      <c r="D217" t="s">
        <v>368</v>
      </c>
      <c r="E217" t="s">
        <v>238</v>
      </c>
    </row>
    <row r="218" spans="1:5">
      <c r="A218" s="4" t="s">
        <v>374</v>
      </c>
      <c r="B218" s="8" t="s">
        <v>201</v>
      </c>
      <c r="C218" s="6" t="str">
        <f t="array" ref="C218">_xlfn.TEXTJOIN(" ",TRUE,IF(D:D=A218,E:E,""))</f>
        <v>ddhub:TimeQuantity</v>
      </c>
      <c r="D218" t="s">
        <v>369</v>
      </c>
      <c r="E218" t="s">
        <v>238</v>
      </c>
    </row>
    <row r="219" spans="1:5">
      <c r="A219" s="4" t="s">
        <v>375</v>
      </c>
      <c r="B219" s="5" t="s">
        <v>9</v>
      </c>
      <c r="C219" s="6" t="str">
        <f t="array" ref="C219">_xlfn.TEXTJOIN(" ",TRUE,IF(D:D=A219,E:E,""))</f>
        <v>ddhub:LengthQuantity</v>
      </c>
      <c r="D219" t="s">
        <v>370</v>
      </c>
      <c r="E219" t="s">
        <v>238</v>
      </c>
    </row>
    <row r="220" spans="1:5">
      <c r="A220" s="4" t="s">
        <v>376</v>
      </c>
      <c r="B220" s="5" t="s">
        <v>172</v>
      </c>
      <c r="C220" s="6" t="str">
        <f t="array" ref="C220">_xlfn.TEXTJOIN(" ",TRUE,IF(D:D=A220,E:E,""))</f>
        <v>ddhub:VelocityQuantity</v>
      </c>
      <c r="D220" t="s">
        <v>371</v>
      </c>
      <c r="E220" t="s">
        <v>238</v>
      </c>
    </row>
    <row r="221" spans="1:5">
      <c r="A221" s="4" t="s">
        <v>377</v>
      </c>
      <c r="B221" s="8" t="s">
        <v>176</v>
      </c>
      <c r="C221" s="6" t="str">
        <f t="array" ref="C221">_xlfn.TEXTJOIN(" ",TRUE,IF(D:D=A221,E:E,""))</f>
        <v>ddhub:AccelerationQuantity</v>
      </c>
      <c r="D221" t="s">
        <v>372</v>
      </c>
      <c r="E221" t="s">
        <v>238</v>
      </c>
    </row>
    <row r="222" spans="1:5">
      <c r="A222" s="4" t="s">
        <v>378</v>
      </c>
      <c r="B222" s="8" t="s">
        <v>379</v>
      </c>
      <c r="C222" s="6" t="str">
        <f t="array" ref="C222">_xlfn.TEXTJOIN(" ",TRUE,IF(D:D=A222,E:E,""))</f>
        <v>ddhub:MagneticFluxDensityQuantity</v>
      </c>
      <c r="D222" t="s">
        <v>373</v>
      </c>
      <c r="E222" t="s">
        <v>170</v>
      </c>
    </row>
    <row r="223" spans="1:5">
      <c r="A223" s="4" t="s">
        <v>380</v>
      </c>
      <c r="B223" s="8" t="s">
        <v>379</v>
      </c>
      <c r="C223" s="6" t="str">
        <f t="array" ref="C223">_xlfn.TEXTJOIN(" ",TRUE,IF(D:D=A223,E:E,""))</f>
        <v>ddhub:MagneticFluxQuantity</v>
      </c>
      <c r="D223" t="s">
        <v>374</v>
      </c>
      <c r="E223" t="s">
        <v>201</v>
      </c>
    </row>
    <row r="224" spans="1:5">
      <c r="A224" s="4" t="s">
        <v>382</v>
      </c>
      <c r="B224" s="8" t="s">
        <v>13</v>
      </c>
      <c r="C224" s="6" t="str">
        <f t="array" ref="C224">_xlfn.TEXTJOIN(" ",TRUE,IF(D:D=A224,E:E,""))</f>
        <v>ddhub:ElectricCurrentQuantity</v>
      </c>
      <c r="D224" t="s">
        <v>375</v>
      </c>
      <c r="E224" t="s">
        <v>9</v>
      </c>
    </row>
    <row r="225" spans="1:5">
      <c r="A225" s="4" t="s">
        <v>383</v>
      </c>
      <c r="B225" s="5" t="s">
        <v>384</v>
      </c>
      <c r="C225" s="6" t="str">
        <f t="array" ref="C225">_xlfn.TEXTJOIN(" ",TRUE,IF(D:D=A225,E:E,""))</f>
        <v>ddhub:FrequencyQuantity</v>
      </c>
      <c r="D225" t="s">
        <v>376</v>
      </c>
      <c r="E225" t="s">
        <v>172</v>
      </c>
    </row>
    <row r="226" spans="1:5">
      <c r="A226" s="4" t="s">
        <v>385</v>
      </c>
      <c r="B226" s="5" t="s">
        <v>384</v>
      </c>
      <c r="C226" s="6" t="str">
        <f t="array" ref="C226">_xlfn.TEXTJOIN(" ",TRUE,IF(D:D=A226,E:E,""))</f>
        <v>ddhub:FrequencyRateOfChangeQuantity</v>
      </c>
      <c r="D226" t="s">
        <v>377</v>
      </c>
      <c r="E226" t="s">
        <v>176</v>
      </c>
    </row>
    <row r="227" spans="1:5">
      <c r="A227" s="4" t="s">
        <v>387</v>
      </c>
      <c r="B227" s="5" t="s">
        <v>384</v>
      </c>
      <c r="C227" s="6" t="str">
        <f t="array" ref="C227">_xlfn.TEXTJOIN(" ",TRUE,IF(D:D=A227,E:E,""))</f>
        <v>ddhub:FrequencyRateOfChangeQuantity</v>
      </c>
      <c r="D227" t="s">
        <v>378</v>
      </c>
      <c r="E227" t="s">
        <v>379</v>
      </c>
    </row>
    <row r="228" spans="1:5">
      <c r="A228" s="4" t="s">
        <v>388</v>
      </c>
      <c r="B228" s="5" t="s">
        <v>384</v>
      </c>
      <c r="C228" s="6" t="str">
        <f t="array" ref="C228">_xlfn.TEXTJOIN(" ",TRUE,IF(D:D=A228,E:E,""))</f>
        <v>ddhub:FrequencyRateOfChangeQuantity</v>
      </c>
      <c r="D228" t="s">
        <v>380</v>
      </c>
      <c r="E228" t="s">
        <v>381</v>
      </c>
    </row>
    <row r="229" spans="1:5">
      <c r="A229" s="4" t="s">
        <v>389</v>
      </c>
      <c r="B229" s="5" t="s">
        <v>384</v>
      </c>
      <c r="C229" s="6" t="str">
        <f t="array" ref="C229">_xlfn.TEXTJOIN(" ",TRUE,IF(D:D=A229,E:E,""))</f>
        <v>ddhub:FrequencyRateOfChangeQuantity</v>
      </c>
      <c r="D229" t="s">
        <v>385</v>
      </c>
      <c r="E229" t="s">
        <v>386</v>
      </c>
    </row>
    <row r="230" spans="1:5">
      <c r="A230" s="4" t="s">
        <v>390</v>
      </c>
      <c r="B230" s="5" t="s">
        <v>384</v>
      </c>
      <c r="C230" s="6" t="str">
        <f t="array" ref="C230">_xlfn.TEXTJOIN(" ",TRUE,IF(D:D=A230,E:E,""))</f>
        <v>ddhub:FrequencyRateOfChangeQuantity</v>
      </c>
      <c r="D230" t="s">
        <v>387</v>
      </c>
      <c r="E230" t="s">
        <v>386</v>
      </c>
    </row>
    <row r="231" spans="1:5">
      <c r="A231" s="4" t="s">
        <v>391</v>
      </c>
      <c r="B231" s="8" t="s">
        <v>76</v>
      </c>
      <c r="C231" s="6" t="str">
        <f t="array" ref="C231">_xlfn.TEXTJOIN(" ",TRUE,IF(D:D=A231,E:E,""))</f>
        <v>ddhub:EnergyQuantity</v>
      </c>
      <c r="D231" t="s">
        <v>388</v>
      </c>
      <c r="E231" t="s">
        <v>386</v>
      </c>
    </row>
    <row r="232" spans="1:5">
      <c r="A232" s="4" t="s">
        <v>393</v>
      </c>
      <c r="B232" s="8" t="s">
        <v>89</v>
      </c>
      <c r="C232" s="6" t="str">
        <f t="array" ref="C232">_xlfn.TEXTJOIN(" ",TRUE,IF(D:D=A232,E:E,""))</f>
        <v>ddhub:EnergyDensityQuantity</v>
      </c>
      <c r="D232" t="s">
        <v>389</v>
      </c>
      <c r="E232" t="s">
        <v>386</v>
      </c>
    </row>
    <row r="233" spans="1:5">
      <c r="A233" s="4" t="s">
        <v>394</v>
      </c>
      <c r="B233" s="8" t="s">
        <v>89</v>
      </c>
      <c r="C233" s="6" t="str">
        <f t="array" ref="C233">_xlfn.TEXTJOIN(" ",TRUE,IF(D:D=A233,E:E,""))</f>
        <v>ddhub:EnergyDensityQuantity</v>
      </c>
      <c r="D233" t="s">
        <v>390</v>
      </c>
      <c r="E233" t="s">
        <v>386</v>
      </c>
    </row>
    <row r="234" spans="1:5">
      <c r="A234" s="4" t="s">
        <v>395</v>
      </c>
      <c r="B234" s="8" t="s">
        <v>89</v>
      </c>
      <c r="C234" s="6" t="str">
        <f t="array" ref="C234">_xlfn.TEXTJOIN(" ",TRUE,IF(D:D=A234,E:E,""))</f>
        <v>ddhub:EnergyDensityQuantity</v>
      </c>
      <c r="D234" t="s">
        <v>399</v>
      </c>
      <c r="E234" t="s">
        <v>400</v>
      </c>
    </row>
    <row r="235" spans="1:5">
      <c r="A235" s="4" t="s">
        <v>396</v>
      </c>
      <c r="B235" s="8" t="s">
        <v>89</v>
      </c>
      <c r="C235" s="6" t="str">
        <f t="array" ref="C235">_xlfn.TEXTJOIN(" ",TRUE,IF(D:D=A235,E:E,""))</f>
        <v>ddhub:EnergyDensityQuantity</v>
      </c>
      <c r="D235" t="s">
        <v>382</v>
      </c>
      <c r="E235" t="s">
        <v>13</v>
      </c>
    </row>
    <row r="236" spans="1:5">
      <c r="A236" s="4" t="s">
        <v>397</v>
      </c>
      <c r="B236" s="8" t="s">
        <v>89</v>
      </c>
      <c r="C236" s="6" t="str">
        <f t="array" ref="C236">_xlfn.TEXTJOIN(" ",TRUE,IF(D:D=A236,E:E,""))</f>
        <v>ddhub:EnergyDensityQuantity</v>
      </c>
      <c r="D236" t="s">
        <v>383</v>
      </c>
      <c r="E236" t="s">
        <v>384</v>
      </c>
    </row>
    <row r="237" spans="1:5">
      <c r="A237" s="4" t="s">
        <v>398</v>
      </c>
      <c r="B237" s="8" t="s">
        <v>89</v>
      </c>
      <c r="C237" s="6" t="str">
        <f t="array" ref="C237">_xlfn.TEXTJOIN(" ",TRUE,IF(D:D=A237,E:E,""))</f>
        <v>ddhub:EnergyDensityQuantity</v>
      </c>
      <c r="D237" t="s">
        <v>391</v>
      </c>
      <c r="E237" t="s">
        <v>76</v>
      </c>
    </row>
    <row r="238" spans="1:5">
      <c r="A238" s="4" t="s">
        <v>399</v>
      </c>
      <c r="B238" s="8" t="s">
        <v>334</v>
      </c>
      <c r="C238" s="6" t="str">
        <f t="array" ref="C238">_xlfn.TEXTJOIN(" ",TRUE,IF(D:D=A238,E:E,""))</f>
        <v>ddhub:ElectricResistivityQuantity</v>
      </c>
      <c r="D238" t="s">
        <v>393</v>
      </c>
      <c r="E238" t="s">
        <v>89</v>
      </c>
    </row>
    <row r="239" spans="1:5">
      <c r="A239" s="4" t="s">
        <v>402</v>
      </c>
      <c r="B239" s="5" t="s">
        <v>170</v>
      </c>
      <c r="C239" s="6" t="str">
        <f t="array" ref="C239">_xlfn.TEXTJOIN(" ",TRUE,IF(D:D=A239,E:E,""))</f>
        <v>ddhub:StressQuantity ddhub:PressureQuantity ddhub:MaterialStrengthQuantity</v>
      </c>
      <c r="D239" t="s">
        <v>394</v>
      </c>
      <c r="E239" t="s">
        <v>89</v>
      </c>
    </row>
    <row r="240" spans="1:5">
      <c r="A240" s="4" t="s">
        <v>405</v>
      </c>
      <c r="B240" s="8" t="s">
        <v>34</v>
      </c>
      <c r="C240" s="6" t="str">
        <f t="array" ref="C240">_xlfn.TEXTJOIN(" ",TRUE,IF(D:D=A240,E:E,""))</f>
        <v>ddhub:MassQuantity</v>
      </c>
      <c r="D240" t="s">
        <v>395</v>
      </c>
      <c r="E240" t="s">
        <v>89</v>
      </c>
    </row>
    <row r="241" spans="1:5">
      <c r="A241" s="4" t="s">
        <v>406</v>
      </c>
      <c r="B241" s="8" t="s">
        <v>334</v>
      </c>
      <c r="C241" s="6" t="str">
        <f t="array" ref="C241">_xlfn.TEXTJOIN(" ",TRUE,IF(D:D=A241,E:E,""))</f>
        <v/>
      </c>
      <c r="D241" t="s">
        <v>396</v>
      </c>
      <c r="E241" t="s">
        <v>89</v>
      </c>
    </row>
    <row r="242" spans="1:5">
      <c r="A242" s="4" t="s">
        <v>408</v>
      </c>
      <c r="B242" s="8" t="s">
        <v>38</v>
      </c>
      <c r="C242" s="6" t="str">
        <f t="array" ref="C242">_xlfn.TEXTJOIN(" ",TRUE,IF(D:D=A242,E:E,""))</f>
        <v>ddhub:PowerQuantity</v>
      </c>
      <c r="D242" t="s">
        <v>397</v>
      </c>
      <c r="E242" t="s">
        <v>89</v>
      </c>
    </row>
    <row r="243" spans="1:5">
      <c r="A243" s="4" t="s">
        <v>410</v>
      </c>
      <c r="B243" s="8" t="s">
        <v>334</v>
      </c>
      <c r="C243" s="6" t="str">
        <f t="array" ref="C243">_xlfn.TEXTJOIN(" ",TRUE,IF(D:D=A243,E:E,""))</f>
        <v>ddhub:PlaneAngleQuantity</v>
      </c>
      <c r="D243" t="s">
        <v>398</v>
      </c>
      <c r="E243" t="s">
        <v>89</v>
      </c>
    </row>
    <row r="244" spans="1:5">
      <c r="A244" s="4" t="s">
        <v>411</v>
      </c>
      <c r="B244" s="8" t="s">
        <v>25</v>
      </c>
      <c r="C244" s="6" t="str">
        <f t="array" ref="C244">_xlfn.TEXTJOIN(" ",TRUE,IF(D:D=A244,E:E,""))</f>
        <v>ddhub:PlaneAngleQuantity</v>
      </c>
      <c r="D244" t="s">
        <v>402</v>
      </c>
      <c r="E244" t="s">
        <v>2279</v>
      </c>
    </row>
    <row r="245" spans="1:5">
      <c r="A245" s="4" t="s">
        <v>412</v>
      </c>
      <c r="B245" s="8" t="s">
        <v>34</v>
      </c>
      <c r="C245" s="6" t="str">
        <f t="array" ref="C245">_xlfn.TEXTJOIN(" ",TRUE,IF(D:D=A245,E:E,""))</f>
        <v>ddhub:MassQuantity</v>
      </c>
      <c r="D245" t="s">
        <v>402</v>
      </c>
      <c r="E245" t="s">
        <v>170</v>
      </c>
    </row>
    <row r="246" spans="1:5">
      <c r="A246" s="4" t="s">
        <v>413</v>
      </c>
      <c r="B246" s="8" t="s">
        <v>34</v>
      </c>
      <c r="C246" s="6" t="str">
        <f t="array" ref="C246">_xlfn.TEXTJOIN(" ",TRUE,IF(D:D=A246,E:E,""))</f>
        <v>ddhub:MassQuantity</v>
      </c>
      <c r="D246" t="s">
        <v>402</v>
      </c>
      <c r="E246" t="s">
        <v>890</v>
      </c>
    </row>
    <row r="247" spans="1:5">
      <c r="A247" s="4" t="s">
        <v>415</v>
      </c>
      <c r="B247" s="5" t="s">
        <v>416</v>
      </c>
      <c r="C247" s="6" t="str">
        <f t="array" ref="C247">_xlfn.TEXTJOIN(" ",TRUE,IF(D:D=A247,E:E,""))</f>
        <v>ddhub:MassDensityQuantity</v>
      </c>
      <c r="D247" t="s">
        <v>405</v>
      </c>
      <c r="E247" t="s">
        <v>34</v>
      </c>
    </row>
    <row r="248" spans="1:5">
      <c r="A248" s="4" t="s">
        <v>417</v>
      </c>
      <c r="B248" s="8" t="s">
        <v>334</v>
      </c>
      <c r="C248" s="6" t="str">
        <f t="array" ref="C248">_xlfn.TEXTJOIN(" ",TRUE,IF(D:D=A248,E:E,""))</f>
        <v>ddhub:MassDensityGradientPerLengthQuantity</v>
      </c>
      <c r="D248" t="s">
        <v>408</v>
      </c>
      <c r="E248" t="s">
        <v>38</v>
      </c>
    </row>
    <row r="249" spans="1:5">
      <c r="A249" s="4" t="s">
        <v>420</v>
      </c>
      <c r="B249" s="8" t="s">
        <v>334</v>
      </c>
      <c r="C249" s="6" t="str">
        <f t="array" ref="C249">_xlfn.TEXTJOIN(" ",TRUE,IF(D:D=A249,E:E,""))</f>
        <v>ddhub:MassDensityGradientPerLengthQuantity</v>
      </c>
      <c r="D249" t="s">
        <v>410</v>
      </c>
      <c r="E249" t="s">
        <v>25</v>
      </c>
    </row>
    <row r="250" spans="1:5">
      <c r="A250" s="4" t="s">
        <v>421</v>
      </c>
      <c r="B250" s="8" t="s">
        <v>334</v>
      </c>
      <c r="C250" s="6" t="str">
        <f t="array" ref="C250">_xlfn.TEXTJOIN(" ",TRUE,IF(D:D=A250,E:E,""))</f>
        <v>ddhub:MassDensityGradientPerLengthQuantity</v>
      </c>
      <c r="D250" t="s">
        <v>411</v>
      </c>
      <c r="E250" t="s">
        <v>25</v>
      </c>
    </row>
    <row r="251" spans="1:5">
      <c r="A251" s="4" t="s">
        <v>422</v>
      </c>
      <c r="B251" s="8" t="s">
        <v>334</v>
      </c>
      <c r="C251" s="6" t="str">
        <f t="array" ref="C251">_xlfn.TEXTJOIN(" ",TRUE,IF(D:D=A251,E:E,""))</f>
        <v>ddhub:MassDensityGradientPerTemperatureQuantity</v>
      </c>
      <c r="D251" t="s">
        <v>412</v>
      </c>
      <c r="E251" t="s">
        <v>34</v>
      </c>
    </row>
    <row r="252" spans="1:5">
      <c r="A252" s="4" t="s">
        <v>425</v>
      </c>
      <c r="B252" s="8" t="s">
        <v>426</v>
      </c>
      <c r="C252" s="6" t="str">
        <f t="array" ref="C252">_xlfn.TEXTJOIN(" ",TRUE,IF(D:D=A252,E:E,""))</f>
        <v>ddhub:MassDensityRateOfChangeQuantity</v>
      </c>
      <c r="D252" t="s">
        <v>413</v>
      </c>
      <c r="E252" t="s">
        <v>34</v>
      </c>
    </row>
    <row r="253" spans="1:5">
      <c r="A253" s="4" t="s">
        <v>427</v>
      </c>
      <c r="B253" s="8" t="s">
        <v>334</v>
      </c>
      <c r="C253" s="6" t="str">
        <f t="array" ref="C253">_xlfn.TEXTJOIN(" ",TRUE,IF(D:D=A253,E:E,""))</f>
        <v>ddhub:MassDensityGradientPerLengthQuantity</v>
      </c>
      <c r="D253" t="s">
        <v>415</v>
      </c>
      <c r="E253" t="s">
        <v>416</v>
      </c>
    </row>
    <row r="254" spans="1:5">
      <c r="A254" s="4" t="s">
        <v>428</v>
      </c>
      <c r="B254" s="8" t="s">
        <v>426</v>
      </c>
      <c r="C254" s="6" t="str">
        <f t="array" ref="C254">_xlfn.TEXTJOIN(" ",TRUE,IF(D:D=A254,E:E,""))</f>
        <v>ddhub:MassDensityRateOfChangeQuantity</v>
      </c>
      <c r="D254" t="s">
        <v>417</v>
      </c>
      <c r="E254" t="s">
        <v>418</v>
      </c>
    </row>
    <row r="255" spans="1:5">
      <c r="A255" s="4" t="s">
        <v>429</v>
      </c>
      <c r="B255" s="8" t="s">
        <v>426</v>
      </c>
      <c r="C255" s="6" t="str">
        <f t="array" ref="C255">_xlfn.TEXTJOIN(" ",TRUE,IF(D:D=A255,E:E,""))</f>
        <v>ddhub:MassDensityRateOfChangeQuantity</v>
      </c>
      <c r="D255" t="s">
        <v>420</v>
      </c>
      <c r="E255" t="s">
        <v>418</v>
      </c>
    </row>
    <row r="256" spans="1:5">
      <c r="A256" s="4" t="s">
        <v>430</v>
      </c>
      <c r="B256" s="5" t="s">
        <v>416</v>
      </c>
      <c r="C256" s="6" t="str">
        <f t="array" ref="C256">_xlfn.TEXTJOIN(" ",TRUE,IF(D:D=A256,E:E,""))</f>
        <v>ddhub:MassDensityQuantity</v>
      </c>
      <c r="D256" t="s">
        <v>421</v>
      </c>
      <c r="E256" t="s">
        <v>418</v>
      </c>
    </row>
    <row r="257" spans="1:5">
      <c r="A257" s="4" t="s">
        <v>431</v>
      </c>
      <c r="B257" s="5" t="s">
        <v>416</v>
      </c>
      <c r="C257" s="6" t="str">
        <f t="array" ref="C257">_xlfn.TEXTJOIN(" ",TRUE,IF(D:D=A257,E:E,""))</f>
        <v>ddhub:MassGradientPerLengthQuantity</v>
      </c>
      <c r="D257" t="s">
        <v>422</v>
      </c>
      <c r="E257" t="s">
        <v>423</v>
      </c>
    </row>
    <row r="258" spans="1:5">
      <c r="A258" s="4" t="s">
        <v>433</v>
      </c>
      <c r="B258" s="8" t="s">
        <v>176</v>
      </c>
      <c r="C258" s="6" t="str">
        <f t="array" ref="C258">_xlfn.TEXTJOIN(" ",TRUE,IF(D:D=A258,E:E,""))</f>
        <v>ddhub:AccelerationQuantity</v>
      </c>
      <c r="D258" t="s">
        <v>425</v>
      </c>
      <c r="E258" t="s">
        <v>426</v>
      </c>
    </row>
    <row r="259" spans="1:5">
      <c r="A259" s="4" t="s">
        <v>434</v>
      </c>
      <c r="B259" s="5" t="s">
        <v>9</v>
      </c>
      <c r="C259" s="6" t="str">
        <f t="array" ref="C259">_xlfn.TEXTJOIN(" ",TRUE,IF(D:D=A259,E:E,""))</f>
        <v>ddhub:LengthQuantity</v>
      </c>
      <c r="D259" t="s">
        <v>427</v>
      </c>
      <c r="E259" t="s">
        <v>418</v>
      </c>
    </row>
    <row r="260" spans="1:5">
      <c r="A260" s="4" t="s">
        <v>435</v>
      </c>
      <c r="B260" s="8" t="s">
        <v>17</v>
      </c>
      <c r="C260" s="6" t="str">
        <f t="array" ref="C260">_xlfn.TEXTJOIN(" ",TRUE,IF(D:D=A260,E:E,""))</f>
        <v>ddhub:AreaQuantity</v>
      </c>
      <c r="D260" t="s">
        <v>428</v>
      </c>
      <c r="E260" t="s">
        <v>426</v>
      </c>
    </row>
    <row r="261" spans="1:5">
      <c r="A261" s="4" t="s">
        <v>436</v>
      </c>
      <c r="B261" s="8" t="s">
        <v>34</v>
      </c>
      <c r="C261" s="6" t="str">
        <f t="array" ref="C261">_xlfn.TEXTJOIN(" ",TRUE,IF(D:D=A261,E:E,""))</f>
        <v>ddhub:MassQuantity</v>
      </c>
      <c r="D261" t="s">
        <v>429</v>
      </c>
      <c r="E261" t="s">
        <v>426</v>
      </c>
    </row>
    <row r="262" spans="1:5">
      <c r="A262" s="4" t="s">
        <v>437</v>
      </c>
      <c r="B262" s="5" t="s">
        <v>9</v>
      </c>
      <c r="C262" s="6" t="str">
        <f t="array" ref="C262">_xlfn.TEXTJOIN(" ",TRUE,IF(D:D=A262,E:E,""))</f>
        <v>ddhub:LengthQuantity</v>
      </c>
      <c r="D262" t="s">
        <v>430</v>
      </c>
      <c r="E262" t="s">
        <v>416</v>
      </c>
    </row>
    <row r="263" spans="1:5">
      <c r="A263" s="4" t="s">
        <v>438</v>
      </c>
      <c r="B263" s="8" t="s">
        <v>38</v>
      </c>
      <c r="C263" s="6" t="str">
        <f t="array" ref="C263">_xlfn.TEXTJOIN(" ",TRUE,IF(D:D=A263,E:E,""))</f>
        <v>ddhub:PowerQuantity</v>
      </c>
      <c r="D263" t="s">
        <v>431</v>
      </c>
      <c r="E263" t="s">
        <v>432</v>
      </c>
    </row>
    <row r="264" spans="1:5">
      <c r="A264" s="4" t="s">
        <v>439</v>
      </c>
      <c r="B264" s="8" t="s">
        <v>71</v>
      </c>
      <c r="C264" s="6" t="str">
        <f t="array" ref="C264">_xlfn.TEXTJOIN(" ",TRUE,IF(D:D=A264,E:E,""))</f>
        <v>ddhub:LuminousIntensityQuantity</v>
      </c>
      <c r="D264" t="s">
        <v>433</v>
      </c>
      <c r="E264" t="s">
        <v>176</v>
      </c>
    </row>
    <row r="265" spans="1:5">
      <c r="A265" s="4" t="s">
        <v>440</v>
      </c>
      <c r="B265" s="5" t="s">
        <v>384</v>
      </c>
      <c r="C265" s="6" t="str">
        <f t="array" ref="C265">_xlfn.TEXTJOIN(" ",TRUE,IF(D:D=A265,E:E,""))</f>
        <v>ddhub:FrequencyQuantity</v>
      </c>
      <c r="D265" t="s">
        <v>434</v>
      </c>
      <c r="E265" t="s">
        <v>9</v>
      </c>
    </row>
    <row r="266" spans="1:5">
      <c r="A266" s="4" t="s">
        <v>442</v>
      </c>
      <c r="B266" s="5" t="s">
        <v>384</v>
      </c>
      <c r="C266" s="6" t="str">
        <f t="array" ref="C266">_xlfn.TEXTJOIN(" ",TRUE,IF(D:D=A266,E:E,""))</f>
        <v>ddhub:FrequencyRateOfChangeQuantity</v>
      </c>
      <c r="D266" t="s">
        <v>435</v>
      </c>
      <c r="E266" t="s">
        <v>17</v>
      </c>
    </row>
    <row r="267" spans="1:5">
      <c r="A267" s="4" t="s">
        <v>443</v>
      </c>
      <c r="B267" s="5" t="s">
        <v>384</v>
      </c>
      <c r="C267" s="6" t="str">
        <f t="array" ref="C267">_xlfn.TEXTJOIN(" ",TRUE,IF(D:D=A267,E:E,""))</f>
        <v>ddhub:FrequencyRateOfChangeQuantity</v>
      </c>
      <c r="D267" t="s">
        <v>436</v>
      </c>
      <c r="E267" t="s">
        <v>34</v>
      </c>
    </row>
    <row r="268" spans="1:5">
      <c r="A268" s="4" t="s">
        <v>444</v>
      </c>
      <c r="B268" s="5" t="s">
        <v>384</v>
      </c>
      <c r="C268" s="6" t="str">
        <f t="array" ref="C268">_xlfn.TEXTJOIN(" ",TRUE,IF(D:D=A268,E:E,""))</f>
        <v>ddhub:FrequencyRateOfChangeQuantity</v>
      </c>
      <c r="D268" t="s">
        <v>437</v>
      </c>
      <c r="E268" t="s">
        <v>9</v>
      </c>
    </row>
    <row r="269" spans="1:5">
      <c r="A269" s="4" t="s">
        <v>445</v>
      </c>
      <c r="B269" s="5" t="s">
        <v>384</v>
      </c>
      <c r="C269" s="6" t="str">
        <f t="array" ref="C269">_xlfn.TEXTJOIN(" ",TRUE,IF(D:D=A269,E:E,""))</f>
        <v>ddhub:FrequencyRateOfChangeQuantity ddhub:RotationalFrequencyRateOfChangeQuantity</v>
      </c>
      <c r="D269" t="s">
        <v>438</v>
      </c>
      <c r="E269" t="s">
        <v>38</v>
      </c>
    </row>
    <row r="270" spans="1:5">
      <c r="A270" s="4" t="s">
        <v>447</v>
      </c>
      <c r="B270" s="5" t="s">
        <v>384</v>
      </c>
      <c r="C270" s="6" t="str">
        <f t="array" ref="C270">_xlfn.TEXTJOIN(" ",TRUE,IF(D:D=A270,E:E,""))</f>
        <v>ddhub:FrequencyRateOfChangeQuantity</v>
      </c>
      <c r="D270" t="s">
        <v>439</v>
      </c>
      <c r="E270" t="s">
        <v>71</v>
      </c>
    </row>
    <row r="271" spans="1:5">
      <c r="A271" s="4" t="s">
        <v>448</v>
      </c>
      <c r="B271" s="8" t="s">
        <v>201</v>
      </c>
      <c r="C271" s="6" t="str">
        <f t="array" ref="C271">_xlfn.TEXTJOIN(" ",TRUE,IF(D:D=A271,E:E,""))</f>
        <v>ddhub:TimeQuantity</v>
      </c>
      <c r="D271" t="s">
        <v>440</v>
      </c>
      <c r="E271" t="s">
        <v>384</v>
      </c>
    </row>
    <row r="272" spans="1:5">
      <c r="A272" s="4" t="s">
        <v>450</v>
      </c>
      <c r="B272" s="8" t="s">
        <v>34</v>
      </c>
      <c r="C272" s="6" t="str">
        <f t="array" ref="C272">_xlfn.TEXTJOIN(" ",TRUE,IF(D:D=A272,E:E,""))</f>
        <v>ddhub:MassQuantity</v>
      </c>
      <c r="D272" t="s">
        <v>442</v>
      </c>
      <c r="E272" t="s">
        <v>386</v>
      </c>
    </row>
    <row r="273" spans="1:5">
      <c r="A273" s="4" t="s">
        <v>451</v>
      </c>
      <c r="B273" s="5" t="s">
        <v>9</v>
      </c>
      <c r="C273" s="6" t="str">
        <f t="array" ref="C273">_xlfn.TEXTJOIN(" ",TRUE,IF(D:D=A273,E:E,""))</f>
        <v>ddhub:LengthQuantity</v>
      </c>
      <c r="D273" t="s">
        <v>443</v>
      </c>
      <c r="E273" t="s">
        <v>386</v>
      </c>
    </row>
    <row r="274" spans="1:5">
      <c r="A274" s="4" t="s">
        <v>452</v>
      </c>
      <c r="B274" s="5" t="s">
        <v>170</v>
      </c>
      <c r="C274" s="6" t="str">
        <f t="array" ref="C274">_xlfn.TEXTJOIN(" ",TRUE,IF(D:D=A274,E:E,""))</f>
        <v>ddhub:PressureQuantity</v>
      </c>
      <c r="D274" t="s">
        <v>444</v>
      </c>
      <c r="E274" t="s">
        <v>386</v>
      </c>
    </row>
    <row r="275" spans="1:5">
      <c r="A275" s="4" t="s">
        <v>453</v>
      </c>
      <c r="B275" s="5" t="s">
        <v>170</v>
      </c>
      <c r="C275" s="6" t="str">
        <f t="array" ref="C275">_xlfn.TEXTJOIN(" ",TRUE,IF(D:D=A275,E:E,""))</f>
        <v>ddhub:PressureQuantity</v>
      </c>
      <c r="D275" t="s">
        <v>445</v>
      </c>
      <c r="E275" t="s">
        <v>386</v>
      </c>
    </row>
    <row r="276" spans="1:5">
      <c r="A276" s="4" t="s">
        <v>454</v>
      </c>
      <c r="B276" s="5" t="s">
        <v>9</v>
      </c>
      <c r="C276" s="6" t="str">
        <f t="array" ref="C276">_xlfn.TEXTJOIN(" ",TRUE,IF(D:D=A276,E:E,""))</f>
        <v>ddhub:LengthQuantity</v>
      </c>
      <c r="D276" t="s">
        <v>445</v>
      </c>
      <c r="E276" t="s">
        <v>2282</v>
      </c>
    </row>
    <row r="277" spans="1:5">
      <c r="A277" s="4" t="s">
        <v>455</v>
      </c>
      <c r="B277" s="5" t="s">
        <v>172</v>
      </c>
      <c r="C277" s="6" t="str">
        <f t="array" ref="C277">_xlfn.TEXTJOIN(" ",TRUE,IF(D:D=A277,E:E,""))</f>
        <v>ddhub:VelocityQuantity</v>
      </c>
      <c r="D277" t="s">
        <v>447</v>
      </c>
      <c r="E277" t="s">
        <v>386</v>
      </c>
    </row>
    <row r="278" spans="1:5">
      <c r="A278" s="4" t="s">
        <v>456</v>
      </c>
      <c r="B278" s="5" t="s">
        <v>172</v>
      </c>
      <c r="C278" s="6" t="str">
        <f t="array" ref="C278">_xlfn.TEXTJOIN(" ",TRUE,IF(D:D=A278,E:E,""))</f>
        <v>ddhub:ElongationGradientPerLengthQuantity</v>
      </c>
      <c r="D278" t="s">
        <v>448</v>
      </c>
      <c r="E278" t="s">
        <v>201</v>
      </c>
    </row>
    <row r="279" spans="1:5">
      <c r="A279" s="4" t="s">
        <v>457</v>
      </c>
      <c r="B279" s="5" t="s">
        <v>172</v>
      </c>
      <c r="C279" s="6" t="str">
        <f t="array" ref="C279">_xlfn.TEXTJOIN(" ",TRUE,IF(D:D=A279,E:E,""))</f>
        <v>ddhub:VelocityQuantity</v>
      </c>
      <c r="D279" t="s">
        <v>450</v>
      </c>
      <c r="E279" t="s">
        <v>34</v>
      </c>
    </row>
    <row r="280" spans="1:5">
      <c r="A280" s="4" t="s">
        <v>458</v>
      </c>
      <c r="B280" s="8" t="s">
        <v>176</v>
      </c>
      <c r="C280" s="6" t="str">
        <f t="array" ref="C280">_xlfn.TEXTJOIN(" ",TRUE,IF(D:D=A280,E:E,""))</f>
        <v>ddhub:AccelerationQuantity</v>
      </c>
      <c r="D280" t="s">
        <v>451</v>
      </c>
      <c r="E280" t="s">
        <v>9</v>
      </c>
    </row>
    <row r="281" spans="1:5">
      <c r="A281" s="4" t="s">
        <v>459</v>
      </c>
      <c r="B281" s="8" t="s">
        <v>332</v>
      </c>
      <c r="C281" s="6" t="str">
        <f t="array" ref="C281">_xlfn.TEXTJOIN(" ",TRUE,IF(D:D=A281,E:E,""))</f>
        <v>ddhub:ElongationGradientPerLengthQuantity</v>
      </c>
      <c r="D281" t="s">
        <v>452</v>
      </c>
      <c r="E281" t="s">
        <v>170</v>
      </c>
    </row>
    <row r="282" spans="1:5">
      <c r="A282" s="4" t="s">
        <v>460</v>
      </c>
      <c r="B282" s="5" t="s">
        <v>172</v>
      </c>
      <c r="C282" s="6" t="str">
        <f t="array" ref="C282">_xlfn.TEXTJOIN(" ",TRUE,IF(D:D=A282,E:E,""))</f>
        <v>ddhub:VelocityQuantity</v>
      </c>
      <c r="D282" t="s">
        <v>453</v>
      </c>
      <c r="E282" t="s">
        <v>170</v>
      </c>
    </row>
    <row r="283" spans="1:5">
      <c r="A283" s="4" t="s">
        <v>461</v>
      </c>
      <c r="B283" s="8" t="s">
        <v>176</v>
      </c>
      <c r="C283" s="6" t="str">
        <f t="array" ref="C283">_xlfn.TEXTJOIN(" ",TRUE,IF(D:D=A283,E:E,""))</f>
        <v>ddhub:AccelerationQuantity</v>
      </c>
      <c r="D283" t="s">
        <v>454</v>
      </c>
      <c r="E283" t="s">
        <v>9</v>
      </c>
    </row>
    <row r="284" spans="1:5">
      <c r="A284" s="4" t="s">
        <v>462</v>
      </c>
      <c r="B284" s="5" t="s">
        <v>172</v>
      </c>
      <c r="C284" s="6" t="str">
        <f t="array" ref="C284">_xlfn.TEXTJOIN(" ",TRUE,IF(D:D=A284,E:E,""))</f>
        <v>ddhub:VelocityQuantity ddhub:HydraulicConductivityQuantity</v>
      </c>
      <c r="D284" t="s">
        <v>455</v>
      </c>
      <c r="E284" t="s">
        <v>172</v>
      </c>
    </row>
    <row r="285" spans="1:5">
      <c r="A285" s="4" t="s">
        <v>463</v>
      </c>
      <c r="B285" s="8" t="s">
        <v>176</v>
      </c>
      <c r="C285" s="6" t="str">
        <f t="array" ref="C285">_xlfn.TEXTJOIN(" ",TRUE,IF(D:D=A285,E:E,""))</f>
        <v>ddhub:AccelerationQuantity</v>
      </c>
      <c r="D285" t="s">
        <v>456</v>
      </c>
      <c r="E285" t="s">
        <v>179</v>
      </c>
    </row>
    <row r="286" spans="1:5">
      <c r="A286" s="4" t="s">
        <v>464</v>
      </c>
      <c r="B286" s="8" t="s">
        <v>332</v>
      </c>
      <c r="C286" s="6" t="str">
        <f t="array" ref="C286">_xlfn.TEXTJOIN(" ",TRUE,IF(D:D=A286,E:E,""))</f>
        <v>ddhub:ElongationGradientPerLengthQuantity</v>
      </c>
      <c r="D286" t="s">
        <v>457</v>
      </c>
      <c r="E286" t="s">
        <v>172</v>
      </c>
    </row>
    <row r="287" spans="1:5">
      <c r="A287" s="4" t="s">
        <v>465</v>
      </c>
      <c r="B287" s="8" t="s">
        <v>334</v>
      </c>
      <c r="C287" s="6" t="str">
        <f t="array" ref="C287">_xlfn.TEXTJOIN(" ",TRUE,IF(D:D=A287,E:E,""))</f>
        <v>ddhub:TorqueQuantity</v>
      </c>
      <c r="D287" t="s">
        <v>458</v>
      </c>
      <c r="E287" t="s">
        <v>176</v>
      </c>
    </row>
    <row r="288" spans="1:5">
      <c r="A288" s="4" t="s">
        <v>466</v>
      </c>
      <c r="B288" s="8" t="s">
        <v>334</v>
      </c>
      <c r="C288" s="6" t="str">
        <f t="array" ref="C288">_xlfn.TEXTJOIN(" ",TRUE,IF(D:D=A288,E:E,""))</f>
        <v>ddhub:TorqueGradientPerLengthQuantity</v>
      </c>
      <c r="D288" t="s">
        <v>459</v>
      </c>
      <c r="E288" t="s">
        <v>179</v>
      </c>
    </row>
    <row r="289" spans="1:5">
      <c r="A289" s="4" t="s">
        <v>467</v>
      </c>
      <c r="B289" s="8" t="s">
        <v>334</v>
      </c>
      <c r="C289" s="6" t="str">
        <f t="array" ref="C289">_xlfn.TEXTJOIN(" ",TRUE,IF(D:D=A289,E:E,""))</f>
        <v>ddhub:TorqueGradientPerLengthQuantity</v>
      </c>
      <c r="D289" t="s">
        <v>460</v>
      </c>
      <c r="E289" t="s">
        <v>172</v>
      </c>
    </row>
    <row r="290" spans="1:5">
      <c r="A290" s="4" t="s">
        <v>468</v>
      </c>
      <c r="B290" s="8" t="s">
        <v>334</v>
      </c>
      <c r="C290" s="6" t="str">
        <f t="array" ref="C290">_xlfn.TEXTJOIN(" ",TRUE,IF(D:D=A290,E:E,""))</f>
        <v>ddhub:TorqueGradientPerLengthQuantity</v>
      </c>
      <c r="D290" t="s">
        <v>461</v>
      </c>
      <c r="E290" t="s">
        <v>176</v>
      </c>
    </row>
    <row r="291" spans="1:5">
      <c r="A291" s="4" t="s">
        <v>469</v>
      </c>
      <c r="B291" s="8" t="s">
        <v>334</v>
      </c>
      <c r="C291" s="6" t="str">
        <f t="array" ref="C291">_xlfn.TEXTJOIN(" ",TRUE,IF(D:D=A291,E:E,""))</f>
        <v>ddhub:TorqueGradientPerLengthQuantity</v>
      </c>
      <c r="D291" t="s">
        <v>462</v>
      </c>
      <c r="E291" t="s">
        <v>172</v>
      </c>
    </row>
    <row r="292" spans="1:5">
      <c r="A292" s="4" t="s">
        <v>470</v>
      </c>
      <c r="B292" s="8" t="s">
        <v>334</v>
      </c>
      <c r="C292" s="6" t="str">
        <f t="array" ref="C292">_xlfn.TEXTJOIN(" ",TRUE,IF(D:D=A292,E:E,""))</f>
        <v>ddhub:TorqueGradientPerLengthQuantity</v>
      </c>
      <c r="D292" t="s">
        <v>462</v>
      </c>
      <c r="E292" t="s">
        <v>2280</v>
      </c>
    </row>
    <row r="293" spans="1:5">
      <c r="A293" s="4" t="s">
        <v>471</v>
      </c>
      <c r="B293" s="8" t="s">
        <v>334</v>
      </c>
      <c r="C293" s="6" t="str">
        <f t="array" ref="C293">_xlfn.TEXTJOIN(" ",TRUE,IF(D:D=A293,E:E,""))</f>
        <v>ddhub:TorqueGradientPerLengthQuantity</v>
      </c>
      <c r="D293" t="s">
        <v>463</v>
      </c>
      <c r="E293" t="s">
        <v>176</v>
      </c>
    </row>
    <row r="294" spans="1:5">
      <c r="A294" s="4" t="s">
        <v>472</v>
      </c>
      <c r="B294" s="5" t="s">
        <v>170</v>
      </c>
      <c r="C294" s="6" t="str">
        <f t="array" ref="C294">_xlfn.TEXTJOIN(" ",TRUE,IF(D:D=A294,E:E,""))</f>
        <v>ddhub:PressureQuantity</v>
      </c>
      <c r="D294" t="s">
        <v>464</v>
      </c>
      <c r="E294" t="s">
        <v>179</v>
      </c>
    </row>
    <row r="295" spans="1:5">
      <c r="A295" s="4" t="s">
        <v>473</v>
      </c>
      <c r="B295" s="8" t="s">
        <v>71</v>
      </c>
      <c r="C295" s="6" t="str">
        <f t="array" ref="C295">_xlfn.TEXTJOIN(" ",TRUE,IF(D:D=A295,E:E,""))</f>
        <v>ddhub:LuminousIntensityQuantity</v>
      </c>
      <c r="D295" t="s">
        <v>465</v>
      </c>
      <c r="E295" t="s">
        <v>236</v>
      </c>
    </row>
    <row r="296" spans="1:5">
      <c r="A296" s="4" t="s">
        <v>474</v>
      </c>
      <c r="B296" s="8" t="s">
        <v>9</v>
      </c>
      <c r="C296" s="6" t="str">
        <f t="array" ref="C296">_xlfn.TEXTJOIN(" ",TRUE,IF(D:D=A296,E:E,""))</f>
        <v>ddhub:LengthQuantity</v>
      </c>
      <c r="D296" t="s">
        <v>466</v>
      </c>
      <c r="E296" t="s">
        <v>238</v>
      </c>
    </row>
    <row r="297" spans="1:5">
      <c r="A297" s="4" t="s">
        <v>475</v>
      </c>
      <c r="B297" s="8" t="s">
        <v>170</v>
      </c>
      <c r="C297" s="6" t="str">
        <f t="array" ref="C297">_xlfn.TEXTJOIN(" ",TRUE,IF(D:D=A297,E:E,""))</f>
        <v>ddhub:CompressibilityQuantity</v>
      </c>
      <c r="D297" t="s">
        <v>467</v>
      </c>
      <c r="E297" t="s">
        <v>238</v>
      </c>
    </row>
    <row r="298" spans="1:5">
      <c r="A298" s="4" t="s">
        <v>477</v>
      </c>
      <c r="B298" s="8" t="s">
        <v>170</v>
      </c>
      <c r="C298" s="6" t="str">
        <f t="array" ref="C298">_xlfn.TEXTJOIN(" ",TRUE,IF(D:D=A298,E:E,""))</f>
        <v>ddhub:CompressibilityQuantity</v>
      </c>
      <c r="D298" t="s">
        <v>468</v>
      </c>
      <c r="E298" t="s">
        <v>238</v>
      </c>
    </row>
    <row r="299" spans="1:5">
      <c r="A299" s="4" t="s">
        <v>478</v>
      </c>
      <c r="B299" s="8" t="s">
        <v>170</v>
      </c>
      <c r="C299" s="6" t="str">
        <f t="array" ref="C299">_xlfn.TEXTJOIN(" ",TRUE,IF(D:D=A299,E:E,""))</f>
        <v>ddhub:CompressibilityQuantity</v>
      </c>
      <c r="D299" t="s">
        <v>469</v>
      </c>
      <c r="E299" t="s">
        <v>238</v>
      </c>
    </row>
    <row r="300" spans="1:5">
      <c r="A300" s="4" t="s">
        <v>479</v>
      </c>
      <c r="B300" s="8" t="s">
        <v>170</v>
      </c>
      <c r="C300" s="6" t="str">
        <f t="array" ref="C300">_xlfn.TEXTJOIN(" ",TRUE,IF(D:D=A300,E:E,""))</f>
        <v>ddhub:CompressibilityQuantity</v>
      </c>
      <c r="D300" t="s">
        <v>470</v>
      </c>
      <c r="E300" t="s">
        <v>238</v>
      </c>
    </row>
    <row r="301" spans="1:5">
      <c r="A301" s="4" t="s">
        <v>480</v>
      </c>
      <c r="B301" s="8" t="s">
        <v>76</v>
      </c>
      <c r="C301" s="6" t="str">
        <f t="array" ref="C301">_xlfn.TEXTJOIN(" ",TRUE,IF(D:D=A301,E:E,""))</f>
        <v>ddhub:EnergyQuantity</v>
      </c>
      <c r="D301" t="s">
        <v>471</v>
      </c>
      <c r="E301" t="s">
        <v>238</v>
      </c>
    </row>
    <row r="302" spans="1:5">
      <c r="A302" s="4" t="s">
        <v>482</v>
      </c>
      <c r="B302" s="8" t="s">
        <v>89</v>
      </c>
      <c r="C302" s="6" t="str">
        <f t="array" ref="C302">_xlfn.TEXTJOIN(" ",TRUE,IF(D:D=A302,E:E,""))</f>
        <v>ddhub:EnergyDensityQuantity</v>
      </c>
      <c r="D302" t="s">
        <v>472</v>
      </c>
      <c r="E302" t="s">
        <v>170</v>
      </c>
    </row>
    <row r="303" spans="1:5">
      <c r="A303" s="4" t="s">
        <v>483</v>
      </c>
      <c r="B303" s="8" t="s">
        <v>89</v>
      </c>
      <c r="C303" s="6" t="str">
        <f t="array" ref="C303">_xlfn.TEXTJOIN(" ",TRUE,IF(D:D=A303,E:E,""))</f>
        <v>ddhub:EnergyDensityQuantity</v>
      </c>
      <c r="D303" t="s">
        <v>473</v>
      </c>
      <c r="E303" t="s">
        <v>71</v>
      </c>
    </row>
    <row r="304" spans="1:5">
      <c r="A304" s="4" t="s">
        <v>484</v>
      </c>
      <c r="B304" s="8" t="s">
        <v>89</v>
      </c>
      <c r="C304" s="6" t="str">
        <f t="array" ref="C304">_xlfn.TEXTJOIN(" ",TRUE,IF(D:D=A304,E:E,""))</f>
        <v>ddhub:EnergyDensityQuantity</v>
      </c>
      <c r="D304" t="s">
        <v>474</v>
      </c>
      <c r="E304" t="s">
        <v>9</v>
      </c>
    </row>
    <row r="305" spans="1:5">
      <c r="A305" s="4" t="s">
        <v>485</v>
      </c>
      <c r="B305" s="8" t="s">
        <v>89</v>
      </c>
      <c r="C305" s="6" t="str">
        <f t="array" ref="C305">_xlfn.TEXTJOIN(" ",TRUE,IF(D:D=A305,E:E,""))</f>
        <v>ddhub:EnergyDensityQuantity</v>
      </c>
      <c r="D305" t="s">
        <v>475</v>
      </c>
      <c r="E305" t="s">
        <v>476</v>
      </c>
    </row>
    <row r="306" spans="1:5">
      <c r="A306" s="4" t="s">
        <v>486</v>
      </c>
      <c r="B306" s="8" t="s">
        <v>89</v>
      </c>
      <c r="C306" s="6" t="str">
        <f t="array" ref="C306">_xlfn.TEXTJOIN(" ",TRUE,IF(D:D=A306,E:E,""))</f>
        <v>ddhub:EnergyDensityQuantity</v>
      </c>
      <c r="D306" t="s">
        <v>477</v>
      </c>
      <c r="E306" t="s">
        <v>476</v>
      </c>
    </row>
    <row r="307" spans="1:5">
      <c r="A307" s="4" t="s">
        <v>487</v>
      </c>
      <c r="B307" s="8" t="s">
        <v>334</v>
      </c>
      <c r="C307" s="6" t="str">
        <f t="array" ref="C307">_xlfn.TEXTJOIN(" ",TRUE,IF(D:D=A307,E:E,""))</f>
        <v>ddhub:IsobaricSpecificHeatCapacityQuantity</v>
      </c>
      <c r="D307" t="s">
        <v>478</v>
      </c>
      <c r="E307" t="s">
        <v>476</v>
      </c>
    </row>
    <row r="308" spans="1:5">
      <c r="A308" s="4" t="s">
        <v>489</v>
      </c>
      <c r="B308" s="8" t="s">
        <v>334</v>
      </c>
      <c r="C308" s="6" t="str">
        <f t="array" ref="C308">_xlfn.TEXTJOIN(" ",TRUE,IF(D:D=A308,E:E,""))</f>
        <v>ddhub:IsobaricSpecificHeatCapacityGradientPerTemperatureQuantity</v>
      </c>
      <c r="D308" t="s">
        <v>479</v>
      </c>
      <c r="E308" t="s">
        <v>476</v>
      </c>
    </row>
    <row r="309" spans="1:5">
      <c r="A309" s="4" t="s">
        <v>490</v>
      </c>
      <c r="B309" s="8" t="s">
        <v>334</v>
      </c>
      <c r="C309" s="6" t="str">
        <f t="array" ref="C309">_xlfn.TEXTJOIN(" ",TRUE,IF(D:D=A309,E:E,""))</f>
        <v>ddhub:IsobaricSpecificHeatCapacityQuantity</v>
      </c>
      <c r="D309" t="s">
        <v>480</v>
      </c>
      <c r="E309" t="s">
        <v>76</v>
      </c>
    </row>
    <row r="310" spans="1:5">
      <c r="A310" s="4" t="s">
        <v>491</v>
      </c>
      <c r="B310" s="8" t="s">
        <v>334</v>
      </c>
      <c r="C310" s="6" t="str">
        <f t="array" ref="C310">_xlfn.TEXTJOIN(" ",TRUE,IF(D:D=A310,E:E,""))</f>
        <v>ddhub:IsobaricSpecificHeatCapacityGradientPerTemperatureQuantity</v>
      </c>
      <c r="D310" t="s">
        <v>482</v>
      </c>
      <c r="E310" t="s">
        <v>89</v>
      </c>
    </row>
    <row r="311" spans="1:5">
      <c r="A311" s="4" t="s">
        <v>492</v>
      </c>
      <c r="B311" s="8" t="s">
        <v>334</v>
      </c>
      <c r="C311" s="6" t="str">
        <f t="array" ref="C311">_xlfn.TEXTJOIN(" ",TRUE,IF(D:D=A311,E:E,""))</f>
        <v>ddhub:IsobaricSpecificHeatCapacityQuantity</v>
      </c>
      <c r="D311" t="s">
        <v>483</v>
      </c>
      <c r="E311" t="s">
        <v>89</v>
      </c>
    </row>
    <row r="312" spans="1:5">
      <c r="A312" s="4" t="s">
        <v>493</v>
      </c>
      <c r="B312" s="8" t="s">
        <v>334</v>
      </c>
      <c r="C312" s="6" t="str">
        <f t="array" ref="C312">_xlfn.TEXTJOIN(" ",TRUE,IF(D:D=A312,E:E,""))</f>
        <v>ddhub:IsobaricSpecificHeatCapacityGradientPerTemperatureQuantity</v>
      </c>
      <c r="D312" t="s">
        <v>484</v>
      </c>
      <c r="E312" t="s">
        <v>89</v>
      </c>
    </row>
    <row r="313" spans="1:5">
      <c r="A313" s="4" t="s">
        <v>494</v>
      </c>
      <c r="B313" s="8" t="s">
        <v>89</v>
      </c>
      <c r="C313" s="6" t="str">
        <f t="array" ref="C313">_xlfn.TEXTJOIN(" ",TRUE,IF(D:D=A313,E:E,""))</f>
        <v>ddhub:EnergyDensityQuantity</v>
      </c>
      <c r="D313" t="s">
        <v>485</v>
      </c>
      <c r="E313" t="s">
        <v>89</v>
      </c>
    </row>
    <row r="314" spans="1:5">
      <c r="A314" s="4" t="s">
        <v>495</v>
      </c>
      <c r="B314" s="8" t="s">
        <v>142</v>
      </c>
      <c r="C314" s="6" t="str">
        <f t="array" ref="C314">_xlfn.TEXTJOIN(" ",TRUE,IF(D:D=A314,E:E,""))</f>
        <v>ddhub:RelativeTemperatureQuantity ddhub:TemperatureQuantity</v>
      </c>
      <c r="D314" t="s">
        <v>486</v>
      </c>
      <c r="E314" t="s">
        <v>89</v>
      </c>
    </row>
    <row r="315" spans="1:5">
      <c r="A315" s="4" t="s">
        <v>497</v>
      </c>
      <c r="B315" s="8" t="s">
        <v>334</v>
      </c>
      <c r="C315" s="6" t="str">
        <f t="array" ref="C315">_xlfn.TEXTJOIN(" ",TRUE,IF(D:D=A315,E:E,""))</f>
        <v>ddhub:TemperatureGradientPerLengthQuantity</v>
      </c>
      <c r="D315" t="s">
        <v>487</v>
      </c>
      <c r="E315" t="s">
        <v>111</v>
      </c>
    </row>
    <row r="316" spans="1:5">
      <c r="A316" s="4" t="s">
        <v>498</v>
      </c>
      <c r="B316" s="8" t="s">
        <v>13</v>
      </c>
      <c r="C316" s="6" t="str">
        <f t="array" ref="C316">_xlfn.TEXTJOIN(" ",TRUE,IF(D:D=A316,E:E,""))</f>
        <v>ddhub:ElectricCurrentQuantity</v>
      </c>
      <c r="D316" t="s">
        <v>489</v>
      </c>
      <c r="E316" t="s">
        <v>114</v>
      </c>
    </row>
    <row r="317" spans="1:5">
      <c r="A317" s="4" t="s">
        <v>499</v>
      </c>
      <c r="B317" s="8" t="s">
        <v>76</v>
      </c>
      <c r="C317" s="6" t="str">
        <f t="array" ref="C317">_xlfn.TEXTJOIN(" ",TRUE,IF(D:D=A317,E:E,""))</f>
        <v>ddhub:EnergyQuantity</v>
      </c>
      <c r="D317" t="s">
        <v>490</v>
      </c>
      <c r="E317" t="s">
        <v>111</v>
      </c>
    </row>
    <row r="318" spans="1:5">
      <c r="A318" s="4" t="s">
        <v>500</v>
      </c>
      <c r="B318" s="8" t="s">
        <v>89</v>
      </c>
      <c r="C318" s="6" t="str">
        <f t="array" ref="C318">_xlfn.TEXTJOIN(" ",TRUE,IF(D:D=A318,E:E,""))</f>
        <v>ddhub:EnergyDensityQuantity</v>
      </c>
      <c r="D318" t="s">
        <v>491</v>
      </c>
      <c r="E318" t="s">
        <v>114</v>
      </c>
    </row>
    <row r="319" spans="1:5">
      <c r="A319" s="4" t="s">
        <v>501</v>
      </c>
      <c r="B319" s="8" t="s">
        <v>89</v>
      </c>
      <c r="C319" s="6" t="str">
        <f t="array" ref="C319">_xlfn.TEXTJOIN(" ",TRUE,IF(D:D=A319,E:E,""))</f>
        <v>ddhub:EnergyDensityQuantity</v>
      </c>
      <c r="D319" t="s">
        <v>492</v>
      </c>
      <c r="E319" t="s">
        <v>111</v>
      </c>
    </row>
    <row r="320" spans="1:5">
      <c r="A320" s="4" t="s">
        <v>502</v>
      </c>
      <c r="B320" s="8" t="s">
        <v>89</v>
      </c>
      <c r="C320" s="6" t="str">
        <f t="array" ref="C320">_xlfn.TEXTJOIN(" ",TRUE,IF(D:D=A320,E:E,""))</f>
        <v>ddhub:EnergyDensityQuantity</v>
      </c>
      <c r="D320" t="s">
        <v>493</v>
      </c>
      <c r="E320" t="s">
        <v>114</v>
      </c>
    </row>
    <row r="321" spans="1:5">
      <c r="A321" s="4" t="s">
        <v>503</v>
      </c>
      <c r="B321" s="8" t="s">
        <v>89</v>
      </c>
      <c r="C321" s="6" t="str">
        <f t="array" ref="C321">_xlfn.TEXTJOIN(" ",TRUE,IF(D:D=A321,E:E,""))</f>
        <v>ddhub:EnergyDensityQuantity</v>
      </c>
      <c r="D321" t="s">
        <v>494</v>
      </c>
      <c r="E321" t="s">
        <v>89</v>
      </c>
    </row>
    <row r="322" spans="1:5">
      <c r="A322" s="4" t="s">
        <v>504</v>
      </c>
      <c r="B322" s="8" t="s">
        <v>89</v>
      </c>
      <c r="C322" s="6" t="str">
        <f t="array" ref="C322">_xlfn.TEXTJOIN(" ",TRUE,IF(D:D=A322,E:E,""))</f>
        <v>ddhub:EnergyDensityQuantity</v>
      </c>
      <c r="D322" t="s">
        <v>495</v>
      </c>
      <c r="E322" t="s">
        <v>981</v>
      </c>
    </row>
    <row r="323" spans="1:5">
      <c r="A323" s="4" t="s">
        <v>505</v>
      </c>
      <c r="B323" s="8" t="s">
        <v>89</v>
      </c>
      <c r="C323" s="6" t="str">
        <f t="array" ref="C323">_xlfn.TEXTJOIN(" ",TRUE,IF(D:D=A323,E:E,""))</f>
        <v>ddhub:EnergyDensityQuantity</v>
      </c>
      <c r="D323" t="s">
        <v>495</v>
      </c>
      <c r="E323" t="s">
        <v>142</v>
      </c>
    </row>
    <row r="324" spans="1:5">
      <c r="A324" s="4" t="s">
        <v>506</v>
      </c>
      <c r="B324" s="8" t="s">
        <v>76</v>
      </c>
      <c r="C324" s="6" t="str">
        <f t="array" ref="C324">_xlfn.TEXTJOIN(" ",TRUE,IF(D:D=A324,E:E,""))</f>
        <v>ddhub:EnergyQuantity</v>
      </c>
      <c r="D324" t="s">
        <v>497</v>
      </c>
      <c r="E324" t="s">
        <v>147</v>
      </c>
    </row>
    <row r="325" spans="1:5">
      <c r="A325" s="4" t="s">
        <v>507</v>
      </c>
      <c r="B325" s="8" t="s">
        <v>89</v>
      </c>
      <c r="C325" s="6" t="str">
        <f t="array" ref="C325">_xlfn.TEXTJOIN(" ",TRUE,IF(D:D=A325,E:E,""))</f>
        <v>ddhub:EnergyDensityQuantity</v>
      </c>
      <c r="D325" t="s">
        <v>499</v>
      </c>
      <c r="E325" t="s">
        <v>76</v>
      </c>
    </row>
    <row r="326" spans="1:5">
      <c r="A326" s="4" t="s">
        <v>508</v>
      </c>
      <c r="B326" s="8" t="s">
        <v>89</v>
      </c>
      <c r="C326" s="6" t="str">
        <f t="array" ref="C326">_xlfn.TEXTJOIN(" ",TRUE,IF(D:D=A326,E:E,""))</f>
        <v>ddhub:EnergyDensityQuantity</v>
      </c>
      <c r="D326" t="s">
        <v>500</v>
      </c>
      <c r="E326" t="s">
        <v>89</v>
      </c>
    </row>
    <row r="327" spans="1:5">
      <c r="A327" s="4" t="s">
        <v>509</v>
      </c>
      <c r="B327" s="8" t="s">
        <v>89</v>
      </c>
      <c r="C327" s="6" t="str">
        <f t="array" ref="C327">_xlfn.TEXTJOIN(" ",TRUE,IF(D:D=A327,E:E,""))</f>
        <v>ddhub:EnergyDensityQuantity</v>
      </c>
      <c r="D327" t="s">
        <v>501</v>
      </c>
      <c r="E327" t="s">
        <v>89</v>
      </c>
    </row>
    <row r="328" spans="1:5">
      <c r="A328" s="4" t="s">
        <v>510</v>
      </c>
      <c r="B328" s="8" t="s">
        <v>89</v>
      </c>
      <c r="C328" s="6" t="str">
        <f t="array" ref="C328">_xlfn.TEXTJOIN(" ",TRUE,IF(D:D=A328,E:E,""))</f>
        <v>ddhub:EnergyDensityQuantity</v>
      </c>
      <c r="D328" t="s">
        <v>502</v>
      </c>
      <c r="E328" t="s">
        <v>89</v>
      </c>
    </row>
    <row r="329" spans="1:5">
      <c r="A329" s="4" t="s">
        <v>511</v>
      </c>
      <c r="B329" s="8" t="s">
        <v>89</v>
      </c>
      <c r="C329" s="6" t="str">
        <f t="array" ref="C329">_xlfn.TEXTJOIN(" ",TRUE,IF(D:D=A329,E:E,""))</f>
        <v>ddhub:EnergyDensityQuantity</v>
      </c>
      <c r="D329" t="s">
        <v>503</v>
      </c>
      <c r="E329" t="s">
        <v>89</v>
      </c>
    </row>
    <row r="330" spans="1:5">
      <c r="A330" s="4" t="s">
        <v>512</v>
      </c>
      <c r="B330" s="8" t="s">
        <v>334</v>
      </c>
      <c r="C330" s="6" t="str">
        <f t="array" ref="C330">_xlfn.TEXTJOIN(" ",TRUE,IF(D:D=A330,E:E,""))</f>
        <v>ddhub:IsobaricSpecificHeatCapacityQuantity</v>
      </c>
      <c r="D330" t="s">
        <v>504</v>
      </c>
      <c r="E330" t="s">
        <v>89</v>
      </c>
    </row>
    <row r="331" spans="1:5">
      <c r="A331" s="4" t="s">
        <v>514</v>
      </c>
      <c r="B331" s="8" t="s">
        <v>89</v>
      </c>
      <c r="C331" s="6" t="str">
        <f t="array" ref="C331">_xlfn.TEXTJOIN(" ",TRUE,IF(D:D=A331,E:E,""))</f>
        <v>ddhub:EnergyDensityQuantity</v>
      </c>
      <c r="D331" t="s">
        <v>505</v>
      </c>
      <c r="E331" t="s">
        <v>89</v>
      </c>
    </row>
    <row r="332" spans="1:5">
      <c r="A332" s="4" t="s">
        <v>515</v>
      </c>
      <c r="B332" s="8" t="s">
        <v>71</v>
      </c>
      <c r="C332" s="6" t="str">
        <f t="array" ref="C332">_xlfn.TEXTJOIN(" ",TRUE,IF(D:D=A332,E:E,""))</f>
        <v>ddhub:LuminousIntensityQuantity</v>
      </c>
      <c r="D332" t="s">
        <v>553</v>
      </c>
      <c r="E332" t="s">
        <v>386</v>
      </c>
    </row>
    <row r="333" spans="1:5">
      <c r="A333" s="4" t="s">
        <v>516</v>
      </c>
      <c r="B333" s="8" t="s">
        <v>1275</v>
      </c>
      <c r="C333" s="6" t="str">
        <f t="array" ref="C333">_xlfn.TEXTJOIN(" ",TRUE,IF(D:D=A333,E:E,""))</f>
        <v>ddhub:TensionQuantity ddhub:ForceQuantity</v>
      </c>
      <c r="D333" t="s">
        <v>554</v>
      </c>
      <c r="E333" t="s">
        <v>386</v>
      </c>
    </row>
    <row r="334" spans="1:5">
      <c r="A334" s="4" t="s">
        <v>517</v>
      </c>
      <c r="B334" s="8" t="s">
        <v>334</v>
      </c>
      <c r="C334" s="6" t="str">
        <f t="array" ref="C334">_xlfn.TEXTJOIN(" ",TRUE,IF(D:D=A334,E:E,""))</f>
        <v>ddhub:TorqueQuantity</v>
      </c>
      <c r="D334" t="s">
        <v>555</v>
      </c>
      <c r="E334" t="s">
        <v>386</v>
      </c>
    </row>
    <row r="335" spans="1:5">
      <c r="A335" s="4" t="s">
        <v>518</v>
      </c>
      <c r="B335" s="8" t="s">
        <v>334</v>
      </c>
      <c r="C335" s="6" t="str">
        <f t="array" ref="C335">_xlfn.TEXTJOIN(" ",TRUE,IF(D:D=A335,E:E,""))</f>
        <v>ddhub:TorqueGradientPerLengthQuantity</v>
      </c>
      <c r="D335" t="s">
        <v>556</v>
      </c>
      <c r="E335" t="s">
        <v>386</v>
      </c>
    </row>
    <row r="336" spans="1:5">
      <c r="A336" s="4" t="s">
        <v>519</v>
      </c>
      <c r="B336" s="8" t="s">
        <v>334</v>
      </c>
      <c r="C336" s="6" t="str">
        <f t="array" ref="C336">_xlfn.TEXTJOIN(" ",TRUE,IF(D:D=A336,E:E,""))</f>
        <v>ddhub:TorqueGradientPerLengthQuantity</v>
      </c>
      <c r="D336" t="s">
        <v>557</v>
      </c>
      <c r="E336" t="s">
        <v>386</v>
      </c>
    </row>
    <row r="337" spans="1:5">
      <c r="A337" s="4" t="s">
        <v>520</v>
      </c>
      <c r="B337" s="8" t="s">
        <v>334</v>
      </c>
      <c r="C337" s="6" t="str">
        <f t="array" ref="C337">_xlfn.TEXTJOIN(" ",TRUE,IF(D:D=A337,E:E,""))</f>
        <v>ddhub:TorqueGradientPerLengthQuantity</v>
      </c>
      <c r="D337" t="s">
        <v>594</v>
      </c>
      <c r="E337" t="s">
        <v>400</v>
      </c>
    </row>
    <row r="338" spans="1:5">
      <c r="A338" s="4" t="s">
        <v>521</v>
      </c>
      <c r="B338" s="8" t="s">
        <v>334</v>
      </c>
      <c r="C338" s="6" t="str">
        <f t="array" ref="C338">_xlfn.TEXTJOIN(" ",TRUE,IF(D:D=A338,E:E,""))</f>
        <v>ddhub:TorqueGradientPerLengthQuantity</v>
      </c>
      <c r="D338" t="s">
        <v>498</v>
      </c>
      <c r="E338" t="s">
        <v>13</v>
      </c>
    </row>
    <row r="339" spans="1:5">
      <c r="A339" s="4" t="s">
        <v>522</v>
      </c>
      <c r="B339" s="8" t="s">
        <v>334</v>
      </c>
      <c r="C339" s="6" t="str">
        <f t="array" ref="C339">_xlfn.TEXTJOIN(" ",TRUE,IF(D:D=A339,E:E,""))</f>
        <v>ddhub:TorqueGradientPerLengthQuantity</v>
      </c>
      <c r="D339" t="s">
        <v>506</v>
      </c>
      <c r="E339" t="s">
        <v>76</v>
      </c>
    </row>
    <row r="340" spans="1:5">
      <c r="A340" s="4" t="s">
        <v>523</v>
      </c>
      <c r="B340" s="8" t="s">
        <v>334</v>
      </c>
      <c r="C340" s="6" t="str">
        <f t="array" ref="C340">_xlfn.TEXTJOIN(" ",TRUE,IF(D:D=A340,E:E,""))</f>
        <v>ddhub:TorqueGradientPerLengthQuantity</v>
      </c>
      <c r="D340" t="s">
        <v>507</v>
      </c>
      <c r="E340" t="s">
        <v>89</v>
      </c>
    </row>
    <row r="341" spans="1:5">
      <c r="A341" s="4" t="s">
        <v>524</v>
      </c>
      <c r="B341" s="8" t="s">
        <v>34</v>
      </c>
      <c r="C341" s="6" t="str">
        <f t="array" ref="C341">_xlfn.TEXTJOIN(" ",TRUE,IF(D:D=A341,E:E,""))</f>
        <v>ddhub:GravitationalLoadQuantity ddhub:MassQuantity</v>
      </c>
      <c r="D341" t="s">
        <v>508</v>
      </c>
      <c r="E341" t="s">
        <v>89</v>
      </c>
    </row>
    <row r="342" spans="1:5">
      <c r="A342" s="4" t="s">
        <v>526</v>
      </c>
      <c r="B342" s="8" t="s">
        <v>1275</v>
      </c>
      <c r="C342" s="6" t="str">
        <f t="array" ref="C342">_xlfn.TEXTJOIN(" ",TRUE,IF(D:D=A342,E:E,""))</f>
        <v>ddhub:TensionQuantity ddhub:ForceQuantity</v>
      </c>
      <c r="D342" t="s">
        <v>509</v>
      </c>
      <c r="E342" t="s">
        <v>89</v>
      </c>
    </row>
    <row r="343" spans="1:5">
      <c r="A343" s="4" t="s">
        <v>529</v>
      </c>
      <c r="B343" s="8" t="s">
        <v>236</v>
      </c>
      <c r="C343" s="6" t="str">
        <f t="array" ref="C343">_xlfn.TEXTJOIN(" ",TRUE,IF(D:D=A343,E:E,""))</f>
        <v>ddhub:TorqueQuantity</v>
      </c>
      <c r="D343" t="s">
        <v>510</v>
      </c>
      <c r="E343" t="s">
        <v>89</v>
      </c>
    </row>
    <row r="344" spans="1:5">
      <c r="A344" s="4" t="s">
        <v>530</v>
      </c>
      <c r="B344" s="8" t="s">
        <v>238</v>
      </c>
      <c r="C344" s="6" t="str">
        <f t="array" ref="C344">_xlfn.TEXTJOIN(" ",TRUE,IF(D:D=A344,E:E,""))</f>
        <v>ddhub:TorqueGradientPerLengthQuantity</v>
      </c>
      <c r="D344" t="s">
        <v>511</v>
      </c>
      <c r="E344" t="s">
        <v>89</v>
      </c>
    </row>
    <row r="345" spans="1:5">
      <c r="A345" s="4" t="s">
        <v>531</v>
      </c>
      <c r="B345" s="8" t="s">
        <v>238</v>
      </c>
      <c r="C345" s="6" t="str">
        <f t="array" ref="C345">_xlfn.TEXTJOIN(" ",TRUE,IF(D:D=A345,E:E,""))</f>
        <v>ddhub:TorqueGradientPerLengthQuantity</v>
      </c>
      <c r="D345" t="s">
        <v>512</v>
      </c>
      <c r="E345" t="s">
        <v>111</v>
      </c>
    </row>
    <row r="346" spans="1:5">
      <c r="A346" s="4" t="s">
        <v>532</v>
      </c>
      <c r="B346" s="8" t="s">
        <v>238</v>
      </c>
      <c r="C346" s="6" t="str">
        <f t="array" ref="C346">_xlfn.TEXTJOIN(" ",TRUE,IF(D:D=A346,E:E,""))</f>
        <v>ddhub:TorqueGradientPerLengthQuantity</v>
      </c>
      <c r="D346" t="s">
        <v>514</v>
      </c>
      <c r="E346" t="s">
        <v>89</v>
      </c>
    </row>
    <row r="347" spans="1:5">
      <c r="A347" s="4" t="s">
        <v>533</v>
      </c>
      <c r="B347" s="8" t="s">
        <v>238</v>
      </c>
      <c r="C347" s="6" t="str">
        <f t="array" ref="C347">_xlfn.TEXTJOIN(" ",TRUE,IF(D:D=A347,E:E,""))</f>
        <v>ddhub:TorqueGradientPerLengthQuantity</v>
      </c>
      <c r="D347" t="s">
        <v>515</v>
      </c>
      <c r="E347" t="s">
        <v>71</v>
      </c>
    </row>
    <row r="348" spans="1:5">
      <c r="A348" s="4" t="s">
        <v>534</v>
      </c>
      <c r="B348" s="8" t="s">
        <v>238</v>
      </c>
      <c r="C348" s="6" t="str">
        <f t="array" ref="C348">_xlfn.TEXTJOIN(" ",TRUE,IF(D:D=A348,E:E,""))</f>
        <v>ddhub:TorqueGradientPerLengthQuantity</v>
      </c>
      <c r="D348" t="s">
        <v>516</v>
      </c>
      <c r="E348" t="s">
        <v>2281</v>
      </c>
    </row>
    <row r="349" spans="1:5">
      <c r="A349" s="4" t="s">
        <v>535</v>
      </c>
      <c r="B349" s="8" t="s">
        <v>238</v>
      </c>
      <c r="C349" s="6" t="str">
        <f t="array" ref="C349">_xlfn.TEXTJOIN(" ",TRUE,IF(D:D=A349,E:E,""))</f>
        <v>ddhub:TorqueGradientPerLengthQuantity</v>
      </c>
      <c r="D349" t="s">
        <v>516</v>
      </c>
      <c r="E349" t="s">
        <v>1275</v>
      </c>
    </row>
    <row r="350" spans="1:5">
      <c r="A350" s="4" t="s">
        <v>536</v>
      </c>
      <c r="B350" s="8" t="s">
        <v>416</v>
      </c>
      <c r="C350" s="6" t="str">
        <f t="array" ref="C350">_xlfn.TEXTJOIN(" ",TRUE,IF(D:D=A350,E:E,""))</f>
        <v>ddhub:MassDensityQuantity</v>
      </c>
      <c r="D350" t="s">
        <v>517</v>
      </c>
      <c r="E350" t="s">
        <v>236</v>
      </c>
    </row>
    <row r="351" spans="1:5">
      <c r="A351" s="4" t="s">
        <v>537</v>
      </c>
      <c r="B351" s="8" t="s">
        <v>418</v>
      </c>
      <c r="C351" s="6" t="str">
        <f t="array" ref="C351">_xlfn.TEXTJOIN(" ",TRUE,IF(D:D=A351,E:E,""))</f>
        <v>ddhub:MassDensityGradientPerLengthQuantity</v>
      </c>
      <c r="D351" t="s">
        <v>518</v>
      </c>
      <c r="E351" t="s">
        <v>238</v>
      </c>
    </row>
    <row r="352" spans="1:5">
      <c r="A352" s="4" t="s">
        <v>538</v>
      </c>
      <c r="B352" s="8" t="s">
        <v>418</v>
      </c>
      <c r="C352" s="6" t="str">
        <f t="array" ref="C352">_xlfn.TEXTJOIN(" ",TRUE,IF(D:D=A352,E:E,""))</f>
        <v>ddhub:MassDensityGradientPerLengthQuantity</v>
      </c>
      <c r="D352" t="s">
        <v>519</v>
      </c>
      <c r="E352" t="s">
        <v>238</v>
      </c>
    </row>
    <row r="353" spans="1:5">
      <c r="A353" s="4" t="s">
        <v>539</v>
      </c>
      <c r="B353" s="8" t="s">
        <v>418</v>
      </c>
      <c r="C353" s="6" t="str">
        <f t="array" ref="C353">_xlfn.TEXTJOIN(" ",TRUE,IF(D:D=A353,E:E,""))</f>
        <v>ddhub:MassDensityGradientPerLengthQuantity</v>
      </c>
      <c r="D353" t="s">
        <v>520</v>
      </c>
      <c r="E353" t="s">
        <v>238</v>
      </c>
    </row>
    <row r="354" spans="1:5">
      <c r="A354" s="4" t="s">
        <v>540</v>
      </c>
      <c r="B354" s="8" t="s">
        <v>418</v>
      </c>
      <c r="C354" s="6" t="str">
        <f t="array" ref="C354">_xlfn.TEXTJOIN(" ",TRUE,IF(D:D=A354,E:E,""))</f>
        <v>ddhub:MassDensityGradientPerTemperatureQuantity</v>
      </c>
      <c r="D354" t="s">
        <v>521</v>
      </c>
      <c r="E354" t="s">
        <v>238</v>
      </c>
    </row>
    <row r="355" spans="1:5">
      <c r="A355" s="4" t="s">
        <v>541</v>
      </c>
      <c r="B355" s="8" t="s">
        <v>418</v>
      </c>
      <c r="C355" s="6" t="str">
        <f t="array" ref="C355">_xlfn.TEXTJOIN(" ",TRUE,IF(D:D=A355,E:E,""))</f>
        <v>ddhub:MassDensityGradientPerLengthQuantity</v>
      </c>
      <c r="D355" t="s">
        <v>522</v>
      </c>
      <c r="E355" t="s">
        <v>238</v>
      </c>
    </row>
    <row r="356" spans="1:5">
      <c r="A356" s="4" t="s">
        <v>542</v>
      </c>
      <c r="B356" s="8" t="s">
        <v>426</v>
      </c>
      <c r="C356" s="6" t="str">
        <f t="array" ref="C356">_xlfn.TEXTJOIN(" ",TRUE,IF(D:D=A356,E:E,""))</f>
        <v>ddhub:MassDensityRateOfChangeQuantity</v>
      </c>
      <c r="D356" t="s">
        <v>523</v>
      </c>
      <c r="E356" t="s">
        <v>238</v>
      </c>
    </row>
    <row r="357" spans="1:5">
      <c r="A357" s="4" t="s">
        <v>544</v>
      </c>
      <c r="B357" s="8" t="s">
        <v>545</v>
      </c>
      <c r="C357" s="6" t="str">
        <f t="array" ref="C357">_xlfn.TEXTJOIN(" ",TRUE,IF(D:D=A357,E:E,""))</f>
        <v>ddhub:MassRateQuantity</v>
      </c>
      <c r="D357" t="s">
        <v>524</v>
      </c>
      <c r="E357" t="s">
        <v>2283</v>
      </c>
    </row>
    <row r="358" spans="1:5">
      <c r="A358" s="4" t="s">
        <v>546</v>
      </c>
      <c r="B358" s="8" t="s">
        <v>432</v>
      </c>
      <c r="C358" s="6" t="str">
        <f t="array" ref="C358">_xlfn.TEXTJOIN(" ",TRUE,IF(D:D=A358,E:E,""))</f>
        <v>ddhub:MassGradientPerLengthQuantity</v>
      </c>
      <c r="D358" t="s">
        <v>524</v>
      </c>
      <c r="E358" t="s">
        <v>34</v>
      </c>
    </row>
    <row r="359" spans="1:5">
      <c r="A359" s="4" t="s">
        <v>548</v>
      </c>
      <c r="B359" s="8" t="s">
        <v>545</v>
      </c>
      <c r="C359" s="6" t="str">
        <f t="array" ref="C359">_xlfn.TEXTJOIN(" ",TRUE,IF(D:D=A359,E:E,""))</f>
        <v>ddhub:MassRateQuantity</v>
      </c>
      <c r="D359" t="s">
        <v>526</v>
      </c>
      <c r="E359" t="s">
        <v>2281</v>
      </c>
    </row>
    <row r="360" spans="1:5">
      <c r="A360" s="4" t="s">
        <v>549</v>
      </c>
      <c r="B360" s="8" t="s">
        <v>545</v>
      </c>
      <c r="C360" s="6" t="str">
        <f t="array" ref="C360">_xlfn.TEXTJOIN(" ",TRUE,IF(D:D=A360,E:E,""))</f>
        <v>ddhub:MassRateQuantity</v>
      </c>
      <c r="D360" t="s">
        <v>526</v>
      </c>
      <c r="E360" t="s">
        <v>1275</v>
      </c>
    </row>
    <row r="361" spans="1:5">
      <c r="A361" s="4" t="s">
        <v>550</v>
      </c>
      <c r="B361" s="8" t="s">
        <v>545</v>
      </c>
      <c r="C361" s="6" t="str">
        <f t="array" ref="C361">_xlfn.TEXTJOIN(" ",TRUE,IF(D:D=A361,E:E,""))</f>
        <v>ddhub:MassRateQuantity</v>
      </c>
      <c r="D361" t="s">
        <v>529</v>
      </c>
      <c r="E361" t="s">
        <v>236</v>
      </c>
    </row>
    <row r="362" spans="1:5">
      <c r="A362" s="4" t="s">
        <v>551</v>
      </c>
      <c r="B362" s="8" t="s">
        <v>384</v>
      </c>
      <c r="C362" s="6" t="str">
        <f t="array" ref="C362">_xlfn.TEXTJOIN(" ",TRUE,IF(D:D=A362,E:E,""))</f>
        <v>ddhub:FrequencyQuantity</v>
      </c>
      <c r="D362" t="s">
        <v>530</v>
      </c>
      <c r="E362" t="s">
        <v>238</v>
      </c>
    </row>
    <row r="363" spans="1:5">
      <c r="A363" s="4" t="s">
        <v>553</v>
      </c>
      <c r="B363" s="8" t="s">
        <v>384</v>
      </c>
      <c r="C363" s="6" t="str">
        <f t="array" ref="C363">_xlfn.TEXTJOIN(" ",TRUE,IF(D:D=A363,E:E,""))</f>
        <v>ddhub:FrequencyRateOfChangeQuantity</v>
      </c>
      <c r="D363" t="s">
        <v>531</v>
      </c>
      <c r="E363" t="s">
        <v>238</v>
      </c>
    </row>
    <row r="364" spans="1:5">
      <c r="A364" s="4" t="s">
        <v>554</v>
      </c>
      <c r="B364" s="8" t="s">
        <v>384</v>
      </c>
      <c r="C364" s="6" t="str">
        <f t="array" ref="C364">_xlfn.TEXTJOIN(" ",TRUE,IF(D:D=A364,E:E,""))</f>
        <v>ddhub:FrequencyRateOfChangeQuantity</v>
      </c>
      <c r="D364" t="s">
        <v>532</v>
      </c>
      <c r="E364" t="s">
        <v>238</v>
      </c>
    </row>
    <row r="365" spans="1:5">
      <c r="A365" s="4" t="s">
        <v>555</v>
      </c>
      <c r="B365" s="8" t="s">
        <v>384</v>
      </c>
      <c r="C365" s="6" t="str">
        <f t="array" ref="C365">_xlfn.TEXTJOIN(" ",TRUE,IF(D:D=A365,E:E,""))</f>
        <v>ddhub:FrequencyRateOfChangeQuantity</v>
      </c>
      <c r="D365" t="s">
        <v>533</v>
      </c>
      <c r="E365" t="s">
        <v>238</v>
      </c>
    </row>
    <row r="366" spans="1:5">
      <c r="A366" s="4" t="s">
        <v>556</v>
      </c>
      <c r="B366" s="8" t="s">
        <v>384</v>
      </c>
      <c r="C366" s="6" t="str">
        <f t="array" ref="C366">_xlfn.TEXTJOIN(" ",TRUE,IF(D:D=A366,E:E,""))</f>
        <v>ddhub:FrequencyRateOfChangeQuantity</v>
      </c>
      <c r="D366" t="s">
        <v>534</v>
      </c>
      <c r="E366" t="s">
        <v>238</v>
      </c>
    </row>
    <row r="367" spans="1:5">
      <c r="A367" s="4" t="s">
        <v>557</v>
      </c>
      <c r="B367" s="8" t="s">
        <v>384</v>
      </c>
      <c r="C367" s="6" t="str">
        <f t="array" ref="C367">_xlfn.TEXTJOIN(" ",TRUE,IF(D:D=A367,E:E,""))</f>
        <v>ddhub:FrequencyRateOfChangeQuantity</v>
      </c>
      <c r="D367" t="s">
        <v>535</v>
      </c>
      <c r="E367" t="s">
        <v>238</v>
      </c>
    </row>
    <row r="368" spans="1:5">
      <c r="A368" s="4" t="s">
        <v>558</v>
      </c>
      <c r="B368" s="8" t="s">
        <v>76</v>
      </c>
      <c r="C368" s="6" t="str">
        <f t="array" ref="C368">_xlfn.TEXTJOIN(" ",TRUE,IF(D:D=A368,E:E,""))</f>
        <v>ddhub:EnergyQuantity</v>
      </c>
      <c r="D368" t="s">
        <v>536</v>
      </c>
      <c r="E368" t="s">
        <v>416</v>
      </c>
    </row>
    <row r="369" spans="1:5">
      <c r="A369" s="4" t="s">
        <v>560</v>
      </c>
      <c r="B369" s="8" t="s">
        <v>89</v>
      </c>
      <c r="C369" s="6" t="str">
        <f t="array" ref="C369">_xlfn.TEXTJOIN(" ",TRUE,IF(D:D=A369,E:E,""))</f>
        <v>ddhub:EnergyDensityQuantity</v>
      </c>
      <c r="D369" t="s">
        <v>537</v>
      </c>
      <c r="E369" t="s">
        <v>418</v>
      </c>
    </row>
    <row r="370" spans="1:5">
      <c r="A370" s="4" t="s">
        <v>561</v>
      </c>
      <c r="B370" s="8" t="s">
        <v>89</v>
      </c>
      <c r="C370" s="6" t="str">
        <f t="array" ref="C370">_xlfn.TEXTJOIN(" ",TRUE,IF(D:D=A370,E:E,""))</f>
        <v>ddhub:EnergyDensityQuantity</v>
      </c>
      <c r="D370" t="s">
        <v>538</v>
      </c>
      <c r="E370" t="s">
        <v>418</v>
      </c>
    </row>
    <row r="371" spans="1:5">
      <c r="A371" s="4" t="s">
        <v>562</v>
      </c>
      <c r="B371" s="8" t="s">
        <v>89</v>
      </c>
      <c r="C371" s="6" t="str">
        <f t="array" ref="C371">_xlfn.TEXTJOIN(" ",TRUE,IF(D:D=A371,E:E,""))</f>
        <v>ddhub:EnergyDensityQuantity</v>
      </c>
      <c r="D371" t="s">
        <v>539</v>
      </c>
      <c r="E371" t="s">
        <v>418</v>
      </c>
    </row>
    <row r="372" spans="1:5">
      <c r="A372" s="4" t="s">
        <v>563</v>
      </c>
      <c r="B372" s="8" t="s">
        <v>89</v>
      </c>
      <c r="C372" s="6" t="str">
        <f t="array" ref="C372">_xlfn.TEXTJOIN(" ",TRUE,IF(D:D=A372,E:E,""))</f>
        <v>ddhub:EnergyDensityQuantity</v>
      </c>
      <c r="D372" t="s">
        <v>540</v>
      </c>
      <c r="E372" t="s">
        <v>423</v>
      </c>
    </row>
    <row r="373" spans="1:5">
      <c r="A373" s="4" t="s">
        <v>564</v>
      </c>
      <c r="B373" s="8" t="s">
        <v>89</v>
      </c>
      <c r="C373" s="6" t="str">
        <f t="array" ref="C373">_xlfn.TEXTJOIN(" ",TRUE,IF(D:D=A373,E:E,""))</f>
        <v>ddhub:EnergyDensityQuantity</v>
      </c>
      <c r="D373" t="s">
        <v>541</v>
      </c>
      <c r="E373" t="s">
        <v>418</v>
      </c>
    </row>
    <row r="374" spans="1:5">
      <c r="A374" s="4" t="s">
        <v>565</v>
      </c>
      <c r="B374" s="8" t="s">
        <v>89</v>
      </c>
      <c r="C374" s="6" t="str">
        <f t="array" ref="C374">_xlfn.TEXTJOIN(" ",TRUE,IF(D:D=A374,E:E,""))</f>
        <v>ddhub:EnergyDensityQuantity</v>
      </c>
      <c r="D374" t="s">
        <v>542</v>
      </c>
      <c r="E374" t="s">
        <v>426</v>
      </c>
    </row>
    <row r="375" spans="1:5">
      <c r="A375" s="4" t="s">
        <v>566</v>
      </c>
      <c r="B375" s="8" t="s">
        <v>9</v>
      </c>
      <c r="C375" s="6" t="str">
        <f t="array" ref="C375">_xlfn.TEXTJOIN(" ",TRUE,IF(D:D=A375,E:E,""))</f>
        <v>ddhub:MagneticFluxQuantity</v>
      </c>
      <c r="D375" t="s">
        <v>544</v>
      </c>
      <c r="E375" t="s">
        <v>545</v>
      </c>
    </row>
    <row r="376" spans="1:5">
      <c r="A376" s="4" t="s">
        <v>567</v>
      </c>
      <c r="B376" s="5" t="s">
        <v>9</v>
      </c>
      <c r="C376" s="6" t="str">
        <f t="array" ref="C376">_xlfn.TEXTJOIN(" ",TRUE,IF(D:D=A376,E:E,""))</f>
        <v>ddhub:LengthQuantity</v>
      </c>
      <c r="D376" t="s">
        <v>546</v>
      </c>
      <c r="E376" t="s">
        <v>432</v>
      </c>
    </row>
    <row r="377" spans="1:5">
      <c r="A377" s="4" t="s">
        <v>569</v>
      </c>
      <c r="B377" s="8" t="s">
        <v>172</v>
      </c>
      <c r="C377" s="6" t="str">
        <f t="array" ref="C377">_xlfn.TEXTJOIN(" ",TRUE,IF(D:D=A377,E:E,""))</f>
        <v>ddhub:VelocityQuantity</v>
      </c>
      <c r="D377" t="s">
        <v>548</v>
      </c>
      <c r="E377" t="s">
        <v>545</v>
      </c>
    </row>
    <row r="378" spans="1:5">
      <c r="A378" s="4" t="s">
        <v>570</v>
      </c>
      <c r="B378" s="8" t="s">
        <v>172</v>
      </c>
      <c r="C378" s="6" t="str">
        <f t="array" ref="C378">_xlfn.TEXTJOIN(" ",TRUE,IF(D:D=A378,E:E,""))</f>
        <v>ddhub:VelocityQuantity</v>
      </c>
      <c r="D378" t="s">
        <v>549</v>
      </c>
      <c r="E378" t="s">
        <v>545</v>
      </c>
    </row>
    <row r="379" spans="1:5">
      <c r="A379" s="4" t="s">
        <v>571</v>
      </c>
      <c r="B379" s="8" t="s">
        <v>176</v>
      </c>
      <c r="C379" s="6" t="str">
        <f t="array" ref="C379">_xlfn.TEXTJOIN(" ",TRUE,IF(D:D=A379,E:E,""))</f>
        <v>ddhub:AccelerationQuantity</v>
      </c>
      <c r="D379" t="s">
        <v>550</v>
      </c>
      <c r="E379" t="s">
        <v>545</v>
      </c>
    </row>
    <row r="380" spans="1:5">
      <c r="A380" s="4" t="s">
        <v>572</v>
      </c>
      <c r="B380" s="8" t="s">
        <v>172</v>
      </c>
      <c r="C380" s="6" t="str">
        <f t="array" ref="C380">_xlfn.TEXTJOIN(" ",TRUE,IF(D:D=A380,E:E,""))</f>
        <v>ddhub:VelocityQuantity</v>
      </c>
      <c r="D380" t="s">
        <v>551</v>
      </c>
      <c r="E380" t="s">
        <v>384</v>
      </c>
    </row>
    <row r="381" spans="1:5">
      <c r="A381" s="4" t="s">
        <v>573</v>
      </c>
      <c r="B381" s="8" t="s">
        <v>176</v>
      </c>
      <c r="C381" s="6" t="str">
        <f t="array" ref="C381">_xlfn.TEXTJOIN(" ",TRUE,IF(D:D=A381,E:E,""))</f>
        <v>ddhub:AccelerationQuantity</v>
      </c>
      <c r="D381" t="s">
        <v>558</v>
      </c>
      <c r="E381" t="s">
        <v>76</v>
      </c>
    </row>
    <row r="382" spans="1:5">
      <c r="A382" s="4" t="s">
        <v>574</v>
      </c>
      <c r="B382" s="8" t="s">
        <v>172</v>
      </c>
      <c r="C382" s="6" t="str">
        <f t="array" ref="C382">_xlfn.TEXTJOIN(" ",TRUE,IF(D:D=A382,E:E,""))</f>
        <v>ddhub:VelocityQuantity</v>
      </c>
      <c r="D382" t="s">
        <v>560</v>
      </c>
      <c r="E382" t="s">
        <v>89</v>
      </c>
    </row>
    <row r="383" spans="1:5">
      <c r="A383" s="4" t="s">
        <v>575</v>
      </c>
      <c r="B383" s="8" t="s">
        <v>176</v>
      </c>
      <c r="C383" s="6" t="str">
        <f t="array" ref="C383">_xlfn.TEXTJOIN(" ",TRUE,IF(D:D=A383,E:E,""))</f>
        <v>ddhub:AccelerationQuantity</v>
      </c>
      <c r="D383" t="s">
        <v>561</v>
      </c>
      <c r="E383" t="s">
        <v>89</v>
      </c>
    </row>
    <row r="384" spans="1:5">
      <c r="A384" s="4" t="s">
        <v>576</v>
      </c>
      <c r="B384" s="8" t="s">
        <v>192</v>
      </c>
      <c r="C384" s="6" t="str">
        <f t="array" ref="C384">_xlfn.TEXTJOIN(" ",TRUE,IF(D:D=A384,E:E,""))</f>
        <v>ddhub:AmountSubstanceQuantity</v>
      </c>
      <c r="D384" t="s">
        <v>562</v>
      </c>
      <c r="E384" t="s">
        <v>89</v>
      </c>
    </row>
    <row r="385" spans="1:5">
      <c r="A385" s="4" t="s">
        <v>577</v>
      </c>
      <c r="B385" s="8" t="s">
        <v>1275</v>
      </c>
      <c r="C385" s="6" t="str">
        <f t="array" ref="C385">_xlfn.TEXTJOIN(" ",TRUE,IF(D:D=A385,E:E,""))</f>
        <v>ddhub:TensionQuantity ddhub:ForceQuantity</v>
      </c>
      <c r="D385" t="s">
        <v>563</v>
      </c>
      <c r="E385" t="s">
        <v>89</v>
      </c>
    </row>
    <row r="386" spans="1:5">
      <c r="A386" s="4" t="s">
        <v>579</v>
      </c>
      <c r="B386" s="8" t="s">
        <v>236</v>
      </c>
      <c r="C386" s="6" t="str">
        <f t="array" ref="C386">_xlfn.TEXTJOIN(" ",TRUE,IF(D:D=A386,E:E,""))</f>
        <v>ddhub:TorqueQuantity</v>
      </c>
      <c r="D386" t="s">
        <v>564</v>
      </c>
      <c r="E386" t="s">
        <v>89</v>
      </c>
    </row>
    <row r="387" spans="1:5">
      <c r="A387" s="4" t="s">
        <v>581</v>
      </c>
      <c r="B387" s="8" t="s">
        <v>238</v>
      </c>
      <c r="C387" s="6" t="str">
        <f t="array" ref="C387">_xlfn.TEXTJOIN(" ",TRUE,IF(D:D=A387,E:E,""))</f>
        <v>ddhub:TorqueGradientPerLengthQuantity</v>
      </c>
      <c r="D387" t="s">
        <v>565</v>
      </c>
      <c r="E387" t="s">
        <v>89</v>
      </c>
    </row>
    <row r="388" spans="1:5">
      <c r="A388" s="4" t="s">
        <v>582</v>
      </c>
      <c r="B388" s="8" t="s">
        <v>238</v>
      </c>
      <c r="C388" s="6" t="str">
        <f t="array" ref="C388">_xlfn.TEXTJOIN(" ",TRUE,IF(D:D=A388,E:E,""))</f>
        <v>ddhub:TorqueGradientPerLengthQuantity</v>
      </c>
      <c r="D388" t="s">
        <v>566</v>
      </c>
      <c r="E388" t="s">
        <v>381</v>
      </c>
    </row>
    <row r="389" spans="1:5">
      <c r="A389" s="4" t="s">
        <v>583</v>
      </c>
      <c r="B389" s="8" t="s">
        <v>238</v>
      </c>
      <c r="C389" s="6" t="str">
        <f t="array" ref="C389">_xlfn.TEXTJOIN(" ",TRUE,IF(D:D=A389,E:E,""))</f>
        <v>ddhub:TorqueGradientPerLengthQuantity</v>
      </c>
      <c r="D389" t="s">
        <v>567</v>
      </c>
      <c r="E389" t="s">
        <v>9</v>
      </c>
    </row>
    <row r="390" spans="1:5">
      <c r="A390" s="4" t="s">
        <v>584</v>
      </c>
      <c r="B390" s="8" t="s">
        <v>238</v>
      </c>
      <c r="C390" s="6" t="str">
        <f t="array" ref="C390">_xlfn.TEXTJOIN(" ",TRUE,IF(D:D=A390,E:E,""))</f>
        <v>ddhub:TorqueGradientPerLengthQuantity</v>
      </c>
      <c r="D390" t="s">
        <v>569</v>
      </c>
      <c r="E390" t="s">
        <v>172</v>
      </c>
    </row>
    <row r="391" spans="1:5">
      <c r="A391" s="4" t="s">
        <v>585</v>
      </c>
      <c r="B391" s="8" t="s">
        <v>238</v>
      </c>
      <c r="C391" s="6" t="str">
        <f t="array" ref="C391">_xlfn.TEXTJOIN(" ",TRUE,IF(D:D=A391,E:E,""))</f>
        <v>ddhub:TorqueGradientPerLengthQuantity</v>
      </c>
      <c r="D391" t="s">
        <v>570</v>
      </c>
      <c r="E391" t="s">
        <v>172</v>
      </c>
    </row>
    <row r="392" spans="1:5">
      <c r="A392" s="4" t="s">
        <v>586</v>
      </c>
      <c r="B392" s="8" t="s">
        <v>238</v>
      </c>
      <c r="C392" s="6" t="str">
        <f t="array" ref="C392">_xlfn.TEXTJOIN(" ",TRUE,IF(D:D=A392,E:E,""))</f>
        <v>ddhub:TorqueGradientPerLengthQuantity</v>
      </c>
      <c r="D392" t="s">
        <v>571</v>
      </c>
      <c r="E392" t="s">
        <v>176</v>
      </c>
    </row>
    <row r="393" spans="1:5">
      <c r="A393" s="4" t="s">
        <v>587</v>
      </c>
      <c r="B393" s="8" t="s">
        <v>246</v>
      </c>
      <c r="C393" s="6" t="str">
        <f t="array" ref="C393">_xlfn.TEXTJOIN(" ",TRUE,IF(D:D=A393,E:E,""))</f>
        <v>ddhub:ForceGradientPerLengthQuantity</v>
      </c>
      <c r="D393" t="s">
        <v>572</v>
      </c>
      <c r="E393" t="s">
        <v>172</v>
      </c>
    </row>
    <row r="394" spans="1:5">
      <c r="A394" s="4" t="s">
        <v>588</v>
      </c>
      <c r="B394" s="8" t="s">
        <v>246</v>
      </c>
      <c r="C394" s="6" t="str">
        <f t="array" ref="C394">_xlfn.TEXTJOIN(" ",TRUE,IF(D:D=A394,E:E,""))</f>
        <v>ddhub:ForceGradientPerLengthQuantity</v>
      </c>
      <c r="D394" t="s">
        <v>573</v>
      </c>
      <c r="E394" t="s">
        <v>176</v>
      </c>
    </row>
    <row r="395" spans="1:5">
      <c r="A395" s="4" t="s">
        <v>589</v>
      </c>
      <c r="B395" s="8" t="s">
        <v>170</v>
      </c>
      <c r="C395" s="6" t="str">
        <f t="array" ref="C395">_xlfn.TEXTJOIN(" ",TRUE,IF(D:D=A395,E:E,""))</f>
        <v>ddhub:ForceGradientPerLengthQuantity</v>
      </c>
      <c r="D395" t="s">
        <v>574</v>
      </c>
      <c r="E395" t="s">
        <v>172</v>
      </c>
    </row>
    <row r="396" spans="1:5">
      <c r="A396" s="4" t="s">
        <v>590</v>
      </c>
      <c r="B396" s="8" t="s">
        <v>170</v>
      </c>
      <c r="C396" s="6" t="str">
        <f t="array" ref="C396">_xlfn.TEXTJOIN(" ",TRUE,IF(D:D=A396,E:E,""))</f>
        <v>ddhub:ForceGradientPerLengthQuantity</v>
      </c>
      <c r="D396" t="s">
        <v>575</v>
      </c>
      <c r="E396" t="s">
        <v>176</v>
      </c>
    </row>
    <row r="397" spans="1:5">
      <c r="A397" s="4" t="s">
        <v>591</v>
      </c>
      <c r="B397" s="8" t="s">
        <v>246</v>
      </c>
      <c r="C397" s="6" t="str">
        <f t="array" ref="C397">_xlfn.TEXTJOIN(" ",TRUE,IF(D:D=A397,E:E,""))</f>
        <v>ddhub:ForceGradientPerLengthQuantity</v>
      </c>
      <c r="D397" t="s">
        <v>576</v>
      </c>
      <c r="E397" t="s">
        <v>192</v>
      </c>
    </row>
    <row r="398" spans="1:5">
      <c r="A398" s="4" t="s">
        <v>592</v>
      </c>
      <c r="B398" s="8" t="s">
        <v>246</v>
      </c>
      <c r="C398" s="6" t="str">
        <f t="array" ref="C398">_xlfn.TEXTJOIN(" ",TRUE,IF(D:D=A398,E:E,""))</f>
        <v>ddhub:ForceGradientPerLengthQuantity</v>
      </c>
      <c r="D398" t="s">
        <v>577</v>
      </c>
      <c r="E398" t="s">
        <v>2281</v>
      </c>
    </row>
    <row r="399" spans="1:5">
      <c r="A399" s="4" t="s">
        <v>593</v>
      </c>
      <c r="B399" s="8" t="s">
        <v>170</v>
      </c>
      <c r="C399" s="6" t="str">
        <f t="array" ref="C399">_xlfn.TEXTJOIN(" ",TRUE,IF(D:D=A399,E:E,""))</f>
        <v>ddhub:StressQuantity ddhub:PressureQuantity</v>
      </c>
      <c r="D399" t="s">
        <v>577</v>
      </c>
      <c r="E399" t="s">
        <v>1275</v>
      </c>
    </row>
    <row r="400" spans="1:5">
      <c r="A400" s="4" t="s">
        <v>594</v>
      </c>
      <c r="B400" s="8" t="s">
        <v>334</v>
      </c>
      <c r="C400" s="6" t="str">
        <f t="array" ref="C400">_xlfn.TEXTJOIN(" ",TRUE,IF(D:D=A400,E:E,""))</f>
        <v>ddhub:ElectricResistivityQuantity</v>
      </c>
      <c r="D400" t="s">
        <v>579</v>
      </c>
      <c r="E400" t="s">
        <v>236</v>
      </c>
    </row>
    <row r="401" spans="1:5">
      <c r="A401" s="4" t="s">
        <v>595</v>
      </c>
      <c r="B401" s="8" t="s">
        <v>170</v>
      </c>
      <c r="C401" s="6" t="str">
        <f t="array" ref="C401">_xlfn.TEXTJOIN(" ",TRUE,IF(D:D=A401,E:E,""))</f>
        <v>ddhub:StressQuantity ddhub:PressureQuantity</v>
      </c>
      <c r="D401" t="s">
        <v>581</v>
      </c>
      <c r="E401" t="s">
        <v>238</v>
      </c>
    </row>
    <row r="402" spans="1:5">
      <c r="A402" s="4" t="s">
        <v>597</v>
      </c>
      <c r="B402" s="8" t="s">
        <v>34</v>
      </c>
      <c r="C402" s="6" t="str">
        <f t="array" ref="C402">_xlfn.TEXTJOIN(" ",TRUE,IF(D:D=A402,E:E,""))</f>
        <v>ddhub:GravitationalLoadQuantity ddhub:MassQuantity</v>
      </c>
      <c r="D402" t="s">
        <v>582</v>
      </c>
      <c r="E402" t="s">
        <v>238</v>
      </c>
    </row>
    <row r="403" spans="1:5">
      <c r="A403" s="4" t="s">
        <v>598</v>
      </c>
      <c r="B403" s="8" t="s">
        <v>1275</v>
      </c>
      <c r="C403" s="6" t="str">
        <f t="array" ref="C403">_xlfn.TEXTJOIN(" ",TRUE,IF(D:D=A403,E:E,""))</f>
        <v>ddhub:TensionQuantity ddhub:ForceQuantity</v>
      </c>
      <c r="D403" t="s">
        <v>583</v>
      </c>
      <c r="E403" t="s">
        <v>238</v>
      </c>
    </row>
    <row r="404" spans="1:5">
      <c r="A404" s="4" t="s">
        <v>599</v>
      </c>
      <c r="B404" s="8" t="s">
        <v>432</v>
      </c>
      <c r="C404" s="6" t="str">
        <f t="array" ref="C404">_xlfn.TEXTJOIN(" ",TRUE,IF(D:D=A404,E:E,""))</f>
        <v>ddhub:ForceGradientPerLengthQuantity</v>
      </c>
      <c r="D404" t="s">
        <v>584</v>
      </c>
      <c r="E404" t="s">
        <v>238</v>
      </c>
    </row>
    <row r="405" spans="1:5">
      <c r="A405" s="4" t="s">
        <v>600</v>
      </c>
      <c r="B405" s="8" t="s">
        <v>432</v>
      </c>
      <c r="C405" s="6" t="str">
        <f t="array" ref="C405">_xlfn.TEXTJOIN(" ",TRUE,IF(D:D=A405,E:E,""))</f>
        <v>ddhub:ForceGradientPerLengthQuantity</v>
      </c>
      <c r="D405" t="s">
        <v>585</v>
      </c>
      <c r="E405" t="s">
        <v>238</v>
      </c>
    </row>
    <row r="406" spans="1:5">
      <c r="A406" s="4" t="s">
        <v>601</v>
      </c>
      <c r="B406" s="8" t="s">
        <v>432</v>
      </c>
      <c r="C406" s="6" t="str">
        <f t="array" ref="C406">_xlfn.TEXTJOIN(" ",TRUE,IF(D:D=A406,E:E,""))</f>
        <v>ddhub:ForceGradientPerLengthQuantity</v>
      </c>
      <c r="D406" t="s">
        <v>586</v>
      </c>
      <c r="E406" t="s">
        <v>238</v>
      </c>
    </row>
    <row r="407" spans="1:5">
      <c r="A407" s="4" t="s">
        <v>602</v>
      </c>
      <c r="B407" s="8" t="s">
        <v>432</v>
      </c>
      <c r="C407" s="6" t="str">
        <f t="array" ref="C407">_xlfn.TEXTJOIN(" ",TRUE,IF(D:D=A407,E:E,""))</f>
        <v>ddhub:ForceGradientPerLengthQuantity</v>
      </c>
      <c r="D407" t="s">
        <v>587</v>
      </c>
      <c r="E407" t="s">
        <v>246</v>
      </c>
    </row>
    <row r="408" spans="1:5">
      <c r="A408" s="4" t="s">
        <v>603</v>
      </c>
      <c r="B408" s="8" t="s">
        <v>170</v>
      </c>
      <c r="C408" s="6" t="str">
        <f t="array" ref="C408">_xlfn.TEXTJOIN(" ",TRUE,IF(D:D=A408,E:E,""))</f>
        <v>ddhub:StressQuantity ddhub:PressureQuantity</v>
      </c>
      <c r="D408" t="s">
        <v>588</v>
      </c>
      <c r="E408" t="s">
        <v>246</v>
      </c>
    </row>
    <row r="409" spans="1:5">
      <c r="A409" s="4" t="s">
        <v>604</v>
      </c>
      <c r="B409" s="8" t="s">
        <v>34</v>
      </c>
      <c r="C409" s="6" t="str">
        <f t="array" ref="C409">_xlfn.TEXTJOIN(" ",TRUE,IF(D:D=A409,E:E,""))</f>
        <v>ddhub:MassQuantity</v>
      </c>
      <c r="D409" t="s">
        <v>589</v>
      </c>
      <c r="E409" t="s">
        <v>246</v>
      </c>
    </row>
    <row r="410" spans="1:5">
      <c r="A410" s="4" t="s">
        <v>605</v>
      </c>
      <c r="B410" s="8" t="s">
        <v>334</v>
      </c>
      <c r="C410" s="6" t="str">
        <f t="array" ref="C410">_xlfn.TEXTJOIN(" ",TRUE,IF(D:D=A410,E:E,""))</f>
        <v/>
      </c>
      <c r="D410" t="s">
        <v>590</v>
      </c>
      <c r="E410" t="s">
        <v>246</v>
      </c>
    </row>
    <row r="411" spans="1:5">
      <c r="A411" s="4" t="s">
        <v>607</v>
      </c>
      <c r="B411" s="8" t="s">
        <v>38</v>
      </c>
      <c r="C411" s="6" t="str">
        <f t="array" ref="C411">_xlfn.TEXTJOIN(" ",TRUE,IF(D:D=A411,E:E,""))</f>
        <v>ddhub:PowerQuantity</v>
      </c>
      <c r="D411" t="s">
        <v>591</v>
      </c>
      <c r="E411" t="s">
        <v>246</v>
      </c>
    </row>
    <row r="412" spans="1:5">
      <c r="A412" s="4" t="s">
        <v>609</v>
      </c>
      <c r="B412" s="8" t="s">
        <v>172</v>
      </c>
      <c r="C412" s="6" t="str">
        <f t="array" ref="C412">_xlfn.TEXTJOIN(" ",TRUE,IF(D:D=A412,E:E,""))</f>
        <v>ddhub:AccelerationQuantity</v>
      </c>
      <c r="D412" t="s">
        <v>592</v>
      </c>
      <c r="E412" t="s">
        <v>246</v>
      </c>
    </row>
    <row r="413" spans="1:5">
      <c r="A413" s="4" t="s">
        <v>610</v>
      </c>
      <c r="B413" s="8" t="s">
        <v>9</v>
      </c>
      <c r="C413" s="6" t="str">
        <f t="array" ref="C413">_xlfn.TEXTJOIN(" ",TRUE,IF(D:D=A413,E:E,""))</f>
        <v>ddhub:LengthQuantity</v>
      </c>
      <c r="D413" t="s">
        <v>593</v>
      </c>
      <c r="E413" t="s">
        <v>2279</v>
      </c>
    </row>
    <row r="414" spans="1:5">
      <c r="A414" s="4" t="s">
        <v>611</v>
      </c>
      <c r="B414" s="8" t="s">
        <v>9</v>
      </c>
      <c r="C414" s="6" t="str">
        <f t="array" ref="C414">_xlfn.TEXTJOIN(" ",TRUE,IF(D:D=A414,E:E,""))</f>
        <v>ddhub:MagneticFluxQuantity</v>
      </c>
      <c r="D414" t="s">
        <v>593</v>
      </c>
      <c r="E414" t="s">
        <v>170</v>
      </c>
    </row>
    <row r="415" spans="1:5">
      <c r="A415" s="4" t="s">
        <v>612</v>
      </c>
      <c r="B415" s="8" t="s">
        <v>50</v>
      </c>
      <c r="C415" s="6" t="str">
        <f t="array" ref="C415">_xlfn.TEXTJOIN(" ",TRUE,IF(D:D=A415,E:E,""))</f>
        <v>ddhub:VolumeQuantity</v>
      </c>
      <c r="D415" t="s">
        <v>595</v>
      </c>
      <c r="E415" t="s">
        <v>2279</v>
      </c>
    </row>
    <row r="416" spans="1:5">
      <c r="A416" s="4" t="s">
        <v>613</v>
      </c>
      <c r="B416" s="8" t="s">
        <v>56</v>
      </c>
      <c r="C416" s="6" t="str">
        <f t="array" ref="C416">_xlfn.TEXTJOIN(" ",TRUE,IF(D:D=A416,E:E,""))</f>
        <v>ddhub:VolumetricFlowRateQuantity</v>
      </c>
      <c r="D416" t="s">
        <v>595</v>
      </c>
      <c r="E416" t="s">
        <v>170</v>
      </c>
    </row>
    <row r="417" spans="1:5">
      <c r="A417" s="4" t="s">
        <v>614</v>
      </c>
      <c r="B417" s="8" t="s">
        <v>56</v>
      </c>
      <c r="C417" s="6" t="str">
        <f t="array" ref="C417">_xlfn.TEXTJOIN(" ",TRUE,IF(D:D=A417,E:E,""))</f>
        <v>ddhub:VolumetricFlowRateQuantity</v>
      </c>
      <c r="D417" t="s">
        <v>597</v>
      </c>
      <c r="E417" t="s">
        <v>2283</v>
      </c>
    </row>
    <row r="418" spans="1:5">
      <c r="A418" s="4" t="s">
        <v>615</v>
      </c>
      <c r="B418" s="8" t="s">
        <v>56</v>
      </c>
      <c r="C418" s="6" t="str">
        <f t="array" ref="C418">_xlfn.TEXTJOIN(" ",TRUE,IF(D:D=A418,E:E,""))</f>
        <v>ddhub:VolumetricFlowRateQuantity</v>
      </c>
      <c r="D418" t="s">
        <v>597</v>
      </c>
      <c r="E418" t="s">
        <v>34</v>
      </c>
    </row>
    <row r="419" spans="1:5">
      <c r="A419" s="4" t="s">
        <v>616</v>
      </c>
      <c r="B419" s="8" t="s">
        <v>56</v>
      </c>
      <c r="C419" s="6" t="str">
        <f t="array" ref="C419">_xlfn.TEXTJOIN(" ",TRUE,IF(D:D=A419,E:E,""))</f>
        <v>ddhub:VolumetricFlowRateOfChangeQuantity</v>
      </c>
      <c r="D419" t="s">
        <v>598</v>
      </c>
      <c r="E419" t="s">
        <v>2281</v>
      </c>
    </row>
    <row r="420" spans="1:5">
      <c r="A420" s="4" t="s">
        <v>617</v>
      </c>
      <c r="B420" s="8" t="s">
        <v>56</v>
      </c>
      <c r="C420" s="6" t="str">
        <f t="array" ref="C420">_xlfn.TEXTJOIN(" ",TRUE,IF(D:D=A420,E:E,""))</f>
        <v>ddhub:VolumetricFlowRateOfChangeQuantity</v>
      </c>
      <c r="D420" t="s">
        <v>598</v>
      </c>
      <c r="E420" t="s">
        <v>1275</v>
      </c>
    </row>
    <row r="421" spans="1:5">
      <c r="A421" s="4" t="s">
        <v>618</v>
      </c>
      <c r="B421" s="8" t="s">
        <v>56</v>
      </c>
      <c r="C421" s="6" t="str">
        <f t="array" ref="C421">_xlfn.TEXTJOIN(" ",TRUE,IF(D:D=A421,E:E,""))</f>
        <v>ddhub:VolumetricFlowRateQuantity</v>
      </c>
      <c r="D421" t="s">
        <v>599</v>
      </c>
      <c r="E421" t="s">
        <v>246</v>
      </c>
    </row>
    <row r="422" spans="1:5">
      <c r="A422" s="4" t="s">
        <v>619</v>
      </c>
      <c r="B422" s="8" t="s">
        <v>334</v>
      </c>
      <c r="C422" s="6" t="str">
        <f t="array" ref="C422">_xlfn.TEXTJOIN(" ",TRUE,IF(D:D=A422,E:E,""))</f>
        <v>ddhub:VolumetricFlowRateOfChangeQuantity</v>
      </c>
      <c r="D422" t="s">
        <v>600</v>
      </c>
      <c r="E422" t="s">
        <v>246</v>
      </c>
    </row>
    <row r="423" spans="1:5">
      <c r="A423" s="4" t="s">
        <v>620</v>
      </c>
      <c r="B423" s="8" t="s">
        <v>334</v>
      </c>
      <c r="C423" s="6" t="str">
        <f t="array" ref="C423">_xlfn.TEXTJOIN(" ",TRUE,IF(D:D=A423,E:E,""))</f>
        <v>ddhub:VolumetricFlowRateQuantity</v>
      </c>
      <c r="D423" t="s">
        <v>601</v>
      </c>
      <c r="E423" t="s">
        <v>246</v>
      </c>
    </row>
    <row r="424" spans="1:5">
      <c r="A424" s="4" t="s">
        <v>621</v>
      </c>
      <c r="B424" s="8" t="s">
        <v>71</v>
      </c>
      <c r="C424" s="6" t="str">
        <f t="array" ref="C424">_xlfn.TEXTJOIN(" ",TRUE,IF(D:D=A424,E:E,""))</f>
        <v>ddhub:LuminousIntensityQuantity</v>
      </c>
      <c r="D424" t="s">
        <v>602</v>
      </c>
      <c r="E424" t="s">
        <v>246</v>
      </c>
    </row>
    <row r="425" spans="1:5">
      <c r="A425" s="4" t="s">
        <v>622</v>
      </c>
      <c r="B425" s="8" t="s">
        <v>381</v>
      </c>
      <c r="C425" s="6" t="str">
        <f t="array" ref="C425">_xlfn.TEXTJOIN(" ",TRUE,IF(D:D=A425,E:E,""))</f>
        <v>ddhub:MagneticFluxQuantity</v>
      </c>
      <c r="D425" t="s">
        <v>603</v>
      </c>
      <c r="E425" t="s">
        <v>2279</v>
      </c>
    </row>
    <row r="426" spans="1:5">
      <c r="A426" s="4" t="s">
        <v>623</v>
      </c>
      <c r="B426" s="8" t="s">
        <v>381</v>
      </c>
      <c r="C426" s="6" t="str">
        <f t="array" ref="C426">_xlfn.TEXTJOIN(" ",TRUE,IF(D:D=A426,E:E,""))</f>
        <v>ddhub:MagneticFluxQuantity</v>
      </c>
      <c r="D426" t="s">
        <v>603</v>
      </c>
      <c r="E426" t="s">
        <v>170</v>
      </c>
    </row>
    <row r="427" spans="1:5">
      <c r="A427" s="4" t="s">
        <v>624</v>
      </c>
      <c r="B427" s="8" t="s">
        <v>379</v>
      </c>
      <c r="C427" s="6" t="str">
        <f t="array" ref="C427">_xlfn.TEXTJOIN(" ",TRUE,IF(D:D=A427,E:E,""))</f>
        <v>ddhub:MagneticFluxDensityQuantity</v>
      </c>
      <c r="D427" t="s">
        <v>604</v>
      </c>
      <c r="E427" t="s">
        <v>34</v>
      </c>
    </row>
    <row r="428" spans="1:5">
      <c r="A428" s="4" t="s">
        <v>625</v>
      </c>
      <c r="B428" s="8" t="s">
        <v>13</v>
      </c>
      <c r="C428" s="6" t="str">
        <f t="array" ref="C428">_xlfn.TEXTJOIN(" ",TRUE,IF(D:D=A428,E:E,""))</f>
        <v>ddhub:ElectricCurrentQuantity</v>
      </c>
      <c r="D428" t="s">
        <v>607</v>
      </c>
      <c r="E428" t="s">
        <v>38</v>
      </c>
    </row>
    <row r="429" spans="1:5">
      <c r="A429" s="4" t="s">
        <v>626</v>
      </c>
      <c r="B429" s="8" t="s">
        <v>76</v>
      </c>
      <c r="C429" s="6" t="str">
        <f t="array" ref="C429">_xlfn.TEXTJOIN(" ",TRUE,IF(D:D=A429,E:E,""))</f>
        <v>ddhub:EnergyQuantity</v>
      </c>
      <c r="D429" t="s">
        <v>609</v>
      </c>
      <c r="E429" t="s">
        <v>176</v>
      </c>
    </row>
    <row r="430" spans="1:5">
      <c r="A430" s="4" t="s">
        <v>627</v>
      </c>
      <c r="B430" s="8" t="s">
        <v>384</v>
      </c>
      <c r="C430" s="6" t="str">
        <f t="array" ref="C430">_xlfn.TEXTJOIN(" ",TRUE,IF(D:D=A430,E:E,""))</f>
        <v>ddhub:FrequencyQuantity</v>
      </c>
      <c r="D430" t="s">
        <v>610</v>
      </c>
      <c r="E430" t="s">
        <v>9</v>
      </c>
    </row>
    <row r="431" spans="1:5">
      <c r="A431" s="4" t="s">
        <v>629</v>
      </c>
      <c r="B431" s="8" t="s">
        <v>384</v>
      </c>
      <c r="C431" s="6" t="str">
        <f t="array" ref="C431">_xlfn.TEXTJOIN(" ",TRUE,IF(D:D=A431,E:E,""))</f>
        <v>ddhub:FrequencyRateOfChangeQuantity</v>
      </c>
      <c r="D431" t="s">
        <v>611</v>
      </c>
      <c r="E431" t="s">
        <v>381</v>
      </c>
    </row>
    <row r="432" spans="1:5">
      <c r="A432" s="4" t="s">
        <v>630</v>
      </c>
      <c r="B432" s="8" t="s">
        <v>384</v>
      </c>
      <c r="C432" s="6" t="str">
        <f t="array" ref="C432">_xlfn.TEXTJOIN(" ",TRUE,IF(D:D=A432,E:E,""))</f>
        <v>ddhub:FrequencyRateOfChangeQuantity</v>
      </c>
      <c r="D432" t="s">
        <v>612</v>
      </c>
      <c r="E432" t="s">
        <v>50</v>
      </c>
    </row>
    <row r="433" spans="1:5">
      <c r="A433" s="4" t="s">
        <v>631</v>
      </c>
      <c r="B433" s="8" t="s">
        <v>384</v>
      </c>
      <c r="C433" s="6" t="str">
        <f t="array" ref="C433">_xlfn.TEXTJOIN(" ",TRUE,IF(D:D=A433,E:E,""))</f>
        <v>ddhub:FrequencyRateOfChangeQuantity</v>
      </c>
      <c r="D433" t="s">
        <v>613</v>
      </c>
      <c r="E433" t="s">
        <v>56</v>
      </c>
    </row>
    <row r="434" spans="1:5">
      <c r="A434" s="4" t="s">
        <v>632</v>
      </c>
      <c r="B434" s="8" t="s">
        <v>384</v>
      </c>
      <c r="C434" s="6" t="str">
        <f t="array" ref="C434">_xlfn.TEXTJOIN(" ",TRUE,IF(D:D=A434,E:E,""))</f>
        <v>ddhub:FrequencyRateOfChangeQuantity</v>
      </c>
      <c r="D434" t="s">
        <v>614</v>
      </c>
      <c r="E434" t="s">
        <v>56</v>
      </c>
    </row>
    <row r="435" spans="1:5">
      <c r="A435" s="4" t="s">
        <v>633</v>
      </c>
      <c r="B435" s="8" t="s">
        <v>384</v>
      </c>
      <c r="C435" s="6" t="str">
        <f t="array" ref="C435">_xlfn.TEXTJOIN(" ",TRUE,IF(D:D=A435,E:E,""))</f>
        <v>ddhub:FrequencyRateOfChangeQuantity</v>
      </c>
      <c r="D435" t="s">
        <v>615</v>
      </c>
      <c r="E435" t="s">
        <v>56</v>
      </c>
    </row>
    <row r="436" spans="1:5">
      <c r="A436" s="4" t="s">
        <v>634</v>
      </c>
      <c r="B436" s="8" t="s">
        <v>76</v>
      </c>
      <c r="C436" s="6" t="str">
        <f t="array" ref="C436">_xlfn.TEXTJOIN(" ",TRUE,IF(D:D=A436,E:E,""))</f>
        <v>ddhub:EnergyQuantity</v>
      </c>
      <c r="D436" t="s">
        <v>616</v>
      </c>
      <c r="E436" t="s">
        <v>223</v>
      </c>
    </row>
    <row r="437" spans="1:5">
      <c r="A437" s="4" t="s">
        <v>636</v>
      </c>
      <c r="B437" s="8" t="s">
        <v>89</v>
      </c>
      <c r="C437" s="6" t="str">
        <f t="array" ref="C437">_xlfn.TEXTJOIN(" ",TRUE,IF(D:D=A437,E:E,""))</f>
        <v>ddhub:EnergyDensityQuantity</v>
      </c>
      <c r="D437" t="s">
        <v>617</v>
      </c>
      <c r="E437" t="s">
        <v>223</v>
      </c>
    </row>
    <row r="438" spans="1:5">
      <c r="A438" s="4" t="s">
        <v>637</v>
      </c>
      <c r="B438" s="8" t="s">
        <v>89</v>
      </c>
      <c r="C438" s="6" t="str">
        <f t="array" ref="C438">_xlfn.TEXTJOIN(" ",TRUE,IF(D:D=A438,E:E,""))</f>
        <v>ddhub:EnergyDensityQuantity</v>
      </c>
      <c r="D438" t="s">
        <v>618</v>
      </c>
      <c r="E438" t="s">
        <v>56</v>
      </c>
    </row>
    <row r="439" spans="1:5">
      <c r="A439" s="4" t="s">
        <v>638</v>
      </c>
      <c r="B439" s="8" t="s">
        <v>89</v>
      </c>
      <c r="C439" s="6" t="str">
        <f t="array" ref="C439">_xlfn.TEXTJOIN(" ",TRUE,IF(D:D=A439,E:E,""))</f>
        <v>ddhub:EnergyDensityQuantity</v>
      </c>
      <c r="D439" t="s">
        <v>619</v>
      </c>
      <c r="E439" t="s">
        <v>223</v>
      </c>
    </row>
    <row r="440" spans="1:5">
      <c r="A440" s="4" t="s">
        <v>639</v>
      </c>
      <c r="B440" s="8" t="s">
        <v>89</v>
      </c>
      <c r="C440" s="6" t="str">
        <f t="array" ref="C440">_xlfn.TEXTJOIN(" ",TRUE,IF(D:D=A440,E:E,""))</f>
        <v>ddhub:EnergyDensityQuantity</v>
      </c>
      <c r="D440" t="s">
        <v>620</v>
      </c>
      <c r="E440" t="s">
        <v>56</v>
      </c>
    </row>
    <row r="441" spans="1:5">
      <c r="A441" s="4" t="s">
        <v>640</v>
      </c>
      <c r="B441" s="8" t="s">
        <v>89</v>
      </c>
      <c r="C441" s="6" t="str">
        <f t="array" ref="C441">_xlfn.TEXTJOIN(" ",TRUE,IF(D:D=A441,E:E,""))</f>
        <v>ddhub:EnergyDensityQuantity</v>
      </c>
      <c r="D441" t="s">
        <v>621</v>
      </c>
      <c r="E441" t="s">
        <v>71</v>
      </c>
    </row>
    <row r="442" spans="1:5">
      <c r="A442" s="4" t="s">
        <v>641</v>
      </c>
      <c r="B442" s="8" t="s">
        <v>89</v>
      </c>
      <c r="C442" s="6" t="str">
        <f t="array" ref="C442">_xlfn.TEXTJOIN(" ",TRUE,IF(D:D=A442,E:E,""))</f>
        <v>ddhub:EnergyDensityQuantity</v>
      </c>
      <c r="D442" t="s">
        <v>622</v>
      </c>
      <c r="E442" t="s">
        <v>381</v>
      </c>
    </row>
    <row r="443" spans="1:5">
      <c r="A443" s="4" t="s">
        <v>642</v>
      </c>
      <c r="B443" s="8" t="s">
        <v>9</v>
      </c>
      <c r="C443" s="6" t="str">
        <f t="array" ref="C443">_xlfn.TEXTJOIN(" ",TRUE,IF(D:D=A443,E:E,""))</f>
        <v>ddhub:MagneticFluxQuantity</v>
      </c>
      <c r="D443" t="s">
        <v>623</v>
      </c>
      <c r="E443" t="s">
        <v>381</v>
      </c>
    </row>
    <row r="444" spans="1:5">
      <c r="A444" s="4" t="s">
        <v>643</v>
      </c>
      <c r="B444" s="8" t="s">
        <v>334</v>
      </c>
      <c r="C444" s="6" t="str">
        <f t="array" ref="C444">_xlfn.TEXTJOIN(" ",TRUE,IF(D:D=A444,E:E,""))</f>
        <v>ddhub:ElectricResistivityQuantity</v>
      </c>
      <c r="D444" t="s">
        <v>624</v>
      </c>
      <c r="E444" t="s">
        <v>379</v>
      </c>
    </row>
    <row r="445" spans="1:5">
      <c r="A445" s="4" t="s">
        <v>644</v>
      </c>
      <c r="B445" s="8" t="s">
        <v>170</v>
      </c>
      <c r="C445" s="6" t="str">
        <f t="array" ref="C445">_xlfn.TEXTJOIN(" ",TRUE,IF(D:D=A445,E:E,""))</f>
        <v>ddhub:StressQuantity ddhub:PressureQuantity ddhub:MaterialStrengthQuantity</v>
      </c>
      <c r="D445" t="s">
        <v>626</v>
      </c>
      <c r="E445" t="s">
        <v>76</v>
      </c>
    </row>
    <row r="446" spans="1:5">
      <c r="A446" s="4" t="s">
        <v>646</v>
      </c>
      <c r="B446" s="8" t="s">
        <v>170</v>
      </c>
      <c r="C446" s="6" t="str">
        <f t="array" ref="C446">_xlfn.TEXTJOIN(" ",TRUE,IF(D:D=A446,E:E,""))</f>
        <v>ddhub:StressQuantity ddhub:PressureQuantity ddhub:MaterialStrengthQuantity</v>
      </c>
      <c r="D446" t="s">
        <v>629</v>
      </c>
      <c r="E446" t="s">
        <v>386</v>
      </c>
    </row>
    <row r="447" spans="1:5">
      <c r="A447" s="4" t="s">
        <v>647</v>
      </c>
      <c r="B447" s="8" t="s">
        <v>34</v>
      </c>
      <c r="C447" s="6" t="str">
        <f t="array" ref="C447">_xlfn.TEXTJOIN(" ",TRUE,IF(D:D=A447,E:E,""))</f>
        <v>ddhub:MassQuantity</v>
      </c>
      <c r="D447" t="s">
        <v>630</v>
      </c>
      <c r="E447" t="s">
        <v>386</v>
      </c>
    </row>
    <row r="448" spans="1:5">
      <c r="A448" s="4" t="s">
        <v>648</v>
      </c>
      <c r="B448" s="8" t="s">
        <v>334</v>
      </c>
      <c r="C448" s="6" t="str">
        <f t="array" ref="C448">_xlfn.TEXTJOIN(" ",TRUE,IF(D:D=A448,E:E,""))</f>
        <v/>
      </c>
      <c r="D448" t="s">
        <v>631</v>
      </c>
      <c r="E448" t="s">
        <v>386</v>
      </c>
    </row>
    <row r="449" spans="1:5">
      <c r="A449" s="4" t="s">
        <v>651</v>
      </c>
      <c r="B449" s="8" t="s">
        <v>38</v>
      </c>
      <c r="C449" s="6" t="str">
        <f t="array" ref="C449">_xlfn.TEXTJOIN(" ",TRUE,IF(D:D=A449,E:E,""))</f>
        <v>ddhub:PowerQuantity</v>
      </c>
      <c r="D449" t="s">
        <v>632</v>
      </c>
      <c r="E449" t="s">
        <v>386</v>
      </c>
    </row>
    <row r="450" spans="1:5">
      <c r="A450" s="4" t="s">
        <v>653</v>
      </c>
      <c r="B450" s="5" t="s">
        <v>9</v>
      </c>
      <c r="C450" s="6" t="str">
        <f t="array" ref="C450">_xlfn.TEXTJOIN(" ",TRUE,IF(D:D=A450,E:E,""))</f>
        <v>ddhub:LengthQuantity</v>
      </c>
      <c r="D450" t="s">
        <v>633</v>
      </c>
      <c r="E450" t="s">
        <v>386</v>
      </c>
    </row>
    <row r="451" spans="1:5">
      <c r="A451" s="4" t="s">
        <v>655</v>
      </c>
      <c r="B451" s="8" t="s">
        <v>172</v>
      </c>
      <c r="C451" s="6" t="str">
        <f t="array" ref="C451">_xlfn.TEXTJOIN(" ",TRUE,IF(D:D=A451,E:E,""))</f>
        <v>ddhub:VelocityQuantity ddhub:HydraulicConductivityQuantity</v>
      </c>
      <c r="D451" t="s">
        <v>643</v>
      </c>
      <c r="E451" t="s">
        <v>400</v>
      </c>
    </row>
    <row r="452" spans="1:5">
      <c r="A452" s="4" t="s">
        <v>656</v>
      </c>
      <c r="B452" s="8" t="s">
        <v>172</v>
      </c>
      <c r="C452" s="6" t="str">
        <f t="array" ref="C452">_xlfn.TEXTJOIN(" ",TRUE,IF(D:D=A452,E:E,""))</f>
        <v>ddhub:VelocityQuantity ddhub:HydraulicConductivityQuantity</v>
      </c>
      <c r="D452" t="s">
        <v>625</v>
      </c>
      <c r="E452" t="s">
        <v>13</v>
      </c>
    </row>
    <row r="453" spans="1:5">
      <c r="A453" s="4" t="s">
        <v>657</v>
      </c>
      <c r="B453" s="8" t="s">
        <v>172</v>
      </c>
      <c r="C453" s="6" t="str">
        <f t="array" ref="C453">_xlfn.TEXTJOIN(" ",TRUE,IF(D:D=A453,E:E,""))</f>
        <v>ddhub:ElongationGradientPerLengthQuantity</v>
      </c>
      <c r="D453" t="s">
        <v>627</v>
      </c>
      <c r="E453" t="s">
        <v>384</v>
      </c>
    </row>
    <row r="454" spans="1:5">
      <c r="A454" s="4" t="s">
        <v>658</v>
      </c>
      <c r="B454" s="8" t="s">
        <v>332</v>
      </c>
      <c r="C454" s="6" t="str">
        <f t="array" ref="C454">_xlfn.TEXTJOIN(" ",TRUE,IF(D:D=A454,E:E,""))</f>
        <v>ddhub:ElongationGradientPerLengthQuantity</v>
      </c>
      <c r="D454" t="s">
        <v>634</v>
      </c>
      <c r="E454" t="s">
        <v>76</v>
      </c>
    </row>
    <row r="455" spans="1:5">
      <c r="A455" s="4" t="s">
        <v>659</v>
      </c>
      <c r="B455" s="8" t="s">
        <v>172</v>
      </c>
      <c r="C455" s="6" t="str">
        <f t="array" ref="C455">_xlfn.TEXTJOIN(" ",TRUE,IF(D:D=A455,E:E,""))</f>
        <v>ddhub:VelocityQuantity ddhub:HydraulicConductivityQuantity</v>
      </c>
      <c r="D455" t="s">
        <v>636</v>
      </c>
      <c r="E455" t="s">
        <v>89</v>
      </c>
    </row>
    <row r="456" spans="1:5">
      <c r="A456" s="4" t="s">
        <v>660</v>
      </c>
      <c r="B456" s="8" t="s">
        <v>172</v>
      </c>
      <c r="C456" s="6" t="str">
        <f t="array" ref="C456">_xlfn.TEXTJOIN(" ",TRUE,IF(D:D=A456,E:E,""))</f>
        <v>ddhub:VelocityQuantity ddhub:HydraulicConductivityQuantity</v>
      </c>
      <c r="D456" t="s">
        <v>637</v>
      </c>
      <c r="E456" t="s">
        <v>89</v>
      </c>
    </row>
    <row r="457" spans="1:5">
      <c r="A457" s="4" t="s">
        <v>661</v>
      </c>
      <c r="B457" s="8" t="s">
        <v>176</v>
      </c>
      <c r="C457" s="6" t="str">
        <f t="array" ref="C457">_xlfn.TEXTJOIN(" ",TRUE,IF(D:D=A457,E:E,""))</f>
        <v>ddhub:AccelerationQuantity</v>
      </c>
      <c r="D457" t="s">
        <v>638</v>
      </c>
      <c r="E457" t="s">
        <v>89</v>
      </c>
    </row>
    <row r="458" spans="1:5">
      <c r="A458" s="4" t="s">
        <v>662</v>
      </c>
      <c r="B458" s="8" t="s">
        <v>176</v>
      </c>
      <c r="C458" s="6" t="str">
        <f t="array" ref="C458">_xlfn.TEXTJOIN(" ",TRUE,IF(D:D=A458,E:E,""))</f>
        <v>ddhub:AccelerationQuantity</v>
      </c>
      <c r="D458" t="s">
        <v>639</v>
      </c>
      <c r="E458" t="s">
        <v>89</v>
      </c>
    </row>
    <row r="459" spans="1:5">
      <c r="A459" s="4" t="s">
        <v>663</v>
      </c>
      <c r="B459" s="8" t="s">
        <v>13</v>
      </c>
      <c r="C459" s="6" t="str">
        <f t="array" ref="C459">_xlfn.TEXTJOIN(" ",TRUE,IF(D:D=A459,E:E,""))</f>
        <v>ddhub:ElectricCurrentQuantity</v>
      </c>
      <c r="D459" t="s">
        <v>640</v>
      </c>
      <c r="E459" t="s">
        <v>89</v>
      </c>
    </row>
    <row r="460" spans="1:5">
      <c r="A460" s="4" t="s">
        <v>664</v>
      </c>
      <c r="B460" s="8" t="s">
        <v>170</v>
      </c>
      <c r="C460" s="6" t="str">
        <f t="array" ref="C460">_xlfn.TEXTJOIN(" ",TRUE,IF(D:D=A460,E:E,""))</f>
        <v>ddhub:StressQuantity ddhub:PressureQuantity</v>
      </c>
      <c r="D460" t="s">
        <v>641</v>
      </c>
      <c r="E460" t="s">
        <v>89</v>
      </c>
    </row>
    <row r="461" spans="1:5">
      <c r="A461" s="4" t="s">
        <v>665</v>
      </c>
      <c r="B461" s="8" t="s">
        <v>334</v>
      </c>
      <c r="C461" s="6" t="str">
        <f t="array" ref="C461">_xlfn.TEXTJOIN(" ",TRUE,IF(D:D=A461,E:E,""))</f>
        <v>ddhub:PorousMediumPermeabilityQuantity</v>
      </c>
      <c r="D461" t="s">
        <v>642</v>
      </c>
      <c r="E461" t="s">
        <v>381</v>
      </c>
    </row>
    <row r="462" spans="1:5">
      <c r="A462" s="4" t="s">
        <v>666</v>
      </c>
      <c r="B462" s="8" t="s">
        <v>334</v>
      </c>
      <c r="C462" s="6" t="str">
        <f t="array" ref="C462">_xlfn.TEXTJOIN(" ",TRUE,IF(D:D=A462,E:E,""))</f>
        <v>ddhub:ElectricCapacitanceQuantity</v>
      </c>
      <c r="D462" t="s">
        <v>644</v>
      </c>
      <c r="E462" t="s">
        <v>2279</v>
      </c>
    </row>
    <row r="463" spans="1:5">
      <c r="A463" s="4" t="s">
        <v>667</v>
      </c>
      <c r="B463" s="8" t="s">
        <v>34</v>
      </c>
      <c r="C463" s="6" t="str">
        <f t="array" ref="C463">_xlfn.TEXTJOIN(" ",TRUE,IF(D:D=A463,E:E,""))</f>
        <v>ddhub:MassQuantity</v>
      </c>
      <c r="D463" t="s">
        <v>644</v>
      </c>
      <c r="E463" t="s">
        <v>170</v>
      </c>
    </row>
    <row r="464" spans="1:5">
      <c r="A464" s="4" t="s">
        <v>669</v>
      </c>
      <c r="B464" s="5" t="s">
        <v>9</v>
      </c>
      <c r="C464" s="6" t="str">
        <f t="array" ref="C464">_xlfn.TEXTJOIN(" ",TRUE,IF(D:D=A464,E:E,""))</f>
        <v>ddhub:LengthQuantity</v>
      </c>
      <c r="D464" t="s">
        <v>644</v>
      </c>
      <c r="E464" t="s">
        <v>890</v>
      </c>
    </row>
    <row r="465" spans="1:5">
      <c r="A465" s="4" t="s">
        <v>671</v>
      </c>
      <c r="B465" s="8" t="s">
        <v>332</v>
      </c>
      <c r="C465" s="6" t="str">
        <f t="array" ref="C465">_xlfn.TEXTJOIN(" ",TRUE,IF(D:D=A465,E:E,""))</f>
        <v>ddhub:ElongationGradientPerLengthQuantity</v>
      </c>
      <c r="D465" t="s">
        <v>646</v>
      </c>
      <c r="E465" t="s">
        <v>2279</v>
      </c>
    </row>
    <row r="466" spans="1:5">
      <c r="A466" s="4" t="s">
        <v>672</v>
      </c>
      <c r="B466" s="8" t="s">
        <v>332</v>
      </c>
      <c r="C466" s="6" t="str">
        <f t="array" ref="C466">_xlfn.TEXTJOIN(" ",TRUE,IF(D:D=A466,E:E,""))</f>
        <v>ddhub:ElongationGradientPerLengthQuantity</v>
      </c>
      <c r="D466" t="s">
        <v>646</v>
      </c>
      <c r="E466" t="s">
        <v>170</v>
      </c>
    </row>
    <row r="467" spans="1:5">
      <c r="A467" s="4" t="s">
        <v>673</v>
      </c>
      <c r="B467" s="8" t="s">
        <v>334</v>
      </c>
      <c r="C467" s="6" t="str">
        <f t="array" ref="C467">_xlfn.TEXTJOIN(" ",TRUE,IF(D:D=A467,E:E,""))</f>
        <v>ddhub:AmountSubstanceQuantity</v>
      </c>
      <c r="D467" t="s">
        <v>646</v>
      </c>
      <c r="E467" t="s">
        <v>890</v>
      </c>
    </row>
    <row r="468" spans="1:5">
      <c r="A468" s="4" t="s">
        <v>674</v>
      </c>
      <c r="B468" s="8" t="s">
        <v>195</v>
      </c>
      <c r="C468" s="6" t="str">
        <f t="array" ref="C468">_xlfn.TEXTJOIN(" ",TRUE,IF(D:D=A468,E:E,""))</f>
        <v>ddhub:DynamicViscosityQuantity</v>
      </c>
      <c r="D468" t="s">
        <v>647</v>
      </c>
      <c r="E468" t="s">
        <v>34</v>
      </c>
    </row>
    <row r="469" spans="1:5">
      <c r="A469" s="4" t="s">
        <v>675</v>
      </c>
      <c r="B469" s="8" t="s">
        <v>195</v>
      </c>
      <c r="C469" s="6" t="str">
        <f t="array" ref="C469">_xlfn.TEXTJOIN(" ",TRUE,IF(D:D=A469,E:E,""))</f>
        <v>ddhub:DynamicViscosityQuantity</v>
      </c>
      <c r="D469" t="s">
        <v>651</v>
      </c>
      <c r="E469" t="s">
        <v>38</v>
      </c>
    </row>
    <row r="470" spans="1:5">
      <c r="A470" s="4" t="s">
        <v>676</v>
      </c>
      <c r="B470" s="8" t="s">
        <v>201</v>
      </c>
      <c r="C470" s="6" t="str">
        <f t="array" ref="C470">_xlfn.TEXTJOIN(" ",TRUE,IF(D:D=A470,E:E,""))</f>
        <v>ddhub:TimeQuantity</v>
      </c>
      <c r="D470" t="s">
        <v>653</v>
      </c>
      <c r="E470" t="s">
        <v>9</v>
      </c>
    </row>
    <row r="471" spans="1:5">
      <c r="A471" s="4" t="s">
        <v>678</v>
      </c>
      <c r="B471" s="8" t="s">
        <v>334</v>
      </c>
      <c r="C471" s="6" t="str">
        <f t="array" ref="C471">_xlfn.TEXTJOIN(" ",TRUE,IF(D:D=A471,E:E,""))</f>
        <v>ddhub:MagneticFluxDensityQuantity</v>
      </c>
      <c r="D471" t="s">
        <v>655</v>
      </c>
      <c r="E471" t="s">
        <v>172</v>
      </c>
    </row>
    <row r="472" spans="1:5">
      <c r="A472" s="4" t="s">
        <v>679</v>
      </c>
      <c r="B472" s="8" t="s">
        <v>334</v>
      </c>
      <c r="C472" s="6" t="str">
        <f t="array" ref="C472">_xlfn.TEXTJOIN(" ",TRUE,IF(D:D=A472,E:E,""))</f>
        <v/>
      </c>
      <c r="D472" t="s">
        <v>655</v>
      </c>
      <c r="E472" t="s">
        <v>2280</v>
      </c>
    </row>
    <row r="473" spans="1:5">
      <c r="A473" s="4" t="s">
        <v>681</v>
      </c>
      <c r="B473" s="8" t="s">
        <v>38</v>
      </c>
      <c r="C473" s="6" t="str">
        <f t="array" ref="C473">_xlfn.TEXTJOIN(" ",TRUE,IF(D:D=A473,E:E,""))</f>
        <v>ddhub:PowerQuantity</v>
      </c>
      <c r="D473" t="s">
        <v>656</v>
      </c>
      <c r="E473" t="s">
        <v>172</v>
      </c>
    </row>
    <row r="474" spans="1:5">
      <c r="A474" s="4" t="s">
        <v>683</v>
      </c>
      <c r="B474" s="8" t="s">
        <v>379</v>
      </c>
      <c r="C474" s="6" t="str">
        <f t="array" ref="C474">_xlfn.TEXTJOIN(" ",TRUE,IF(D:D=A474,E:E,""))</f>
        <v>ddhub:MagneticFluxQuantity</v>
      </c>
      <c r="D474" t="s">
        <v>656</v>
      </c>
      <c r="E474" t="s">
        <v>2280</v>
      </c>
    </row>
    <row r="475" spans="1:5">
      <c r="A475" s="4" t="s">
        <v>684</v>
      </c>
      <c r="B475" s="8" t="s">
        <v>9</v>
      </c>
      <c r="C475" s="6" t="str">
        <f t="array" ref="C475">_xlfn.TEXTJOIN(" ",TRUE,IF(D:D=A475,E:E,""))</f>
        <v>ddhub:LengthQuantity</v>
      </c>
      <c r="D475" t="s">
        <v>657</v>
      </c>
      <c r="E475" t="s">
        <v>179</v>
      </c>
    </row>
    <row r="476" spans="1:5">
      <c r="A476" s="4" t="s">
        <v>685</v>
      </c>
      <c r="B476" s="8" t="s">
        <v>9</v>
      </c>
      <c r="C476" s="6" t="str">
        <f t="array" ref="C476">_xlfn.TEXTJOIN(" ",TRUE,IF(D:D=A476,E:E,""))</f>
        <v>ddhub:LengthQuantity</v>
      </c>
      <c r="D476" t="s">
        <v>658</v>
      </c>
      <c r="E476" t="s">
        <v>179</v>
      </c>
    </row>
    <row r="477" spans="1:5">
      <c r="A477" s="4" t="s">
        <v>686</v>
      </c>
      <c r="B477" s="8" t="s">
        <v>172</v>
      </c>
      <c r="C477" s="6" t="str">
        <f t="array" ref="C477">_xlfn.TEXTJOIN(" ",TRUE,IF(D:D=A477,E:E,""))</f>
        <v>ddhub:VelocityQuantity</v>
      </c>
      <c r="D477" t="s">
        <v>659</v>
      </c>
      <c r="E477" t="s">
        <v>172</v>
      </c>
    </row>
    <row r="478" spans="1:5">
      <c r="A478" s="4" t="s">
        <v>687</v>
      </c>
      <c r="B478" s="8" t="s">
        <v>172</v>
      </c>
      <c r="C478" s="6" t="str">
        <f t="array" ref="C478">_xlfn.TEXTJOIN(" ",TRUE,IF(D:D=A478,E:E,""))</f>
        <v>ddhub:VelocityQuantity</v>
      </c>
      <c r="D478" t="s">
        <v>659</v>
      </c>
      <c r="E478" t="s">
        <v>2280</v>
      </c>
    </row>
    <row r="479" spans="1:5">
      <c r="A479" s="4" t="s">
        <v>688</v>
      </c>
      <c r="B479" s="8" t="s">
        <v>334</v>
      </c>
      <c r="C479" s="6" t="str">
        <f t="array" ref="C479">_xlfn.TEXTJOIN(" ",TRUE,IF(D:D=A479,E:E,""))</f>
        <v>ddhub:AccelerationQuantity</v>
      </c>
      <c r="D479" t="s">
        <v>660</v>
      </c>
      <c r="E479" t="s">
        <v>172</v>
      </c>
    </row>
    <row r="480" spans="1:5">
      <c r="A480" s="4" t="s">
        <v>689</v>
      </c>
      <c r="B480" s="8" t="s">
        <v>172</v>
      </c>
      <c r="C480" s="6" t="str">
        <f t="array" ref="C480">_xlfn.TEXTJOIN(" ",TRUE,IF(D:D=A480,E:E,""))</f>
        <v>ddhub:VelocityQuantity</v>
      </c>
      <c r="D480" t="s">
        <v>660</v>
      </c>
      <c r="E480" t="s">
        <v>2280</v>
      </c>
    </row>
    <row r="481" spans="1:5">
      <c r="A481" s="4" t="s">
        <v>690</v>
      </c>
      <c r="B481" s="8" t="s">
        <v>334</v>
      </c>
      <c r="C481" s="6" t="str">
        <f t="array" ref="C481">_xlfn.TEXTJOIN(" ",TRUE,IF(D:D=A481,E:E,""))</f>
        <v>ddhub:AccelerationQuantity</v>
      </c>
      <c r="D481" t="s">
        <v>661</v>
      </c>
      <c r="E481" t="s">
        <v>176</v>
      </c>
    </row>
    <row r="482" spans="1:5">
      <c r="A482" s="4" t="s">
        <v>691</v>
      </c>
      <c r="B482" s="8" t="s">
        <v>172</v>
      </c>
      <c r="C482" s="6" t="str">
        <f t="array" ref="C482">_xlfn.TEXTJOIN(" ",TRUE,IF(D:D=A482,E:E,""))</f>
        <v>ddhub:VelocityQuantity</v>
      </c>
      <c r="D482" t="s">
        <v>662</v>
      </c>
      <c r="E482" t="s">
        <v>176</v>
      </c>
    </row>
    <row r="483" spans="1:5">
      <c r="A483" s="4" t="s">
        <v>692</v>
      </c>
      <c r="B483" s="8" t="s">
        <v>176</v>
      </c>
      <c r="C483" s="6" t="str">
        <f t="array" ref="C483">_xlfn.TEXTJOIN(" ",TRUE,IF(D:D=A483,E:E,""))</f>
        <v>ddhub:AccelerationQuantity</v>
      </c>
      <c r="D483" t="s">
        <v>663</v>
      </c>
      <c r="E483" t="s">
        <v>13</v>
      </c>
    </row>
    <row r="484" spans="1:5">
      <c r="A484" s="4" t="s">
        <v>693</v>
      </c>
      <c r="B484" s="8" t="s">
        <v>201</v>
      </c>
      <c r="C484" s="6" t="str">
        <f t="array" ref="C484">_xlfn.TEXTJOIN(" ",TRUE,IF(D:D=A484,E:E,""))</f>
        <v>ddhub:TimeQuantity</v>
      </c>
      <c r="D484" t="s">
        <v>664</v>
      </c>
      <c r="E484" t="s">
        <v>2279</v>
      </c>
    </row>
    <row r="485" spans="1:5">
      <c r="A485" s="4" t="s">
        <v>694</v>
      </c>
      <c r="B485" s="8" t="s">
        <v>13</v>
      </c>
      <c r="C485" s="6" t="str">
        <f t="array" ref="C485">_xlfn.TEXTJOIN(" ",TRUE,IF(D:D=A485,E:E,""))</f>
        <v>ddhub:ElectricCurrentQuantity</v>
      </c>
      <c r="D485" t="s">
        <v>664</v>
      </c>
      <c r="E485" t="s">
        <v>170</v>
      </c>
    </row>
    <row r="486" spans="1:5">
      <c r="A486" s="4" t="s">
        <v>695</v>
      </c>
      <c r="B486" s="8" t="s">
        <v>170</v>
      </c>
      <c r="C486" s="6" t="str">
        <f t="array" ref="C486">_xlfn.TEXTJOIN(" ",TRUE,IF(D:D=A486,E:E,""))</f>
        <v>ddhub:StressQuantity ddhub:PressureQuantity</v>
      </c>
      <c r="D486" t="s">
        <v>665</v>
      </c>
      <c r="E486" t="s">
        <v>227</v>
      </c>
    </row>
    <row r="487" spans="1:5">
      <c r="A487" s="4" t="s">
        <v>696</v>
      </c>
      <c r="B487" s="8" t="s">
        <v>71</v>
      </c>
      <c r="C487" s="6" t="str">
        <f t="array" ref="C487">_xlfn.TEXTJOIN(" ",TRUE,IF(D:D=A487,E:E,""))</f>
        <v>ddhub:LuminousIntensityQuantity</v>
      </c>
      <c r="D487" t="s">
        <v>666</v>
      </c>
      <c r="E487" t="s">
        <v>206</v>
      </c>
    </row>
    <row r="488" spans="1:5">
      <c r="A488" s="4" t="s">
        <v>697</v>
      </c>
      <c r="B488" s="8" t="s">
        <v>334</v>
      </c>
      <c r="C488" s="6" t="str">
        <f t="array" ref="C488">_xlfn.TEXTJOIN(" ",TRUE,IF(D:D=A488,E:E,""))</f>
        <v>ddhub:PorousMediumPermeabilityQuantity</v>
      </c>
      <c r="D488" t="s">
        <v>667</v>
      </c>
      <c r="E488" t="s">
        <v>34</v>
      </c>
    </row>
    <row r="489" spans="1:5">
      <c r="A489" s="4" t="s">
        <v>698</v>
      </c>
      <c r="B489" s="8" t="s">
        <v>334</v>
      </c>
      <c r="C489" s="6" t="str">
        <f t="array" ref="C489">_xlfn.TEXTJOIN(" ",TRUE,IF(D:D=A489,E:E,""))</f>
        <v>ddhub:ElectricCapacitanceQuantity</v>
      </c>
      <c r="D489" t="s">
        <v>669</v>
      </c>
      <c r="E489" t="s">
        <v>9</v>
      </c>
    </row>
    <row r="490" spans="1:5">
      <c r="A490" s="4" t="s">
        <v>699</v>
      </c>
      <c r="B490" s="8" t="s">
        <v>334</v>
      </c>
      <c r="C490" s="6" t="str">
        <f t="array" ref="C490">_xlfn.TEXTJOIN(" ",TRUE,IF(D:D=A490,E:E,""))</f>
        <v>ddhub:MagneticFluxDensityQuantity</v>
      </c>
      <c r="D490" t="s">
        <v>671</v>
      </c>
      <c r="E490" t="s">
        <v>179</v>
      </c>
    </row>
    <row r="491" spans="1:5">
      <c r="A491" s="4" t="s">
        <v>700</v>
      </c>
      <c r="B491" s="8" t="s">
        <v>34</v>
      </c>
      <c r="C491" s="6" t="str">
        <f t="array" ref="C491">_xlfn.TEXTJOIN(" ",TRUE,IF(D:D=A491,E:E,""))</f>
        <v>ddhub:MassQuantity</v>
      </c>
      <c r="D491" t="s">
        <v>672</v>
      </c>
      <c r="E491" t="s">
        <v>179</v>
      </c>
    </row>
    <row r="492" spans="1:5">
      <c r="A492" s="4" t="s">
        <v>701</v>
      </c>
      <c r="B492" s="8" t="s">
        <v>50</v>
      </c>
      <c r="C492" s="6" t="str">
        <f t="array" ref="C492">_xlfn.TEXTJOIN(" ",TRUE,IF(D:D=A492,E:E,""))</f>
        <v>ddhub:VolumeQuantity</v>
      </c>
      <c r="D492" t="s">
        <v>673</v>
      </c>
      <c r="E492" t="s">
        <v>192</v>
      </c>
    </row>
    <row r="493" spans="1:5">
      <c r="A493" s="4" t="s">
        <v>702</v>
      </c>
      <c r="B493" s="5" t="s">
        <v>9</v>
      </c>
      <c r="C493" s="6" t="str">
        <f t="array" ref="C493">_xlfn.TEXTJOIN(" ",TRUE,IF(D:D=A493,E:E,""))</f>
        <v>ddhub:LengthQuantity</v>
      </c>
      <c r="D493" t="s">
        <v>674</v>
      </c>
      <c r="E493" t="s">
        <v>195</v>
      </c>
    </row>
    <row r="494" spans="1:5">
      <c r="A494" s="4" t="s">
        <v>703</v>
      </c>
      <c r="B494" s="8" t="s">
        <v>170</v>
      </c>
      <c r="C494" s="6" t="str">
        <f t="array" ref="C494">_xlfn.TEXTJOIN(" ",TRUE,IF(D:D=A494,E:E,""))</f>
        <v>ddhub:PressureQuantity</v>
      </c>
      <c r="D494" t="s">
        <v>675</v>
      </c>
      <c r="E494" t="s">
        <v>195</v>
      </c>
    </row>
    <row r="495" spans="1:5">
      <c r="A495" s="4" t="s">
        <v>704</v>
      </c>
      <c r="B495" s="8" t="s">
        <v>172</v>
      </c>
      <c r="C495" s="6" t="str">
        <f t="array" ref="C495">_xlfn.TEXTJOIN(" ",TRUE,IF(D:D=A495,E:E,""))</f>
        <v>ddhub:VelocityQuantity</v>
      </c>
      <c r="D495" t="s">
        <v>676</v>
      </c>
      <c r="E495" t="s">
        <v>201</v>
      </c>
    </row>
    <row r="496" spans="1:5">
      <c r="A496" s="4" t="s">
        <v>705</v>
      </c>
      <c r="B496" s="8" t="s">
        <v>172</v>
      </c>
      <c r="C496" s="6" t="str">
        <f t="array" ref="C496">_xlfn.TEXTJOIN(" ",TRUE,IF(D:D=A496,E:E,""))</f>
        <v>ddhub:VelocityQuantity</v>
      </c>
      <c r="D496" t="s">
        <v>678</v>
      </c>
      <c r="E496" t="s">
        <v>379</v>
      </c>
    </row>
    <row r="497" spans="1:5">
      <c r="A497" s="4" t="s">
        <v>706</v>
      </c>
      <c r="B497" s="8" t="s">
        <v>332</v>
      </c>
      <c r="C497" s="6" t="str">
        <f t="array" ref="C497">_xlfn.TEXTJOIN(" ",TRUE,IF(D:D=A497,E:E,""))</f>
        <v>ddhub:ElongationGradientPerLengthQuantity</v>
      </c>
      <c r="D497" t="s">
        <v>681</v>
      </c>
      <c r="E497" t="s">
        <v>38</v>
      </c>
    </row>
    <row r="498" spans="1:5">
      <c r="A498" s="4" t="s">
        <v>707</v>
      </c>
      <c r="B498" s="8" t="s">
        <v>332</v>
      </c>
      <c r="C498" s="6" t="str">
        <f t="array" ref="C498">_xlfn.TEXTJOIN(" ",TRUE,IF(D:D=A498,E:E,""))</f>
        <v>ddhub:ElongationGradientPerLengthQuantity</v>
      </c>
      <c r="D498" t="s">
        <v>683</v>
      </c>
      <c r="E498" t="s">
        <v>381</v>
      </c>
    </row>
    <row r="499" spans="1:5">
      <c r="A499" s="4" t="s">
        <v>708</v>
      </c>
      <c r="B499" s="8" t="s">
        <v>172</v>
      </c>
      <c r="C499" s="6" t="str">
        <f t="array" ref="C499">_xlfn.TEXTJOIN(" ",TRUE,IF(D:D=A499,E:E,""))</f>
        <v>ddhub:VelocityQuantity</v>
      </c>
      <c r="D499" t="s">
        <v>684</v>
      </c>
      <c r="E499" t="s">
        <v>9</v>
      </c>
    </row>
    <row r="500" spans="1:5">
      <c r="A500" s="4" t="s">
        <v>709</v>
      </c>
      <c r="B500" s="8" t="s">
        <v>172</v>
      </c>
      <c r="C500" s="6" t="str">
        <f t="array" ref="C500">_xlfn.TEXTJOIN(" ",TRUE,IF(D:D=A500,E:E,""))</f>
        <v>ddhub:VelocityQuantity</v>
      </c>
      <c r="D500" t="s">
        <v>685</v>
      </c>
      <c r="E500" t="s">
        <v>9</v>
      </c>
    </row>
    <row r="501" spans="1:5">
      <c r="A501" s="4" t="s">
        <v>710</v>
      </c>
      <c r="B501" s="8" t="s">
        <v>170</v>
      </c>
      <c r="C501" s="6" t="str">
        <f t="array" ref="C501">_xlfn.TEXTJOIN(" ",TRUE,IF(D:D=A501,E:E,""))</f>
        <v>ddhub:PressureQuantity</v>
      </c>
      <c r="D501" t="s">
        <v>686</v>
      </c>
      <c r="E501" t="s">
        <v>172</v>
      </c>
    </row>
    <row r="502" spans="1:5">
      <c r="A502" s="4" t="s">
        <v>711</v>
      </c>
      <c r="B502" s="8" t="s">
        <v>334</v>
      </c>
      <c r="C502" s="6" t="str">
        <f t="array" ref="C502">_xlfn.TEXTJOIN(" ",TRUE,IF(D:D=A502,E:E,""))</f>
        <v>ddhub:AmountSubstanceQuantity</v>
      </c>
      <c r="D502" t="s">
        <v>687</v>
      </c>
      <c r="E502" t="s">
        <v>172</v>
      </c>
    </row>
    <row r="503" spans="1:5">
      <c r="A503" s="4" t="s">
        <v>712</v>
      </c>
      <c r="B503" s="8" t="s">
        <v>334</v>
      </c>
      <c r="C503" s="6" t="str">
        <f t="array" ref="C503">_xlfn.TEXTJOIN(" ",TRUE,IF(D:D=A503,E:E,""))</f>
        <v>ddhub:InterfacialTensionQuantity</v>
      </c>
      <c r="D503" t="s">
        <v>688</v>
      </c>
      <c r="E503" t="s">
        <v>176</v>
      </c>
    </row>
    <row r="504" spans="1:5">
      <c r="A504" s="4" t="s">
        <v>713</v>
      </c>
      <c r="B504" s="8" t="s">
        <v>50</v>
      </c>
      <c r="C504" s="6" t="str">
        <f t="array" ref="C504">_xlfn.TEXTJOIN(" ",TRUE,IF(D:D=A504,E:E,""))</f>
        <v>ddhub:VolumeQuantity</v>
      </c>
      <c r="D504" t="s">
        <v>689</v>
      </c>
      <c r="E504" t="s">
        <v>172</v>
      </c>
    </row>
    <row r="505" spans="1:5">
      <c r="A505" s="4" t="s">
        <v>714</v>
      </c>
      <c r="B505" s="8" t="s">
        <v>50</v>
      </c>
      <c r="C505" s="6" t="str">
        <f t="array" ref="C505">_xlfn.TEXTJOIN(" ",TRUE,IF(D:D=A505,E:E,""))</f>
        <v>ddhub:VolumeQuantity</v>
      </c>
      <c r="D505" t="s">
        <v>690</v>
      </c>
      <c r="E505" t="s">
        <v>176</v>
      </c>
    </row>
    <row r="506" spans="1:5">
      <c r="A506" s="4" t="s">
        <v>715</v>
      </c>
      <c r="B506" s="8" t="s">
        <v>56</v>
      </c>
      <c r="C506" s="6" t="str">
        <f t="array" ref="C506">_xlfn.TEXTJOIN(" ",TRUE,IF(D:D=A506,E:E,""))</f>
        <v>ddhub:VolumetricFlowRateQuantity</v>
      </c>
      <c r="D506" t="s">
        <v>691</v>
      </c>
      <c r="E506" t="s">
        <v>172</v>
      </c>
    </row>
    <row r="507" spans="1:5">
      <c r="A507" s="4" t="s">
        <v>716</v>
      </c>
      <c r="B507" s="8" t="s">
        <v>56</v>
      </c>
      <c r="C507" s="6" t="str">
        <f t="array" ref="C507">_xlfn.TEXTJOIN(" ",TRUE,IF(D:D=A507,E:E,""))</f>
        <v>ddhub:VolumetricFlowRateQuantity</v>
      </c>
      <c r="D507" t="s">
        <v>692</v>
      </c>
      <c r="E507" t="s">
        <v>176</v>
      </c>
    </row>
    <row r="508" spans="1:5">
      <c r="A508" s="4" t="s">
        <v>717</v>
      </c>
      <c r="B508" s="8" t="s">
        <v>50</v>
      </c>
      <c r="C508" s="6" t="str">
        <f t="array" ref="C508">_xlfn.TEXTJOIN(" ",TRUE,IF(D:D=A508,E:E,""))</f>
        <v>ddhub:VolumeQuantity</v>
      </c>
      <c r="D508" t="s">
        <v>693</v>
      </c>
      <c r="E508" t="s">
        <v>201</v>
      </c>
    </row>
    <row r="509" spans="1:5">
      <c r="A509" s="4" t="s">
        <v>718</v>
      </c>
      <c r="B509" s="8" t="s">
        <v>50</v>
      </c>
      <c r="C509" s="6" t="str">
        <f t="array" ref="C509">_xlfn.TEXTJOIN(" ",TRUE,IF(D:D=A509,E:E,""))</f>
        <v>ddhub:VolumeQuantity</v>
      </c>
      <c r="D509" t="s">
        <v>694</v>
      </c>
      <c r="E509" t="s">
        <v>13</v>
      </c>
    </row>
    <row r="510" spans="1:5">
      <c r="A510" s="4" t="s">
        <v>719</v>
      </c>
      <c r="B510" s="8" t="s">
        <v>56</v>
      </c>
      <c r="C510" s="6" t="str">
        <f t="array" ref="C510">_xlfn.TEXTJOIN(" ",TRUE,IF(D:D=A510,E:E,""))</f>
        <v>ddhub:VolumetricFlowRateQuantity</v>
      </c>
      <c r="D510" t="s">
        <v>695</v>
      </c>
      <c r="E510" t="s">
        <v>2279</v>
      </c>
    </row>
    <row r="511" spans="1:5">
      <c r="A511" s="4" t="s">
        <v>720</v>
      </c>
      <c r="B511" s="8" t="s">
        <v>50</v>
      </c>
      <c r="C511" s="6" t="str">
        <f t="array" ref="C511">_xlfn.TEXTJOIN(" ",TRUE,IF(D:D=A511,E:E,""))</f>
        <v>ddhub:VolumeQuantity</v>
      </c>
      <c r="D511" t="s">
        <v>695</v>
      </c>
      <c r="E511" t="s">
        <v>170</v>
      </c>
    </row>
    <row r="512" spans="1:5">
      <c r="A512" s="4" t="s">
        <v>721</v>
      </c>
      <c r="B512" s="8" t="s">
        <v>334</v>
      </c>
      <c r="C512" s="6" t="str">
        <f t="array" ref="C512">_xlfn.TEXTJOIN(" ",TRUE,IF(D:D=A512,E:E,""))</f>
        <v>ddhub:VolumetricFlowRateQuantity</v>
      </c>
      <c r="D512" t="s">
        <v>696</v>
      </c>
      <c r="E512" t="s">
        <v>71</v>
      </c>
    </row>
    <row r="513" spans="1:5">
      <c r="A513" s="4" t="s">
        <v>722</v>
      </c>
      <c r="B513" s="8" t="s">
        <v>50</v>
      </c>
      <c r="C513" s="6" t="str">
        <f t="array" ref="C513">_xlfn.TEXTJOIN(" ",TRUE,IF(D:D=A513,E:E,""))</f>
        <v>ddhub:VolumeQuantity</v>
      </c>
      <c r="D513" t="s">
        <v>697</v>
      </c>
      <c r="E513" t="s">
        <v>227</v>
      </c>
    </row>
    <row r="514" spans="1:5">
      <c r="A514" s="4" t="s">
        <v>723</v>
      </c>
      <c r="B514" s="8" t="s">
        <v>56</v>
      </c>
      <c r="C514" s="6" t="str">
        <f t="array" ref="C514">_xlfn.TEXTJOIN(" ",TRUE,IF(D:D=A514,E:E,""))</f>
        <v>ddhub:VolumetricFlowRateQuantity</v>
      </c>
      <c r="D514" t="s">
        <v>698</v>
      </c>
      <c r="E514" t="s">
        <v>206</v>
      </c>
    </row>
    <row r="515" spans="1:5">
      <c r="A515" s="4" t="s">
        <v>724</v>
      </c>
      <c r="B515" s="8" t="s">
        <v>201</v>
      </c>
      <c r="C515" s="6" t="str">
        <f t="array" ref="C515">_xlfn.TEXTJOIN(" ",TRUE,IF(D:D=A515,E:E,""))</f>
        <v>ddhub:TimeQuantity</v>
      </c>
      <c r="D515" t="s">
        <v>699</v>
      </c>
      <c r="E515" t="s">
        <v>379</v>
      </c>
    </row>
    <row r="516" spans="1:5">
      <c r="A516" s="4" t="s">
        <v>725</v>
      </c>
      <c r="B516" s="8" t="s">
        <v>195</v>
      </c>
      <c r="C516" s="6" t="str">
        <f t="array" ref="C516">_xlfn.TEXTJOIN(" ",TRUE,IF(D:D=A516,E:E,""))</f>
        <v>ddhub:DynamicViscosityQuantity</v>
      </c>
      <c r="D516" t="s">
        <v>700</v>
      </c>
      <c r="E516" t="s">
        <v>34</v>
      </c>
    </row>
    <row r="517" spans="1:5">
      <c r="A517" s="4" t="s">
        <v>726</v>
      </c>
      <c r="B517" s="8" t="s">
        <v>195</v>
      </c>
      <c r="C517" s="6" t="str">
        <f t="array" ref="C517">_xlfn.TEXTJOIN(" ",TRUE,IF(D:D=A517,E:E,""))</f>
        <v>ddhub:DynamicViscosityQuantity</v>
      </c>
      <c r="D517" t="s">
        <v>701</v>
      </c>
      <c r="E517" t="s">
        <v>50</v>
      </c>
    </row>
    <row r="518" spans="1:5">
      <c r="A518" s="4" t="s">
        <v>727</v>
      </c>
      <c r="B518" s="8" t="s">
        <v>334</v>
      </c>
      <c r="C518" s="6" t="str">
        <f t="array" ref="C518">_xlfn.TEXTJOIN(" ",TRUE,IF(D:D=A518,E:E,""))</f>
        <v>ddhub:PlaneAngleQuantity</v>
      </c>
      <c r="D518" t="s">
        <v>702</v>
      </c>
      <c r="E518" t="s">
        <v>9</v>
      </c>
    </row>
    <row r="519" spans="1:5">
      <c r="A519" s="4" t="s">
        <v>728</v>
      </c>
      <c r="B519" s="8" t="s">
        <v>201</v>
      </c>
      <c r="C519" s="6" t="str">
        <f t="array" ref="C519">_xlfn.TEXTJOIN(" ",TRUE,IF(D:D=A519,E:E,""))</f>
        <v>ddhub:TimeQuantity</v>
      </c>
      <c r="D519" t="s">
        <v>703</v>
      </c>
      <c r="E519" t="s">
        <v>170</v>
      </c>
    </row>
    <row r="520" spans="1:5">
      <c r="A520" s="4" t="s">
        <v>729</v>
      </c>
      <c r="B520" s="8" t="s">
        <v>379</v>
      </c>
      <c r="C520" s="6" t="str">
        <f t="array" ref="C520">_xlfn.TEXTJOIN(" ",TRUE,IF(D:D=A520,E:E,""))</f>
        <v>ddhub:MagneticFluxDensityQuantity</v>
      </c>
      <c r="D520" t="s">
        <v>704</v>
      </c>
      <c r="E520" t="s">
        <v>172</v>
      </c>
    </row>
    <row r="521" spans="1:5">
      <c r="A521" s="4" t="s">
        <v>730</v>
      </c>
      <c r="B521" s="8" t="s">
        <v>334</v>
      </c>
      <c r="C521" s="6" t="str">
        <f t="array" ref="C521">_xlfn.TEXTJOIN(" ",TRUE,IF(D:D=A521,E:E,""))</f>
        <v/>
      </c>
      <c r="D521" t="s">
        <v>705</v>
      </c>
      <c r="E521" t="s">
        <v>172</v>
      </c>
    </row>
    <row r="522" spans="1:5">
      <c r="A522" s="4" t="s">
        <v>731</v>
      </c>
      <c r="B522" s="8" t="s">
        <v>38</v>
      </c>
      <c r="C522" s="6" t="str">
        <f t="array" ref="C522">_xlfn.TEXTJOIN(" ",TRUE,IF(D:D=A522,E:E,""))</f>
        <v>ddhub:PowerQuantity</v>
      </c>
      <c r="D522" t="s">
        <v>706</v>
      </c>
      <c r="E522" t="s">
        <v>179</v>
      </c>
    </row>
    <row r="523" spans="1:5">
      <c r="A523" s="4" t="s">
        <v>732</v>
      </c>
      <c r="B523" s="8" t="s">
        <v>381</v>
      </c>
      <c r="C523" s="6" t="str">
        <f t="array" ref="C523">_xlfn.TEXTJOIN(" ",TRUE,IF(D:D=A523,E:E,""))</f>
        <v>ddhub:MagneticFluxQuantity</v>
      </c>
      <c r="D523" t="s">
        <v>707</v>
      </c>
      <c r="E523" t="s">
        <v>179</v>
      </c>
    </row>
    <row r="524" spans="1:5">
      <c r="A524" s="4" t="s">
        <v>733</v>
      </c>
      <c r="B524" s="8" t="s">
        <v>201</v>
      </c>
      <c r="C524" s="6" t="str">
        <f t="array" ref="C524">_xlfn.TEXTJOIN(" ",TRUE,IF(D:D=A524,E:E,""))</f>
        <v>ddhub:TimeQuantity</v>
      </c>
      <c r="D524" t="s">
        <v>708</v>
      </c>
      <c r="E524" t="s">
        <v>172</v>
      </c>
    </row>
    <row r="525" spans="1:5">
      <c r="A525" s="4" t="s">
        <v>735</v>
      </c>
      <c r="B525" s="8" t="s">
        <v>334</v>
      </c>
      <c r="C525" s="6" t="str">
        <f t="array" ref="C525">_xlfn.TEXTJOIN(" ",TRUE,IF(D:D=A525,E:E,""))</f>
        <v>ddhub:AmountSubstanceQuantity</v>
      </c>
      <c r="D525" t="s">
        <v>709</v>
      </c>
      <c r="E525" t="s">
        <v>172</v>
      </c>
    </row>
    <row r="526" spans="1:5">
      <c r="A526" s="4" t="s">
        <v>737</v>
      </c>
      <c r="B526" s="8" t="s">
        <v>201</v>
      </c>
      <c r="C526" s="6" t="str">
        <f t="array" ref="C526">_xlfn.TEXTJOIN(" ",TRUE,IF(D:D=A526,E:E,""))</f>
        <v>ddhub:TimeQuantity</v>
      </c>
      <c r="D526" t="s">
        <v>710</v>
      </c>
      <c r="E526" t="s">
        <v>170</v>
      </c>
    </row>
    <row r="527" spans="1:5">
      <c r="A527" s="4" t="s">
        <v>738</v>
      </c>
      <c r="B527" s="8" t="s">
        <v>201</v>
      </c>
      <c r="C527" s="6" t="str">
        <f t="array" ref="C527">_xlfn.TEXTJOIN(" ",TRUE,IF(D:D=A527,E:E,""))</f>
        <v>ddhub:TimeQuantity</v>
      </c>
      <c r="D527" t="s">
        <v>711</v>
      </c>
      <c r="E527" t="s">
        <v>192</v>
      </c>
    </row>
    <row r="528" spans="1:5">
      <c r="A528" s="4" t="s">
        <v>739</v>
      </c>
      <c r="B528" s="8" t="s">
        <v>201</v>
      </c>
      <c r="C528" s="6" t="str">
        <f t="array" ref="C528">_xlfn.TEXTJOIN(" ",TRUE,IF(D:D=A528,E:E,""))</f>
        <v>ddhub:TimeQuantity</v>
      </c>
      <c r="D528" t="s">
        <v>712</v>
      </c>
      <c r="E528" t="s">
        <v>342</v>
      </c>
    </row>
    <row r="529" spans="1:5">
      <c r="A529" s="4" t="s">
        <v>740</v>
      </c>
      <c r="B529" s="8" t="s">
        <v>13</v>
      </c>
      <c r="C529" s="6" t="str">
        <f t="array" ref="C529">_xlfn.TEXTJOIN(" ",TRUE,IF(D:D=A529,E:E,""))</f>
        <v>ddhub:ElectricCurrentQuantity</v>
      </c>
      <c r="D529" t="s">
        <v>713</v>
      </c>
      <c r="E529" t="s">
        <v>50</v>
      </c>
    </row>
    <row r="530" spans="1:5">
      <c r="A530" s="4" t="s">
        <v>742</v>
      </c>
      <c r="B530" s="8" t="s">
        <v>334</v>
      </c>
      <c r="C530" s="6" t="str">
        <f t="array" ref="C530">_xlfn.TEXTJOIN(" ",TRUE,IF(D:D=A530,E:E,""))</f>
        <v>ddhub:PorousMediumPermeabilityQuantity</v>
      </c>
      <c r="D530" t="s">
        <v>714</v>
      </c>
      <c r="E530" t="s">
        <v>50</v>
      </c>
    </row>
    <row r="531" spans="1:5">
      <c r="A531" s="4" t="s">
        <v>743</v>
      </c>
      <c r="B531" s="8" t="s">
        <v>334</v>
      </c>
      <c r="C531" s="6" t="str">
        <f t="array" ref="C531">_xlfn.TEXTJOIN(" ",TRUE,IF(D:D=A531,E:E,""))</f>
        <v>ddhub:ElectricCapacitanceQuantity</v>
      </c>
      <c r="D531" t="s">
        <v>715</v>
      </c>
      <c r="E531" t="s">
        <v>56</v>
      </c>
    </row>
    <row r="532" spans="1:5">
      <c r="A532" s="4" t="s">
        <v>744</v>
      </c>
      <c r="B532" s="8" t="s">
        <v>34</v>
      </c>
      <c r="C532" s="6" t="str">
        <f t="array" ref="C532">_xlfn.TEXTJOIN(" ",TRUE,IF(D:D=A532,E:E,""))</f>
        <v>ddhub:MassQuantity</v>
      </c>
      <c r="D532" t="s">
        <v>716</v>
      </c>
      <c r="E532" t="s">
        <v>56</v>
      </c>
    </row>
    <row r="533" spans="1:5">
      <c r="A533" s="4" t="s">
        <v>746</v>
      </c>
      <c r="B533" s="8" t="s">
        <v>9</v>
      </c>
      <c r="C533" s="6" t="str">
        <f t="array" ref="C533">_xlfn.TEXTJOIN(" ",TRUE,IF(D:D=A533,E:E,""))</f>
        <v>ddhub:LengthQuantity</v>
      </c>
      <c r="D533" t="s">
        <v>717</v>
      </c>
      <c r="E533" t="s">
        <v>50</v>
      </c>
    </row>
    <row r="534" spans="1:5">
      <c r="A534" s="4" t="s">
        <v>748</v>
      </c>
      <c r="B534" s="8" t="s">
        <v>334</v>
      </c>
      <c r="C534" s="6" t="str">
        <f t="array" ref="C534">_xlfn.TEXTJOIN(" ",TRUE,IF(D:D=A534,E:E,""))</f>
        <v>ddhub:AmountSubstanceQuantity</v>
      </c>
      <c r="D534" t="s">
        <v>718</v>
      </c>
      <c r="E534" t="s">
        <v>50</v>
      </c>
    </row>
    <row r="535" spans="1:5">
      <c r="A535" s="4" t="s">
        <v>750</v>
      </c>
      <c r="B535" s="8" t="s">
        <v>201</v>
      </c>
      <c r="C535" s="6" t="str">
        <f t="array" ref="C535">_xlfn.TEXTJOIN(" ",TRUE,IF(D:D=A535,E:E,""))</f>
        <v>ddhub:TimeQuantity</v>
      </c>
      <c r="D535" t="s">
        <v>719</v>
      </c>
      <c r="E535" t="s">
        <v>56</v>
      </c>
    </row>
    <row r="536" spans="1:5">
      <c r="A536" s="4" t="s">
        <v>752</v>
      </c>
      <c r="B536" s="8" t="s">
        <v>379</v>
      </c>
      <c r="C536" s="6" t="str">
        <f t="array" ref="C536">_xlfn.TEXTJOIN(" ",TRUE,IF(D:D=A536,E:E,""))</f>
        <v>ddhub:MagneticFluxDensityQuantity</v>
      </c>
      <c r="D536" t="s">
        <v>720</v>
      </c>
      <c r="E536" t="s">
        <v>50</v>
      </c>
    </row>
    <row r="537" spans="1:5">
      <c r="A537" s="4" t="s">
        <v>754</v>
      </c>
      <c r="B537" s="8" t="s">
        <v>334</v>
      </c>
      <c r="C537" s="6" t="str">
        <f t="array" ref="C537">_xlfn.TEXTJOIN(" ",TRUE,IF(D:D=A537,E:E,""))</f>
        <v/>
      </c>
      <c r="D537" t="s">
        <v>721</v>
      </c>
      <c r="E537" t="s">
        <v>56</v>
      </c>
    </row>
    <row r="538" spans="1:5">
      <c r="A538" s="4" t="s">
        <v>756</v>
      </c>
      <c r="B538" s="8" t="s">
        <v>38</v>
      </c>
      <c r="C538" s="6" t="str">
        <f t="array" ref="C538">_xlfn.TEXTJOIN(" ",TRUE,IF(D:D=A538,E:E,""))</f>
        <v>ddhub:PowerQuantity</v>
      </c>
      <c r="D538" t="s">
        <v>722</v>
      </c>
      <c r="E538" t="s">
        <v>50</v>
      </c>
    </row>
    <row r="539" spans="1:5">
      <c r="A539" s="4" t="s">
        <v>758</v>
      </c>
      <c r="B539" s="8" t="s">
        <v>1275</v>
      </c>
      <c r="C539" s="6" t="str">
        <f t="array" ref="C539">_xlfn.TEXTJOIN(" ",TRUE,IF(D:D=A539,E:E,""))</f>
        <v>ddhub:TensionQuantity ddhub:ForceQuantity</v>
      </c>
      <c r="D539" t="s">
        <v>723</v>
      </c>
      <c r="E539" t="s">
        <v>56</v>
      </c>
    </row>
    <row r="540" spans="1:5">
      <c r="A540" s="4" t="s">
        <v>760</v>
      </c>
      <c r="B540" s="8" t="s">
        <v>236</v>
      </c>
      <c r="C540" s="6" t="str">
        <f t="array" ref="C540">_xlfn.TEXTJOIN(" ",TRUE,IF(D:D=A540,E:E,""))</f>
        <v>ddhub:TorqueQuantity</v>
      </c>
      <c r="D540" t="s">
        <v>724</v>
      </c>
      <c r="E540" t="s">
        <v>201</v>
      </c>
    </row>
    <row r="541" spans="1:5">
      <c r="A541" s="4" t="s">
        <v>762</v>
      </c>
      <c r="B541" s="8" t="s">
        <v>238</v>
      </c>
      <c r="C541" s="6" t="str">
        <f t="array" ref="C541">_xlfn.TEXTJOIN(" ",TRUE,IF(D:D=A541,E:E,""))</f>
        <v>ddhub:TorqueGradientPerLengthQuantity</v>
      </c>
      <c r="D541" t="s">
        <v>725</v>
      </c>
      <c r="E541" t="s">
        <v>195</v>
      </c>
    </row>
    <row r="542" spans="1:5">
      <c r="A542" s="4" t="s">
        <v>763</v>
      </c>
      <c r="B542" s="8" t="s">
        <v>238</v>
      </c>
      <c r="C542" s="6" t="str">
        <f t="array" ref="C542">_xlfn.TEXTJOIN(" ",TRUE,IF(D:D=A542,E:E,""))</f>
        <v>ddhub:TorqueGradientPerLengthQuantity</v>
      </c>
      <c r="D542" t="s">
        <v>726</v>
      </c>
      <c r="E542" t="s">
        <v>195</v>
      </c>
    </row>
    <row r="543" spans="1:5">
      <c r="A543" s="4" t="s">
        <v>764</v>
      </c>
      <c r="B543" s="8" t="s">
        <v>238</v>
      </c>
      <c r="C543" s="6" t="str">
        <f t="array" ref="C543">_xlfn.TEXTJOIN(" ",TRUE,IF(D:D=A543,E:E,""))</f>
        <v>ddhub:TorqueGradientPerLengthQuantity</v>
      </c>
      <c r="D543" t="s">
        <v>727</v>
      </c>
      <c r="E543" t="s">
        <v>25</v>
      </c>
    </row>
    <row r="544" spans="1:5">
      <c r="A544" s="4" t="s">
        <v>765</v>
      </c>
      <c r="B544" s="8" t="s">
        <v>238</v>
      </c>
      <c r="C544" s="6" t="str">
        <f t="array" ref="C544">_xlfn.TEXTJOIN(" ",TRUE,IF(D:D=A544,E:E,""))</f>
        <v>ddhub:TorqueGradientPerLengthQuantity</v>
      </c>
      <c r="D544" t="s">
        <v>728</v>
      </c>
      <c r="E544" t="s">
        <v>201</v>
      </c>
    </row>
    <row r="545" spans="1:5">
      <c r="A545" s="4" t="s">
        <v>766</v>
      </c>
      <c r="B545" s="8" t="s">
        <v>238</v>
      </c>
      <c r="C545" s="6" t="str">
        <f t="array" ref="C545">_xlfn.TEXTJOIN(" ",TRUE,IF(D:D=A545,E:E,""))</f>
        <v>ddhub:TorqueGradientPerLengthQuantity</v>
      </c>
      <c r="D545" t="s">
        <v>729</v>
      </c>
      <c r="E545" t="s">
        <v>379</v>
      </c>
    </row>
    <row r="546" spans="1:5">
      <c r="A546" s="4" t="s">
        <v>767</v>
      </c>
      <c r="B546" s="8" t="s">
        <v>238</v>
      </c>
      <c r="C546" s="6" t="str">
        <f t="array" ref="C546">_xlfn.TEXTJOIN(" ",TRUE,IF(D:D=A546,E:E,""))</f>
        <v>ddhub:TorqueGradientPerLengthQuantity</v>
      </c>
      <c r="D546" t="s">
        <v>731</v>
      </c>
      <c r="E546" t="s">
        <v>38</v>
      </c>
    </row>
    <row r="547" spans="1:5">
      <c r="A547" s="4" t="s">
        <v>768</v>
      </c>
      <c r="B547" s="8" t="s">
        <v>236</v>
      </c>
      <c r="C547" s="6" t="str">
        <f t="array" ref="C547">_xlfn.TEXTJOIN(" ",TRUE,IF(D:D=A547,E:E,""))</f>
        <v>ddhub:TorqueQuantity</v>
      </c>
      <c r="D547" t="s">
        <v>732</v>
      </c>
      <c r="E547" t="s">
        <v>381</v>
      </c>
    </row>
    <row r="548" spans="1:5">
      <c r="A548" s="4" t="s">
        <v>769</v>
      </c>
      <c r="B548" s="8" t="s">
        <v>238</v>
      </c>
      <c r="C548" s="6" t="str">
        <f t="array" ref="C548">_xlfn.TEXTJOIN(" ",TRUE,IF(D:D=A548,E:E,""))</f>
        <v>ddhub:TorqueGradientPerLengthQuantity</v>
      </c>
      <c r="D548" t="s">
        <v>733</v>
      </c>
      <c r="E548" t="s">
        <v>201</v>
      </c>
    </row>
    <row r="549" spans="1:5">
      <c r="A549" s="4" t="s">
        <v>770</v>
      </c>
      <c r="B549" s="8" t="s">
        <v>238</v>
      </c>
      <c r="C549" s="6" t="str">
        <f t="array" ref="C549">_xlfn.TEXTJOIN(" ",TRUE,IF(D:D=A549,E:E,""))</f>
        <v>ddhub:TorqueGradientPerLengthQuantity</v>
      </c>
      <c r="D549" t="s">
        <v>735</v>
      </c>
      <c r="E549" t="s">
        <v>192</v>
      </c>
    </row>
    <row r="550" spans="1:5">
      <c r="A550" s="4" t="s">
        <v>771</v>
      </c>
      <c r="B550" s="8" t="s">
        <v>238</v>
      </c>
      <c r="C550" s="6" t="str">
        <f t="array" ref="C550">_xlfn.TEXTJOIN(" ",TRUE,IF(D:D=A550,E:E,""))</f>
        <v>ddhub:TorqueGradientPerLengthQuantity</v>
      </c>
      <c r="D550" t="s">
        <v>737</v>
      </c>
      <c r="E550" t="s">
        <v>201</v>
      </c>
    </row>
    <row r="551" spans="1:5">
      <c r="A551" s="4" t="s">
        <v>772</v>
      </c>
      <c r="B551" s="8" t="s">
        <v>238</v>
      </c>
      <c r="C551" s="6" t="str">
        <f t="array" ref="C551">_xlfn.TEXTJOIN(" ",TRUE,IF(D:D=A551,E:E,""))</f>
        <v>ddhub:TorqueGradientPerLengthQuantity</v>
      </c>
      <c r="D551" t="s">
        <v>738</v>
      </c>
      <c r="E551" t="s">
        <v>201</v>
      </c>
    </row>
    <row r="552" spans="1:5">
      <c r="A552" s="4" t="s">
        <v>773</v>
      </c>
      <c r="B552" s="8" t="s">
        <v>238</v>
      </c>
      <c r="C552" s="6" t="str">
        <f t="array" ref="C552">_xlfn.TEXTJOIN(" ",TRUE,IF(D:D=A552,E:E,""))</f>
        <v>ddhub:TorqueGradientPerLengthQuantity</v>
      </c>
      <c r="D552" t="s">
        <v>739</v>
      </c>
      <c r="E552" t="s">
        <v>201</v>
      </c>
    </row>
    <row r="553" spans="1:5">
      <c r="A553" s="4" t="s">
        <v>774</v>
      </c>
      <c r="B553" s="8" t="s">
        <v>238</v>
      </c>
      <c r="C553" s="6" t="str">
        <f t="array" ref="C553">_xlfn.TEXTJOIN(" ",TRUE,IF(D:D=A553,E:E,""))</f>
        <v>ddhub:TorqueGradientPerLengthQuantity</v>
      </c>
      <c r="D553" t="s">
        <v>740</v>
      </c>
      <c r="E553" t="s">
        <v>13</v>
      </c>
    </row>
    <row r="554" spans="1:5">
      <c r="A554" s="4" t="s">
        <v>775</v>
      </c>
      <c r="B554" s="8" t="s">
        <v>236</v>
      </c>
      <c r="C554" s="6" t="str">
        <f t="array" ref="C554">_xlfn.TEXTJOIN(" ",TRUE,IF(D:D=A554,E:E,""))</f>
        <v>ddhub:TorqueQuantity</v>
      </c>
      <c r="D554" t="s">
        <v>742</v>
      </c>
      <c r="E554" t="s">
        <v>227</v>
      </c>
    </row>
    <row r="555" spans="1:5">
      <c r="A555" s="4" t="s">
        <v>777</v>
      </c>
      <c r="B555" s="8" t="s">
        <v>238</v>
      </c>
      <c r="C555" s="6" t="str">
        <f t="array" ref="C555">_xlfn.TEXTJOIN(" ",TRUE,IF(D:D=A555,E:E,""))</f>
        <v>ddhub:TorqueGradientPerLengthQuantity</v>
      </c>
      <c r="D555" t="s">
        <v>743</v>
      </c>
      <c r="E555" t="s">
        <v>206</v>
      </c>
    </row>
    <row r="556" spans="1:5">
      <c r="A556" s="4" t="s">
        <v>778</v>
      </c>
      <c r="B556" s="8" t="s">
        <v>238</v>
      </c>
      <c r="C556" s="6" t="str">
        <f t="array" ref="C556">_xlfn.TEXTJOIN(" ",TRUE,IF(D:D=A556,E:E,""))</f>
        <v>ddhub:TorqueGradientPerLengthQuantity</v>
      </c>
      <c r="D556" t="s">
        <v>744</v>
      </c>
      <c r="E556" t="s">
        <v>34</v>
      </c>
    </row>
    <row r="557" spans="1:5">
      <c r="A557" s="4" t="s">
        <v>779</v>
      </c>
      <c r="B557" s="8" t="s">
        <v>238</v>
      </c>
      <c r="C557" s="6" t="str">
        <f t="array" ref="C557">_xlfn.TEXTJOIN(" ",TRUE,IF(D:D=A557,E:E,""))</f>
        <v>ddhub:TorqueGradientPerLengthQuantity</v>
      </c>
      <c r="D557" t="s">
        <v>746</v>
      </c>
      <c r="E557" t="s">
        <v>9</v>
      </c>
    </row>
    <row r="558" spans="1:5">
      <c r="A558" s="4" t="s">
        <v>780</v>
      </c>
      <c r="B558" s="8" t="s">
        <v>238</v>
      </c>
      <c r="C558" s="6" t="str">
        <f t="array" ref="C558">_xlfn.TEXTJOIN(" ",TRUE,IF(D:D=A558,E:E,""))</f>
        <v>ddhub:TorqueGradientPerLengthQuantity</v>
      </c>
      <c r="D558" t="s">
        <v>748</v>
      </c>
      <c r="E558" t="s">
        <v>192</v>
      </c>
    </row>
    <row r="559" spans="1:5">
      <c r="A559" s="4" t="s">
        <v>781</v>
      </c>
      <c r="B559" s="8" t="s">
        <v>238</v>
      </c>
      <c r="C559" s="6" t="str">
        <f t="array" ref="C559">_xlfn.TEXTJOIN(" ",TRUE,IF(D:D=A559,E:E,""))</f>
        <v>ddhub:TorqueGradientPerLengthQuantity</v>
      </c>
      <c r="D559" t="s">
        <v>750</v>
      </c>
      <c r="E559" t="s">
        <v>201</v>
      </c>
    </row>
    <row r="560" spans="1:5">
      <c r="A560" s="4" t="s">
        <v>782</v>
      </c>
      <c r="B560" s="8" t="s">
        <v>238</v>
      </c>
      <c r="C560" s="6" t="str">
        <f t="array" ref="C560">_xlfn.TEXTJOIN(" ",TRUE,IF(D:D=A560,E:E,""))</f>
        <v>ddhub:TorqueGradientPerLengthQuantity</v>
      </c>
      <c r="D560" t="s">
        <v>752</v>
      </c>
      <c r="E560" t="s">
        <v>379</v>
      </c>
    </row>
    <row r="561" spans="1:5">
      <c r="A561" s="4" t="s">
        <v>783</v>
      </c>
      <c r="B561" s="8" t="s">
        <v>236</v>
      </c>
      <c r="C561" s="6" t="str">
        <f t="array" ref="C561">_xlfn.TEXTJOIN(" ",TRUE,IF(D:D=A561,E:E,""))</f>
        <v>ddhub:TorqueQuantity</v>
      </c>
      <c r="D561" t="s">
        <v>756</v>
      </c>
      <c r="E561" t="s">
        <v>38</v>
      </c>
    </row>
    <row r="562" spans="1:5">
      <c r="A562" s="4" t="s">
        <v>784</v>
      </c>
      <c r="B562" s="8" t="s">
        <v>238</v>
      </c>
      <c r="C562" s="6" t="str">
        <f t="array" ref="C562">_xlfn.TEXTJOIN(" ",TRUE,IF(D:D=A562,E:E,""))</f>
        <v>ddhub:TorqueGradientPerLengthQuantity</v>
      </c>
      <c r="D562" t="s">
        <v>758</v>
      </c>
      <c r="E562" t="s">
        <v>2281</v>
      </c>
    </row>
    <row r="563" spans="1:5">
      <c r="A563" s="4" t="s">
        <v>785</v>
      </c>
      <c r="B563" s="8" t="s">
        <v>238</v>
      </c>
      <c r="C563" s="6" t="str">
        <f t="array" ref="C563">_xlfn.TEXTJOIN(" ",TRUE,IF(D:D=A563,E:E,""))</f>
        <v>ddhub:TorqueGradientPerLengthQuantity</v>
      </c>
      <c r="D563" t="s">
        <v>758</v>
      </c>
      <c r="E563" t="s">
        <v>1275</v>
      </c>
    </row>
    <row r="564" spans="1:5">
      <c r="A564" s="4" t="s">
        <v>786</v>
      </c>
      <c r="B564" s="8" t="s">
        <v>238</v>
      </c>
      <c r="C564" s="6" t="str">
        <f t="array" ref="C564">_xlfn.TEXTJOIN(" ",TRUE,IF(D:D=A564,E:E,""))</f>
        <v>ddhub:TorqueGradientPerLengthQuantity</v>
      </c>
      <c r="D564" t="s">
        <v>760</v>
      </c>
      <c r="E564" t="s">
        <v>236</v>
      </c>
    </row>
    <row r="565" spans="1:5">
      <c r="A565" s="4" t="s">
        <v>787</v>
      </c>
      <c r="B565" s="8" t="s">
        <v>238</v>
      </c>
      <c r="C565" s="6" t="str">
        <f t="array" ref="C565">_xlfn.TEXTJOIN(" ",TRUE,IF(D:D=A565,E:E,""))</f>
        <v>ddhub:TorqueGradientPerLengthQuantity</v>
      </c>
      <c r="D565" t="s">
        <v>762</v>
      </c>
      <c r="E565" t="s">
        <v>238</v>
      </c>
    </row>
    <row r="566" spans="1:5">
      <c r="A566" s="4" t="s">
        <v>788</v>
      </c>
      <c r="B566" s="8" t="s">
        <v>238</v>
      </c>
      <c r="C566" s="6" t="str">
        <f t="array" ref="C566">_xlfn.TEXTJOIN(" ",TRUE,IF(D:D=A566,E:E,""))</f>
        <v>ddhub:TorqueGradientPerLengthQuantity</v>
      </c>
      <c r="D566" t="s">
        <v>763</v>
      </c>
      <c r="E566" t="s">
        <v>238</v>
      </c>
    </row>
    <row r="567" spans="1:5">
      <c r="A567" s="4" t="s">
        <v>789</v>
      </c>
      <c r="B567" s="8" t="s">
        <v>238</v>
      </c>
      <c r="C567" s="6" t="str">
        <f t="array" ref="C567">_xlfn.TEXTJOIN(" ",TRUE,IF(D:D=A567,E:E,""))</f>
        <v>ddhub:TorqueGradientPerLengthQuantity</v>
      </c>
      <c r="D567" t="s">
        <v>764</v>
      </c>
      <c r="E567" t="s">
        <v>238</v>
      </c>
    </row>
    <row r="568" spans="1:5">
      <c r="A568" s="4" t="s">
        <v>790</v>
      </c>
      <c r="B568" s="8" t="s">
        <v>246</v>
      </c>
      <c r="C568" s="6" t="str">
        <f t="array" ref="C568">_xlfn.TEXTJOIN(" ",TRUE,IF(D:D=A568,E:E,""))</f>
        <v>ddhub:ForceGradientPerLengthQuantity</v>
      </c>
      <c r="D568" t="s">
        <v>765</v>
      </c>
      <c r="E568" t="s">
        <v>238</v>
      </c>
    </row>
    <row r="569" spans="1:5">
      <c r="A569" s="4" t="s">
        <v>791</v>
      </c>
      <c r="B569" s="8" t="s">
        <v>246</v>
      </c>
      <c r="C569" s="6" t="str">
        <f t="array" ref="C569">_xlfn.TEXTJOIN(" ",TRUE,IF(D:D=A569,E:E,""))</f>
        <v>ddhub:ForceGradientPerLengthQuantity</v>
      </c>
      <c r="D569" t="s">
        <v>766</v>
      </c>
      <c r="E569" t="s">
        <v>238</v>
      </c>
    </row>
    <row r="570" spans="1:5">
      <c r="A570" s="4" t="s">
        <v>792</v>
      </c>
      <c r="B570" s="8" t="s">
        <v>246</v>
      </c>
      <c r="C570" s="6" t="str">
        <f t="array" ref="C570">_xlfn.TEXTJOIN(" ",TRUE,IF(D:D=A570,E:E,""))</f>
        <v>ddhub:ForceGradientPerLengthQuantity</v>
      </c>
      <c r="D570" t="s">
        <v>767</v>
      </c>
      <c r="E570" t="s">
        <v>238</v>
      </c>
    </row>
    <row r="571" spans="1:5">
      <c r="A571" s="4" t="s">
        <v>793</v>
      </c>
      <c r="B571" s="8" t="s">
        <v>246</v>
      </c>
      <c r="C571" s="6" t="str">
        <f t="array" ref="C571">_xlfn.TEXTJOIN(" ",TRUE,IF(D:D=A571,E:E,""))</f>
        <v>ddhub:ForceGradientPerLengthQuantity</v>
      </c>
      <c r="D571" t="s">
        <v>768</v>
      </c>
      <c r="E571" t="s">
        <v>236</v>
      </c>
    </row>
    <row r="572" spans="1:5">
      <c r="A572" s="4" t="s">
        <v>794</v>
      </c>
      <c r="B572" s="8" t="s">
        <v>246</v>
      </c>
      <c r="C572" s="6" t="str">
        <f t="array" ref="C572">_xlfn.TEXTJOIN(" ",TRUE,IF(D:D=A572,E:E,""))</f>
        <v>ddhub:ForceGradientPerLengthQuantity ddhub:InterfacialTensionQuantity</v>
      </c>
      <c r="D572" t="s">
        <v>769</v>
      </c>
      <c r="E572" t="s">
        <v>238</v>
      </c>
    </row>
    <row r="573" spans="1:5">
      <c r="A573" s="4" t="s">
        <v>797</v>
      </c>
      <c r="B573" s="8" t="s">
        <v>246</v>
      </c>
      <c r="C573" s="6" t="str">
        <f t="array" ref="C573">_xlfn.TEXTJOIN(" ",TRUE,IF(D:D=A573,E:E,""))</f>
        <v>ddhub:ForceGradientPerLengthQuantity</v>
      </c>
      <c r="D573" t="s">
        <v>770</v>
      </c>
      <c r="E573" t="s">
        <v>238</v>
      </c>
    </row>
    <row r="574" spans="1:5">
      <c r="A574" s="4" t="s">
        <v>798</v>
      </c>
      <c r="B574" s="8" t="s">
        <v>170</v>
      </c>
      <c r="C574" s="6" t="str">
        <f t="array" ref="C574">_xlfn.TEXTJOIN(" ",TRUE,IF(D:D=A574,E:E,""))</f>
        <v>ddhub:StressQuantity ddhub:PressureQuantity</v>
      </c>
      <c r="D574" t="s">
        <v>771</v>
      </c>
      <c r="E574" t="s">
        <v>238</v>
      </c>
    </row>
    <row r="575" spans="1:5">
      <c r="A575" s="4" t="s">
        <v>799</v>
      </c>
      <c r="B575" s="8" t="s">
        <v>170</v>
      </c>
      <c r="C575" s="6" t="str">
        <f t="array" ref="C575">_xlfn.TEXTJOIN(" ",TRUE,IF(D:D=A575,E:E,""))</f>
        <v>ddhub:StressQuantity ddhub:PressureQuantity</v>
      </c>
      <c r="D575" t="s">
        <v>772</v>
      </c>
      <c r="E575" t="s">
        <v>238</v>
      </c>
    </row>
    <row r="576" spans="1:5">
      <c r="A576" s="4" t="s">
        <v>800</v>
      </c>
      <c r="B576" s="8" t="s">
        <v>170</v>
      </c>
      <c r="C576" s="6" t="str">
        <f t="array" ref="C576">_xlfn.TEXTJOIN(" ",TRUE,IF(D:D=A576,E:E,""))</f>
        <v>ddhub:StressQuantity ddhub:PressureQuantity</v>
      </c>
      <c r="D576" t="s">
        <v>773</v>
      </c>
      <c r="E576" t="s">
        <v>238</v>
      </c>
    </row>
    <row r="577" spans="1:5">
      <c r="A577" s="4" t="s">
        <v>801</v>
      </c>
      <c r="B577" s="8" t="s">
        <v>25</v>
      </c>
      <c r="C577" s="6" t="str">
        <f t="array" ref="C577">_xlfn.TEXTJOIN(" ",TRUE,IF(D:D=A577,E:E,""))</f>
        <v>ddhub:PlaneAngleQuantity</v>
      </c>
      <c r="D577" t="s">
        <v>774</v>
      </c>
      <c r="E577" t="s">
        <v>238</v>
      </c>
    </row>
    <row r="578" spans="1:5">
      <c r="A578" s="4" t="s">
        <v>802</v>
      </c>
      <c r="B578" s="8" t="s">
        <v>334</v>
      </c>
      <c r="C578" s="6" t="str">
        <f t="array" ref="C578">_xlfn.TEXTJOIN(" ",TRUE,IF(D:D=A578,E:E,""))</f>
        <v>ddhub:ElectricResistivityQuantity</v>
      </c>
      <c r="D578" t="s">
        <v>775</v>
      </c>
      <c r="E578" t="s">
        <v>236</v>
      </c>
    </row>
    <row r="579" spans="1:5">
      <c r="A579" s="4" t="s">
        <v>803</v>
      </c>
      <c r="B579" s="8" t="s">
        <v>34</v>
      </c>
      <c r="C579" s="6" t="str">
        <f t="array" ref="C579">_xlfn.TEXTJOIN(" ",TRUE,IF(D:D=A579,E:E,""))</f>
        <v>ddhub:MassQuantity</v>
      </c>
      <c r="D579" t="s">
        <v>777</v>
      </c>
      <c r="E579" t="s">
        <v>238</v>
      </c>
    </row>
    <row r="580" spans="1:5">
      <c r="A580" s="4" t="s">
        <v>804</v>
      </c>
      <c r="B580" s="8" t="s">
        <v>9</v>
      </c>
      <c r="C580" s="6" t="str">
        <f t="array" ref="C580">_xlfn.TEXTJOIN(" ",TRUE,IF(D:D=A580,E:E,""))</f>
        <v>ddhub:LengthQuantity</v>
      </c>
      <c r="D580" t="s">
        <v>778</v>
      </c>
      <c r="E580" t="s">
        <v>238</v>
      </c>
    </row>
    <row r="581" spans="1:5">
      <c r="A581" s="4" t="s">
        <v>805</v>
      </c>
      <c r="B581" s="8" t="s">
        <v>332</v>
      </c>
      <c r="C581" s="6" t="str">
        <f t="array" ref="C581">_xlfn.TEXTJOIN(" ",TRUE,IF(D:D=A581,E:E,""))</f>
        <v>ddhub:ProportionQuantity</v>
      </c>
      <c r="D581" t="s">
        <v>779</v>
      </c>
      <c r="E581" t="s">
        <v>238</v>
      </c>
    </row>
    <row r="582" spans="1:5">
      <c r="A582" s="4" t="s">
        <v>808</v>
      </c>
      <c r="B582" s="8" t="s">
        <v>170</v>
      </c>
      <c r="C582" s="6" t="str">
        <f t="array" ref="C582">_xlfn.TEXTJOIN(" ",TRUE,IF(D:D=A582,E:E,""))</f>
        <v>ddhub:StressQuantity ddhub:PressureQuantity ddhub:MaterialStrengthQuantity</v>
      </c>
      <c r="D582" t="s">
        <v>780</v>
      </c>
      <c r="E582" t="s">
        <v>238</v>
      </c>
    </row>
    <row r="583" spans="1:5">
      <c r="A583" s="4" t="s">
        <v>809</v>
      </c>
      <c r="B583" s="8" t="s">
        <v>334</v>
      </c>
      <c r="C583" s="6" t="str">
        <f t="array" ref="C583">_xlfn.TEXTJOIN(" ",TRUE,IF(D:D=A583,E:E,""))</f>
        <v>ddhub:PressureGradientPerLengthQuantity</v>
      </c>
      <c r="D583" t="s">
        <v>781</v>
      </c>
      <c r="E583" t="s">
        <v>238</v>
      </c>
    </row>
    <row r="584" spans="1:5">
      <c r="A584" s="4" t="s">
        <v>811</v>
      </c>
      <c r="B584" s="8" t="s">
        <v>195</v>
      </c>
      <c r="C584" s="6" t="str">
        <f t="array" ref="C584">_xlfn.TEXTJOIN(" ",TRUE,IF(D:D=A584,E:E,""))</f>
        <v>ddhub:DynamicViscosityQuantity</v>
      </c>
      <c r="D584" t="s">
        <v>782</v>
      </c>
      <c r="E584" t="s">
        <v>238</v>
      </c>
    </row>
    <row r="585" spans="1:5">
      <c r="A585" s="4" t="s">
        <v>812</v>
      </c>
      <c r="B585" s="8" t="s">
        <v>332</v>
      </c>
      <c r="C585" s="6" t="str">
        <f t="array" ref="C585">_xlfn.TEXTJOIN(" ",TRUE,IF(D:D=A585,E:E,""))</f>
        <v>ddhub:ProportionQuantity</v>
      </c>
      <c r="D585" t="s">
        <v>783</v>
      </c>
      <c r="E585" t="s">
        <v>236</v>
      </c>
    </row>
    <row r="586" spans="1:5">
      <c r="A586" s="4" t="s">
        <v>815</v>
      </c>
      <c r="B586" s="8" t="s">
        <v>332</v>
      </c>
      <c r="C586" s="6" t="str">
        <f t="array" ref="C586">_xlfn.TEXTJOIN(" ",TRUE,IF(D:D=A586,E:E,""))</f>
        <v>ddhub:ProportionQuantity</v>
      </c>
      <c r="D586" t="s">
        <v>784</v>
      </c>
      <c r="E586" t="s">
        <v>238</v>
      </c>
    </row>
    <row r="587" spans="1:5">
      <c r="A587" s="4" t="s">
        <v>817</v>
      </c>
      <c r="B587" s="8" t="s">
        <v>38</v>
      </c>
      <c r="C587" s="6" t="str">
        <f t="array" ref="C587">_xlfn.TEXTJOIN(" ",TRUE,IF(D:D=A587,E:E,""))</f>
        <v>ddhub:PowerQuantity</v>
      </c>
      <c r="D587" t="s">
        <v>785</v>
      </c>
      <c r="E587" t="s">
        <v>238</v>
      </c>
    </row>
    <row r="588" spans="1:5">
      <c r="A588" s="4" t="s">
        <v>818</v>
      </c>
      <c r="B588" s="8" t="s">
        <v>13</v>
      </c>
      <c r="C588" s="6" t="str">
        <f t="array" ref="C588">_xlfn.TEXTJOIN(" ",TRUE,IF(D:D=A588,E:E,""))</f>
        <v>ddhub:ElectricCurrentQuantity</v>
      </c>
      <c r="D588" t="s">
        <v>786</v>
      </c>
      <c r="E588" t="s">
        <v>238</v>
      </c>
    </row>
    <row r="589" spans="1:5">
      <c r="A589" s="4" t="s">
        <v>819</v>
      </c>
      <c r="B589" s="8" t="s">
        <v>334</v>
      </c>
      <c r="C589" s="6" t="str">
        <f t="array" ref="C589">_xlfn.TEXTJOIN(" ",TRUE,IF(D:D=A589,E:E,""))</f>
        <v>ddhub:ElectricCapacitanceQuantity</v>
      </c>
      <c r="D589" t="s">
        <v>787</v>
      </c>
      <c r="E589" t="s">
        <v>238</v>
      </c>
    </row>
    <row r="590" spans="1:5">
      <c r="A590" s="4" t="s">
        <v>820</v>
      </c>
      <c r="B590" s="8" t="s">
        <v>9</v>
      </c>
      <c r="C590" s="6" t="str">
        <f t="array" ref="C590">_xlfn.TEXTJOIN(" ",TRUE,IF(D:D=A590,E:E,""))</f>
        <v>ddhub:LengthQuantity</v>
      </c>
      <c r="D590" t="s">
        <v>788</v>
      </c>
      <c r="E590" t="s">
        <v>238</v>
      </c>
    </row>
    <row r="591" spans="1:5">
      <c r="A591" s="4" t="s">
        <v>821</v>
      </c>
      <c r="B591" s="8" t="s">
        <v>334</v>
      </c>
      <c r="C591" s="6" t="str">
        <f t="array" ref="C591">_xlfn.TEXTJOIN(" ",TRUE,IF(D:D=A591,E:E,""))</f>
        <v>ddhub:AmountSubstanceQuantity</v>
      </c>
      <c r="D591" t="s">
        <v>789</v>
      </c>
      <c r="E591" t="s">
        <v>238</v>
      </c>
    </row>
    <row r="592" spans="1:5">
      <c r="A592" s="4" t="s">
        <v>822</v>
      </c>
      <c r="B592" s="8" t="s">
        <v>201</v>
      </c>
      <c r="C592" s="6" t="str">
        <f t="array" ref="C592">_xlfn.TEXTJOIN(" ",TRUE,IF(D:D=A592,E:E,""))</f>
        <v>ddhub:TimeQuantity</v>
      </c>
      <c r="D592" t="s">
        <v>790</v>
      </c>
      <c r="E592" t="s">
        <v>246</v>
      </c>
    </row>
    <row r="593" spans="1:5">
      <c r="A593" s="4" t="s">
        <v>823</v>
      </c>
      <c r="B593" s="8" t="s">
        <v>334</v>
      </c>
      <c r="C593" s="6" t="str">
        <f t="array" ref="C593">_xlfn.TEXTJOIN(" ",TRUE,IF(D:D=A593,E:E,""))</f>
        <v/>
      </c>
      <c r="D593" t="s">
        <v>791</v>
      </c>
      <c r="E593" t="s">
        <v>246</v>
      </c>
    </row>
    <row r="594" spans="1:5">
      <c r="A594" s="4" t="s">
        <v>824</v>
      </c>
      <c r="B594" s="8" t="s">
        <v>38</v>
      </c>
      <c r="C594" s="6" t="str">
        <f t="array" ref="C594">_xlfn.TEXTJOIN(" ",TRUE,IF(D:D=A594,E:E,""))</f>
        <v>ddhub:PowerQuantity</v>
      </c>
      <c r="D594" t="s">
        <v>792</v>
      </c>
      <c r="E594" t="s">
        <v>246</v>
      </c>
    </row>
    <row r="595" spans="1:5">
      <c r="A595" s="4" t="s">
        <v>825</v>
      </c>
      <c r="B595" s="8" t="s">
        <v>195</v>
      </c>
      <c r="C595" s="6" t="str">
        <f t="array" ref="C595">_xlfn.TEXTJOIN(" ",TRUE,IF(D:D=A595,E:E,""))</f>
        <v>ddhub:DynamicViscosityQuantity</v>
      </c>
      <c r="D595" t="s">
        <v>793</v>
      </c>
      <c r="E595" t="s">
        <v>246</v>
      </c>
    </row>
    <row r="596" spans="1:5">
      <c r="A596" s="4" t="s">
        <v>826</v>
      </c>
      <c r="B596" s="8" t="s">
        <v>34</v>
      </c>
      <c r="C596" s="6" t="str">
        <f t="array" ref="C596">_xlfn.TEXTJOIN(" ",TRUE,IF(D:D=A596,E:E,""))</f>
        <v>ddhub:GravitationalLoadQuantity ddhub:MassQuantity</v>
      </c>
      <c r="D596" t="s">
        <v>794</v>
      </c>
      <c r="E596" t="s">
        <v>246</v>
      </c>
    </row>
    <row r="597" spans="1:5">
      <c r="A597" s="4" t="s">
        <v>827</v>
      </c>
      <c r="B597" s="8" t="s">
        <v>1275</v>
      </c>
      <c r="C597" s="6" t="str">
        <f t="array" ref="C597">_xlfn.TEXTJOIN(" ",TRUE,IF(D:D=A597,E:E,""))</f>
        <v>ddhub:TensionQuantity ddhub:ForceQuantity</v>
      </c>
      <c r="D597" t="s">
        <v>794</v>
      </c>
      <c r="E597" t="s">
        <v>342</v>
      </c>
    </row>
    <row r="598" spans="1:5">
      <c r="A598" s="4" t="s">
        <v>828</v>
      </c>
      <c r="B598" s="8" t="s">
        <v>334</v>
      </c>
      <c r="C598" s="6" t="str">
        <f t="array" ref="C598">_xlfn.TEXTJOIN(" ",TRUE,IF(D:D=A598,E:E,""))</f>
        <v>ddhub:ForceGradientPerLengthQuantity</v>
      </c>
      <c r="D598" t="s">
        <v>797</v>
      </c>
      <c r="E598" t="s">
        <v>246</v>
      </c>
    </row>
    <row r="599" spans="1:5">
      <c r="A599" s="4" t="s">
        <v>830</v>
      </c>
      <c r="B599" s="8" t="s">
        <v>334</v>
      </c>
      <c r="C599" s="6" t="str">
        <f t="array" ref="C599">_xlfn.TEXTJOIN(" ",TRUE,IF(D:D=A599,E:E,""))</f>
        <v>ddhub:StressQuantity ddhub:PressureQuantity ddhub:MaterialStrengthQuantity</v>
      </c>
      <c r="D599" t="s">
        <v>798</v>
      </c>
      <c r="E599" t="s">
        <v>2279</v>
      </c>
    </row>
    <row r="600" spans="1:5">
      <c r="A600" s="4" t="s">
        <v>831</v>
      </c>
      <c r="B600" s="8" t="s">
        <v>334</v>
      </c>
      <c r="C600" s="6" t="str">
        <f t="array" ref="C600">_xlfn.TEXTJOIN(" ",TRUE,IF(D:D=A600,E:E,""))</f>
        <v>ddhub:ForceGradientPerLengthQuantity</v>
      </c>
      <c r="D600" t="s">
        <v>798</v>
      </c>
      <c r="E600" t="s">
        <v>170</v>
      </c>
    </row>
    <row r="601" spans="1:5">
      <c r="A601" s="4" t="s">
        <v>832</v>
      </c>
      <c r="B601" s="8" t="s">
        <v>416</v>
      </c>
      <c r="C601" s="6" t="str">
        <f t="array" ref="C601">_xlfn.TEXTJOIN(" ",TRUE,IF(D:D=A601,E:E,""))</f>
        <v>ddhub:MassDensityQuantity</v>
      </c>
      <c r="D601" t="s">
        <v>799</v>
      </c>
      <c r="E601" t="s">
        <v>2279</v>
      </c>
    </row>
    <row r="602" spans="1:5">
      <c r="A602" s="4" t="s">
        <v>833</v>
      </c>
      <c r="B602" s="8" t="s">
        <v>416</v>
      </c>
      <c r="C602" s="6" t="str">
        <f t="array" ref="C602">_xlfn.TEXTJOIN(" ",TRUE,IF(D:D=A602,E:E,""))</f>
        <v>ddhub:MassDensityGradientPerLengthQuantity</v>
      </c>
      <c r="D602" t="s">
        <v>799</v>
      </c>
      <c r="E602" t="s">
        <v>170</v>
      </c>
    </row>
    <row r="603" spans="1:5">
      <c r="A603" s="4" t="s">
        <v>834</v>
      </c>
      <c r="B603" s="8" t="s">
        <v>416</v>
      </c>
      <c r="C603" s="6" t="str">
        <f t="array" ref="C603">_xlfn.TEXTJOIN(" ",TRUE,IF(D:D=A603,E:E,""))</f>
        <v>ddhub:MassDensityGradientPerLengthQuantity</v>
      </c>
      <c r="D603" t="s">
        <v>800</v>
      </c>
      <c r="E603" t="s">
        <v>2279</v>
      </c>
    </row>
    <row r="604" spans="1:5">
      <c r="A604" s="4" t="s">
        <v>835</v>
      </c>
      <c r="B604" s="8" t="s">
        <v>426</v>
      </c>
      <c r="C604" s="6" t="str">
        <f t="array" ref="C604">_xlfn.TEXTJOIN(" ",TRUE,IF(D:D=A604,E:E,""))</f>
        <v>ddhub:MassDensityGradientPerTemperatureQuantity</v>
      </c>
      <c r="D604" t="s">
        <v>800</v>
      </c>
      <c r="E604" t="s">
        <v>170</v>
      </c>
    </row>
    <row r="605" spans="1:5">
      <c r="A605" s="4" t="s">
        <v>836</v>
      </c>
      <c r="B605" s="8" t="s">
        <v>334</v>
      </c>
      <c r="C605" s="6" t="str">
        <f t="array" ref="C605">_xlfn.TEXTJOIN(" ",TRUE,IF(D:D=A605,E:E,""))</f>
        <v>ddhub:MassDensityGradientPerTemperatureQuantity</v>
      </c>
      <c r="D605" t="s">
        <v>801</v>
      </c>
      <c r="E605" t="s">
        <v>25</v>
      </c>
    </row>
    <row r="606" spans="1:5">
      <c r="A606" s="4" t="s">
        <v>837</v>
      </c>
      <c r="B606" s="8" t="s">
        <v>334</v>
      </c>
      <c r="C606" s="6" t="str">
        <f t="array" ref="C606">_xlfn.TEXTJOIN(" ",TRUE,IF(D:D=A606,E:E,""))</f>
        <v>ddhub:MassDensityGradientPerLengthQuantity</v>
      </c>
      <c r="D606" t="s">
        <v>802</v>
      </c>
      <c r="E606" t="s">
        <v>400</v>
      </c>
    </row>
    <row r="607" spans="1:5">
      <c r="A607" s="4" t="s">
        <v>838</v>
      </c>
      <c r="B607" s="8" t="s">
        <v>416</v>
      </c>
      <c r="C607" s="6" t="str">
        <f t="array" ref="C607">_xlfn.TEXTJOIN(" ",TRUE,IF(D:D=A607,E:E,""))</f>
        <v>ddhub:MassDensityQuantity</v>
      </c>
      <c r="D607" t="s">
        <v>803</v>
      </c>
      <c r="E607" t="s">
        <v>34</v>
      </c>
    </row>
    <row r="608" spans="1:5">
      <c r="A608" s="4" t="s">
        <v>839</v>
      </c>
      <c r="B608" s="8" t="s">
        <v>334</v>
      </c>
      <c r="C608" s="6" t="str">
        <f t="array" ref="C608">_xlfn.TEXTJOIN(" ",TRUE,IF(D:D=A608,E:E,""))</f>
        <v>ddhub:MassDensityGradientPerLengthQuantity</v>
      </c>
      <c r="D608" t="s">
        <v>804</v>
      </c>
      <c r="E608" t="s">
        <v>9</v>
      </c>
    </row>
    <row r="609" spans="1:5">
      <c r="A609" s="4" t="s">
        <v>840</v>
      </c>
      <c r="B609" s="8" t="s">
        <v>334</v>
      </c>
      <c r="C609" s="6" t="str">
        <f t="array" ref="C609">_xlfn.TEXTJOIN(" ",TRUE,IF(D:D=A609,E:E,""))</f>
        <v>ddhub:MassDensityGradientPerLengthQuantity</v>
      </c>
      <c r="D609" t="s">
        <v>805</v>
      </c>
      <c r="E609" t="s">
        <v>816</v>
      </c>
    </row>
    <row r="610" spans="1:5">
      <c r="A610" s="4" t="s">
        <v>841</v>
      </c>
      <c r="B610" s="8" t="s">
        <v>89</v>
      </c>
      <c r="C610" s="6" t="str">
        <f t="array" ref="C610">_xlfn.TEXTJOIN(" ",TRUE,IF(D:D=A610,E:E,""))</f>
        <v>ddhub:MassDensityGradientPerTemperatureQuantity</v>
      </c>
      <c r="D610" t="s">
        <v>808</v>
      </c>
      <c r="E610" t="s">
        <v>2279</v>
      </c>
    </row>
    <row r="611" spans="1:5">
      <c r="A611" s="4" t="s">
        <v>842</v>
      </c>
      <c r="B611" s="8" t="s">
        <v>84</v>
      </c>
      <c r="C611" s="6" t="str">
        <f t="array" ref="C611">_xlfn.TEXTJOIN(" ",TRUE,IF(D:D=A611,E:E,""))</f>
        <v>ddhub:MassDensityGradientPerTemperatureQuantity</v>
      </c>
      <c r="D611" t="s">
        <v>808</v>
      </c>
      <c r="E611" t="s">
        <v>170</v>
      </c>
    </row>
    <row r="612" spans="1:5">
      <c r="A612" s="4" t="s">
        <v>843</v>
      </c>
      <c r="B612" s="8" t="s">
        <v>416</v>
      </c>
      <c r="C612" s="6" t="str">
        <f t="array" ref="C612">_xlfn.TEXTJOIN(" ",TRUE,IF(D:D=A612,E:E,""))</f>
        <v>ddhub:MassDensityGradientPerLengthQuantity</v>
      </c>
      <c r="D612" t="s">
        <v>808</v>
      </c>
      <c r="E612" t="s">
        <v>890</v>
      </c>
    </row>
    <row r="613" spans="1:5">
      <c r="A613" s="4" t="s">
        <v>844</v>
      </c>
      <c r="B613" s="8" t="s">
        <v>416</v>
      </c>
      <c r="C613" s="6" t="str">
        <f t="array" ref="C613">_xlfn.TEXTJOIN(" ",TRUE,IF(D:D=A613,E:E,""))</f>
        <v>ddhub:MassDensityQuantity</v>
      </c>
      <c r="D613" t="s">
        <v>809</v>
      </c>
      <c r="E613" t="s">
        <v>46</v>
      </c>
    </row>
    <row r="614" spans="1:5">
      <c r="A614" s="4" t="s">
        <v>845</v>
      </c>
      <c r="B614" s="8" t="s">
        <v>334</v>
      </c>
      <c r="C614" s="6" t="str">
        <f t="array" ref="C614">_xlfn.TEXTJOIN(" ",TRUE,IF(D:D=A614,E:E,""))</f>
        <v>ddhub:MassDensityGradientPerLengthQuantity</v>
      </c>
      <c r="D614" t="s">
        <v>811</v>
      </c>
      <c r="E614" t="s">
        <v>195</v>
      </c>
    </row>
    <row r="615" spans="1:5">
      <c r="A615" s="4" t="s">
        <v>846</v>
      </c>
      <c r="B615" s="8" t="s">
        <v>416</v>
      </c>
      <c r="C615" s="6" t="str">
        <f t="array" ref="C615">_xlfn.TEXTJOIN(" ",TRUE,IF(D:D=A615,E:E,""))</f>
        <v>ddhub:MassDensityGradientPerLengthQuantity</v>
      </c>
      <c r="D615" t="s">
        <v>815</v>
      </c>
      <c r="E615" t="s">
        <v>816</v>
      </c>
    </row>
    <row r="616" spans="1:5">
      <c r="A616" s="4" t="s">
        <v>847</v>
      </c>
      <c r="B616" s="8" t="s">
        <v>334</v>
      </c>
      <c r="C616" s="6" t="str">
        <f t="array" ref="C616">_xlfn.TEXTJOIN(" ",TRUE,IF(D:D=A616,E:E,""))</f>
        <v>ddhub:MassDensityGradientPerTemperatureQuantity</v>
      </c>
      <c r="D616" t="s">
        <v>812</v>
      </c>
      <c r="E616" t="s">
        <v>816</v>
      </c>
    </row>
    <row r="617" spans="1:5">
      <c r="A617" s="4" t="s">
        <v>848</v>
      </c>
      <c r="B617" s="8" t="s">
        <v>426</v>
      </c>
      <c r="C617" s="6" t="str">
        <f t="array" ref="C617">_xlfn.TEXTJOIN(" ",TRUE,IF(D:D=A617,E:E,""))</f>
        <v>ddhub:MassDensityGradientPerLengthQuantity</v>
      </c>
      <c r="D617" t="s">
        <v>817</v>
      </c>
      <c r="E617" t="s">
        <v>38</v>
      </c>
    </row>
    <row r="618" spans="1:5">
      <c r="A618" s="4" t="s">
        <v>849</v>
      </c>
      <c r="B618" s="8" t="s">
        <v>84</v>
      </c>
      <c r="C618" s="6" t="str">
        <f t="array" ref="C618">_xlfn.TEXTJOIN(" ",TRUE,IF(D:D=A618,E:E,""))</f>
        <v>ddhub:MassDensityGradientPerTemperatureQuantity</v>
      </c>
      <c r="D618" t="s">
        <v>818</v>
      </c>
      <c r="E618" t="s">
        <v>13</v>
      </c>
    </row>
    <row r="619" spans="1:5">
      <c r="A619" s="4" t="s">
        <v>850</v>
      </c>
      <c r="B619" s="8" t="s">
        <v>334</v>
      </c>
      <c r="C619" s="6" t="str">
        <f t="array" ref="C619">_xlfn.TEXTJOIN(" ",TRUE,IF(D:D=A619,E:E,""))</f>
        <v>ddhub:ForceGradientPerLengthQuantity ddhub:MassGradientPerLengthQuantity</v>
      </c>
      <c r="D619" t="s">
        <v>819</v>
      </c>
      <c r="E619" t="s">
        <v>206</v>
      </c>
    </row>
    <row r="620" spans="1:5">
      <c r="A620" s="4" t="s">
        <v>852</v>
      </c>
      <c r="B620" s="8" t="s">
        <v>56</v>
      </c>
      <c r="C620" s="6" t="str">
        <f t="array" ref="C620">_xlfn.TEXTJOIN(" ",TRUE,IF(D:D=A620,E:E,""))</f>
        <v>ddhub:MassDensityQuantity</v>
      </c>
      <c r="D620" t="s">
        <v>820</v>
      </c>
      <c r="E620" t="s">
        <v>9</v>
      </c>
    </row>
    <row r="621" spans="1:5">
      <c r="A621" s="4" t="s">
        <v>853</v>
      </c>
      <c r="B621" s="8" t="s">
        <v>170</v>
      </c>
      <c r="C621" s="6" t="str">
        <f t="array" ref="C621">_xlfn.TEXTJOIN(" ",TRUE,IF(D:D=A621,E:E,""))</f>
        <v>ddhub:MassDensityGradientPerLengthQuantity</v>
      </c>
      <c r="D621" t="s">
        <v>821</v>
      </c>
      <c r="E621" t="s">
        <v>192</v>
      </c>
    </row>
    <row r="622" spans="1:5">
      <c r="A622" s="4" t="s">
        <v>854</v>
      </c>
      <c r="B622" s="8" t="s">
        <v>334</v>
      </c>
      <c r="C622" s="6" t="str">
        <f t="array" ref="C622">_xlfn.TEXTJOIN(" ",TRUE,IF(D:D=A622,E:E,""))</f>
        <v>ddhub:MassDensityGradientPerLengthQuantity</v>
      </c>
      <c r="D622" t="s">
        <v>822</v>
      </c>
      <c r="E622" t="s">
        <v>201</v>
      </c>
    </row>
    <row r="623" spans="1:5">
      <c r="A623" s="4" t="s">
        <v>855</v>
      </c>
      <c r="B623" s="8" t="s">
        <v>334</v>
      </c>
      <c r="C623" s="6" t="str">
        <f t="array" ref="C623">_xlfn.TEXTJOIN(" ",TRUE,IF(D:D=A623,E:E,""))</f>
        <v>ddhub:MassDensityGradientPerTemperatureQuantity</v>
      </c>
      <c r="D623" t="s">
        <v>824</v>
      </c>
      <c r="E623" t="s">
        <v>38</v>
      </c>
    </row>
    <row r="624" spans="1:5">
      <c r="A624" s="4" t="s">
        <v>857</v>
      </c>
      <c r="B624" s="8" t="s">
        <v>334</v>
      </c>
      <c r="C624" s="6" t="str">
        <f t="array" ref="C624">_xlfn.TEXTJOIN(" ",TRUE,IF(D:D=A624,E:E,""))</f>
        <v>ddhub:MassDensityGradientPerTemperatureQuantity</v>
      </c>
      <c r="D624" t="s">
        <v>825</v>
      </c>
      <c r="E624" t="s">
        <v>195</v>
      </c>
    </row>
    <row r="625" spans="1:5">
      <c r="A625" s="4" t="s">
        <v>858</v>
      </c>
      <c r="B625" s="8" t="s">
        <v>170</v>
      </c>
      <c r="C625" s="6" t="str">
        <f t="array" ref="C625">_xlfn.TEXTJOIN(" ",TRUE,IF(D:D=A625,E:E,""))</f>
        <v>ddhub:MassDensityGradientPerLengthQuantity</v>
      </c>
      <c r="D625" t="s">
        <v>826</v>
      </c>
      <c r="E625" t="s">
        <v>2283</v>
      </c>
    </row>
    <row r="626" spans="1:5">
      <c r="A626" s="4" t="s">
        <v>859</v>
      </c>
      <c r="B626" s="8" t="s">
        <v>56</v>
      </c>
      <c r="C626" s="6" t="str">
        <f t="array" ref="C626">_xlfn.TEXTJOIN(" ",TRUE,IF(D:D=A626,E:E,""))</f>
        <v>ddhub:MassDensityRateOfChangeQuantity</v>
      </c>
      <c r="D626" t="s">
        <v>826</v>
      </c>
      <c r="E626" t="s">
        <v>34</v>
      </c>
    </row>
    <row r="627" spans="1:5">
      <c r="A627" s="4" t="s">
        <v>860</v>
      </c>
      <c r="B627" s="8" t="s">
        <v>334</v>
      </c>
      <c r="C627" s="6" t="str">
        <f t="array" ref="C627">_xlfn.TEXTJOIN(" ",TRUE,IF(D:D=A627,E:E,""))</f>
        <v>ddhub:MassDensityRateOfChangeQuantity</v>
      </c>
      <c r="D627" t="s">
        <v>827</v>
      </c>
      <c r="E627" t="s">
        <v>2281</v>
      </c>
    </row>
    <row r="628" spans="1:5">
      <c r="A628" s="4" t="s">
        <v>861</v>
      </c>
      <c r="B628" s="8" t="s">
        <v>56</v>
      </c>
      <c r="C628" s="6" t="str">
        <f t="array" ref="C628">_xlfn.TEXTJOIN(" ",TRUE,IF(D:D=A628,E:E,""))</f>
        <v>ddhub:MassDensityRateOfChangeQuantity</v>
      </c>
      <c r="D628" t="s">
        <v>827</v>
      </c>
      <c r="E628" t="s">
        <v>1275</v>
      </c>
    </row>
    <row r="629" spans="1:5">
      <c r="A629" s="4" t="s">
        <v>862</v>
      </c>
      <c r="B629" s="8" t="s">
        <v>416</v>
      </c>
      <c r="C629" s="6" t="str">
        <f t="array" ref="C629">_xlfn.TEXTJOIN(" ",TRUE,IF(D:D=A629,E:E,""))</f>
        <v>ddhub:MassDensityQuantity</v>
      </c>
      <c r="D629" t="s">
        <v>828</v>
      </c>
      <c r="E629" t="s">
        <v>246</v>
      </c>
    </row>
    <row r="630" spans="1:5">
      <c r="A630" s="4" t="s">
        <v>863</v>
      </c>
      <c r="B630" s="8" t="s">
        <v>56</v>
      </c>
      <c r="C630" s="6" t="str">
        <f t="array" ref="C630">_xlfn.TEXTJOIN(" ",TRUE,IF(D:D=A630,E:E,""))</f>
        <v>ddhub:MassDensityGradientPerLengthQuantity</v>
      </c>
      <c r="D630" t="s">
        <v>830</v>
      </c>
      <c r="E630" t="s">
        <v>2279</v>
      </c>
    </row>
    <row r="631" spans="1:5">
      <c r="A631" s="4" t="s">
        <v>864</v>
      </c>
      <c r="B631" s="8" t="s">
        <v>56</v>
      </c>
      <c r="C631" s="6" t="str">
        <f t="array" ref="C631">_xlfn.TEXTJOIN(" ",TRUE,IF(D:D=A631,E:E,""))</f>
        <v>ddhub:MassDensityGradientPerLengthQuantity</v>
      </c>
      <c r="D631" t="s">
        <v>830</v>
      </c>
      <c r="E631" t="s">
        <v>170</v>
      </c>
    </row>
    <row r="632" spans="1:5">
      <c r="A632" s="4" t="s">
        <v>865</v>
      </c>
      <c r="B632" s="8" t="s">
        <v>84</v>
      </c>
      <c r="C632" s="6" t="str">
        <f t="array" ref="C632">_xlfn.TEXTJOIN(" ",TRUE,IF(D:D=A632,E:E,""))</f>
        <v>ddhub:MassDensityGradientPerTemperatureQuantity</v>
      </c>
      <c r="D632" t="s">
        <v>830</v>
      </c>
      <c r="E632" t="s">
        <v>890</v>
      </c>
    </row>
    <row r="633" spans="1:5">
      <c r="A633" s="4" t="s">
        <v>866</v>
      </c>
      <c r="B633" s="8" t="s">
        <v>84</v>
      </c>
      <c r="C633" s="6" t="str">
        <f t="array" ref="C633">_xlfn.TEXTJOIN(" ",TRUE,IF(D:D=A633,E:E,""))</f>
        <v>ddhub:MassDensityGradientPerTemperatureQuantity</v>
      </c>
      <c r="D633" t="s">
        <v>831</v>
      </c>
      <c r="E633" t="s">
        <v>246</v>
      </c>
    </row>
    <row r="634" spans="1:5">
      <c r="A634" s="4" t="s">
        <v>867</v>
      </c>
      <c r="B634" s="8" t="s">
        <v>170</v>
      </c>
      <c r="C634" s="6" t="str">
        <f t="array" ref="C634">_xlfn.TEXTJOIN(" ",TRUE,IF(D:D=A634,E:E,""))</f>
        <v>ddhub:MassDensityGradientPerLengthQuantity</v>
      </c>
      <c r="D634" t="s">
        <v>832</v>
      </c>
      <c r="E634" t="s">
        <v>416</v>
      </c>
    </row>
    <row r="635" spans="1:5">
      <c r="A635" s="4" t="s">
        <v>868</v>
      </c>
      <c r="B635" s="8" t="s">
        <v>56</v>
      </c>
      <c r="C635" s="6" t="str">
        <f t="array" ref="C635">_xlfn.TEXTJOIN(" ",TRUE,IF(D:D=A635,E:E,""))</f>
        <v>ddhub:MassDensityRateOfChangeQuantity</v>
      </c>
      <c r="D635" t="s">
        <v>833</v>
      </c>
      <c r="E635" t="s">
        <v>418</v>
      </c>
    </row>
    <row r="636" spans="1:5">
      <c r="A636" s="4" t="s">
        <v>869</v>
      </c>
      <c r="B636" s="8" t="s">
        <v>334</v>
      </c>
      <c r="C636" s="6" t="str">
        <f t="array" ref="C636">_xlfn.TEXTJOIN(" ",TRUE,IF(D:D=A636,E:E,""))</f>
        <v>ddhub:MassDensityRateOfChangeQuantity</v>
      </c>
      <c r="D636" t="s">
        <v>834</v>
      </c>
      <c r="E636" t="s">
        <v>418</v>
      </c>
    </row>
    <row r="637" spans="1:5">
      <c r="A637" s="4" t="s">
        <v>870</v>
      </c>
      <c r="B637" s="8" t="s">
        <v>56</v>
      </c>
      <c r="C637" s="6" t="str">
        <f t="array" ref="C637">_xlfn.TEXTJOIN(" ",TRUE,IF(D:D=A637,E:E,""))</f>
        <v>ddhub:MassDensityRateOfChangeQuantity</v>
      </c>
      <c r="D637" t="s">
        <v>835</v>
      </c>
      <c r="E637" t="s">
        <v>423</v>
      </c>
    </row>
    <row r="638" spans="1:5">
      <c r="A638" s="4" t="s">
        <v>871</v>
      </c>
      <c r="B638" s="8" t="s">
        <v>334</v>
      </c>
      <c r="C638" s="6" t="str">
        <f t="array" ref="C638">_xlfn.TEXTJOIN(" ",TRUE,IF(D:D=A638,E:E,""))</f>
        <v>ddhub:MassRateQuantity</v>
      </c>
      <c r="D638" t="s">
        <v>836</v>
      </c>
      <c r="E638" t="s">
        <v>423</v>
      </c>
    </row>
    <row r="639" spans="1:5">
      <c r="A639" s="4" t="s">
        <v>872</v>
      </c>
      <c r="B639" s="8" t="s">
        <v>1275</v>
      </c>
      <c r="C639" s="6" t="str">
        <f t="array" ref="C639">_xlfn.TEXTJOIN(" ",TRUE,IF(D:D=A639,E:E,""))</f>
        <v>ddhub:ForceGradientPerLengthQuantity</v>
      </c>
      <c r="D639" t="s">
        <v>837</v>
      </c>
      <c r="E639" t="s">
        <v>418</v>
      </c>
    </row>
    <row r="640" spans="1:5">
      <c r="A640" s="4" t="s">
        <v>873</v>
      </c>
      <c r="B640" s="8" t="s">
        <v>334</v>
      </c>
      <c r="C640" s="6" t="str">
        <f t="array" ref="C640">_xlfn.TEXTJOIN(" ",TRUE,IF(D:D=A640,E:E,""))</f>
        <v>ddhub:MassRateQuantity</v>
      </c>
      <c r="D640" t="s">
        <v>838</v>
      </c>
      <c r="E640" t="s">
        <v>416</v>
      </c>
    </row>
    <row r="641" spans="1:5">
      <c r="A641" s="4" t="s">
        <v>874</v>
      </c>
      <c r="B641" s="8" t="s">
        <v>334</v>
      </c>
      <c r="C641" s="6" t="str">
        <f t="array" ref="C641">_xlfn.TEXTJOIN(" ",TRUE,IF(D:D=A641,E:E,""))</f>
        <v>ddhub:MassRateQuantity</v>
      </c>
      <c r="D641" t="s">
        <v>839</v>
      </c>
      <c r="E641" t="s">
        <v>418</v>
      </c>
    </row>
    <row r="642" spans="1:5">
      <c r="A642" s="4" t="s">
        <v>875</v>
      </c>
      <c r="B642" s="8" t="s">
        <v>176</v>
      </c>
      <c r="C642" s="6" t="str">
        <f t="array" ref="C642">_xlfn.TEXTJOIN(" ",TRUE,IF(D:D=A642,E:E,""))</f>
        <v>ddhub:InterfacialTensionQuantity</v>
      </c>
      <c r="D642" t="s">
        <v>840</v>
      </c>
      <c r="E642" t="s">
        <v>418</v>
      </c>
    </row>
    <row r="643" spans="1:5">
      <c r="A643" s="4" t="s">
        <v>876</v>
      </c>
      <c r="B643" s="8" t="s">
        <v>170</v>
      </c>
      <c r="C643" s="6" t="str">
        <f t="array" ref="C643">_xlfn.TEXTJOIN(" ",TRUE,IF(D:D=A643,E:E,""))</f>
        <v>ddhub:StressQuantity ddhub:PressureQuantity</v>
      </c>
      <c r="D643" t="s">
        <v>841</v>
      </c>
      <c r="E643" t="s">
        <v>423</v>
      </c>
    </row>
    <row r="644" spans="1:5">
      <c r="A644" s="4" t="s">
        <v>877</v>
      </c>
      <c r="B644" s="8" t="s">
        <v>170</v>
      </c>
      <c r="C644" s="6" t="str">
        <f t="array" ref="C644">_xlfn.TEXTJOIN(" ",TRUE,IF(D:D=A644,E:E,""))</f>
        <v>ddhub:StressQuantity ddhub:PressureQuantity</v>
      </c>
      <c r="D644" t="s">
        <v>842</v>
      </c>
      <c r="E644" t="s">
        <v>423</v>
      </c>
    </row>
    <row r="645" spans="1:5">
      <c r="A645" s="4" t="s">
        <v>878</v>
      </c>
      <c r="B645" s="8" t="s">
        <v>334</v>
      </c>
      <c r="C645" s="6" t="str">
        <f t="array" ref="C645">_xlfn.TEXTJOIN(" ",TRUE,IF(D:D=A645,E:E,""))</f>
        <v>ddhub:MassRateQuantity</v>
      </c>
      <c r="D645" t="s">
        <v>843</v>
      </c>
      <c r="E645" t="s">
        <v>418</v>
      </c>
    </row>
    <row r="646" spans="1:5">
      <c r="A646" s="4" t="s">
        <v>879</v>
      </c>
      <c r="B646" s="8" t="s">
        <v>334</v>
      </c>
      <c r="C646" s="6" t="str">
        <f t="array" ref="C646">_xlfn.TEXTJOIN(" ",TRUE,IF(D:D=A646,E:E,""))</f>
        <v>ddhub:DynamicViscosityQuantity</v>
      </c>
      <c r="D646" t="s">
        <v>844</v>
      </c>
      <c r="E646" t="s">
        <v>416</v>
      </c>
    </row>
    <row r="647" spans="1:5">
      <c r="A647" s="4" t="s">
        <v>880</v>
      </c>
      <c r="B647" s="8" t="s">
        <v>334</v>
      </c>
      <c r="C647" s="6" t="str">
        <f t="array" ref="C647">_xlfn.TEXTJOIN(" ",TRUE,IF(D:D=A647,E:E,""))</f>
        <v>ddhub:DynamicViscosityQuantity</v>
      </c>
      <c r="D647" t="s">
        <v>845</v>
      </c>
      <c r="E647" t="s">
        <v>418</v>
      </c>
    </row>
    <row r="648" spans="1:5">
      <c r="A648" s="4" t="s">
        <v>882</v>
      </c>
      <c r="B648" s="8" t="s">
        <v>195</v>
      </c>
      <c r="C648" s="6" t="str">
        <f t="array" ref="C648">_xlfn.TEXTJOIN(" ",TRUE,IF(D:D=A648,E:E,""))</f>
        <v>ddhub:DynamicViscosityQuantity</v>
      </c>
      <c r="D648" t="s">
        <v>846</v>
      </c>
      <c r="E648" t="s">
        <v>418</v>
      </c>
    </row>
    <row r="649" spans="1:5">
      <c r="A649" s="4" t="s">
        <v>883</v>
      </c>
      <c r="B649" s="8" t="s">
        <v>170</v>
      </c>
      <c r="C649" s="6" t="str">
        <f t="array" ref="C649">_xlfn.TEXTJOIN(" ",TRUE,IF(D:D=A649,E:E,""))</f>
        <v>ddhub:PressureLossConstantQuantity</v>
      </c>
      <c r="D649" t="s">
        <v>847</v>
      </c>
      <c r="E649" t="s">
        <v>423</v>
      </c>
    </row>
    <row r="650" spans="1:5">
      <c r="A650" s="4" t="s">
        <v>885</v>
      </c>
      <c r="B650" s="8" t="s">
        <v>170</v>
      </c>
      <c r="C650" s="6" t="str">
        <f t="array" ref="C650">_xlfn.TEXTJOIN(" ",TRUE,IF(D:D=A650,E:E,""))</f>
        <v>ddhub:PressureLossConstantQuantity</v>
      </c>
      <c r="D650" t="s">
        <v>848</v>
      </c>
      <c r="E650" t="s">
        <v>418</v>
      </c>
    </row>
    <row r="651" spans="1:5">
      <c r="A651" s="4" t="s">
        <v>886</v>
      </c>
      <c r="B651" s="8" t="s">
        <v>170</v>
      </c>
      <c r="C651" s="6" t="str">
        <f t="array" ref="C651">_xlfn.TEXTJOIN(" ",TRUE,IF(D:D=A651,E:E,""))</f>
        <v>ddhub:PressureLossConstantQuantity</v>
      </c>
      <c r="D651" t="s">
        <v>849</v>
      </c>
      <c r="E651" t="s">
        <v>423</v>
      </c>
    </row>
    <row r="652" spans="1:5">
      <c r="A652" s="4" t="s">
        <v>887</v>
      </c>
      <c r="B652" s="8" t="s">
        <v>170</v>
      </c>
      <c r="C652" s="6" t="str">
        <f t="array" ref="C652">_xlfn.TEXTJOIN(" ",TRUE,IF(D:D=A652,E:E,""))</f>
        <v>ddhub:PressureLossConstantQuantity</v>
      </c>
      <c r="D652" t="s">
        <v>850</v>
      </c>
      <c r="E652" t="s">
        <v>246</v>
      </c>
    </row>
    <row r="653" spans="1:5">
      <c r="A653" s="4" t="s">
        <v>888</v>
      </c>
      <c r="B653" s="8" t="s">
        <v>332</v>
      </c>
      <c r="C653" s="6" t="str">
        <f t="array" ref="C653">_xlfn.TEXTJOIN(" ",TRUE,IF(D:D=A653,E:E,""))</f>
        <v>ddhub:ProportionQuantity</v>
      </c>
      <c r="D653" t="s">
        <v>850</v>
      </c>
      <c r="E653" t="s">
        <v>432</v>
      </c>
    </row>
    <row r="654" spans="1:5">
      <c r="A654" s="4" t="s">
        <v>889</v>
      </c>
      <c r="B654" s="8" t="s">
        <v>170</v>
      </c>
      <c r="C654" s="6" t="str">
        <f t="array" ref="C654">_xlfn.TEXTJOIN(" ",TRUE,IF(D:D=A654,E:E,""))</f>
        <v>ddhub:MaterialStrengthQuantity</v>
      </c>
      <c r="D654" t="s">
        <v>852</v>
      </c>
      <c r="E654" t="s">
        <v>416</v>
      </c>
    </row>
    <row r="655" spans="1:5">
      <c r="A655" s="4" t="s">
        <v>892</v>
      </c>
      <c r="B655" s="8" t="s">
        <v>334</v>
      </c>
      <c r="C655" s="6" t="str">
        <f t="array" ref="C655">_xlfn.TEXTJOIN(" ",TRUE,IF(D:D=A655,E:E,""))</f>
        <v>ddhub:PressureGradientPerLengthQuantity</v>
      </c>
      <c r="D655" t="s">
        <v>853</v>
      </c>
      <c r="E655" t="s">
        <v>418</v>
      </c>
    </row>
    <row r="656" spans="1:5">
      <c r="A656" s="4" t="s">
        <v>893</v>
      </c>
      <c r="B656" s="8" t="s">
        <v>334</v>
      </c>
      <c r="C656" s="6" t="str">
        <f t="array" ref="C656">_xlfn.TEXTJOIN(" ",TRUE,IF(D:D=A656,E:E,""))</f>
        <v>ddhub:PressureGradientPerLengthQuantity</v>
      </c>
      <c r="D656" t="s">
        <v>854</v>
      </c>
      <c r="E656" t="s">
        <v>418</v>
      </c>
    </row>
    <row r="657" spans="1:5">
      <c r="A657" s="4" t="s">
        <v>894</v>
      </c>
      <c r="B657" s="8" t="s">
        <v>334</v>
      </c>
      <c r="C657" s="6" t="str">
        <f t="array" ref="C657">_xlfn.TEXTJOIN(" ",TRUE,IF(D:D=A657,E:E,""))</f>
        <v>ddhub:PlaneAngleQuantity</v>
      </c>
      <c r="D657" t="s">
        <v>855</v>
      </c>
      <c r="E657" t="s">
        <v>423</v>
      </c>
    </row>
    <row r="658" spans="1:5">
      <c r="A658" s="4" t="s">
        <v>895</v>
      </c>
      <c r="B658" s="8" t="s">
        <v>334</v>
      </c>
      <c r="C658" s="6" t="str">
        <f t="array" ref="C658">_xlfn.TEXTJOIN(" ",TRUE,IF(D:D=A658,E:E,""))</f>
        <v>ddhub:TimeQuantity</v>
      </c>
      <c r="D658" t="s">
        <v>857</v>
      </c>
      <c r="E658" t="s">
        <v>423</v>
      </c>
    </row>
    <row r="659" spans="1:5">
      <c r="A659" s="4" t="s">
        <v>896</v>
      </c>
      <c r="B659" s="8" t="s">
        <v>25</v>
      </c>
      <c r="C659" s="6" t="str">
        <f t="array" ref="C659">_xlfn.TEXTJOIN(" ",TRUE,IF(D:D=A659,E:E,""))</f>
        <v>ddhub:PlaneAngleQuantity</v>
      </c>
      <c r="D659" t="s">
        <v>858</v>
      </c>
      <c r="E659" t="s">
        <v>418</v>
      </c>
    </row>
    <row r="660" spans="1:5">
      <c r="A660" s="4" t="s">
        <v>898</v>
      </c>
      <c r="B660" s="8" t="s">
        <v>379</v>
      </c>
      <c r="C660" s="6" t="str">
        <f t="array" ref="C660">_xlfn.TEXTJOIN(" ",TRUE,IF(D:D=A660,E:E,""))</f>
        <v>ddhub:AngleMagneticFluxDensityQuantity</v>
      </c>
      <c r="D660" t="s">
        <v>859</v>
      </c>
      <c r="E660" t="s">
        <v>426</v>
      </c>
    </row>
    <row r="661" spans="1:5">
      <c r="A661" s="4" t="s">
        <v>899</v>
      </c>
      <c r="B661" s="8" t="s">
        <v>379</v>
      </c>
      <c r="C661" s="6" t="str">
        <f t="array" ref="C661">_xlfn.TEXTJOIN(" ",TRUE,IF(D:D=A661,E:E,""))</f>
        <v>ddhub:AngleMagneticFluxDensityQuantity</v>
      </c>
      <c r="D661" t="s">
        <v>860</v>
      </c>
      <c r="E661" t="s">
        <v>426</v>
      </c>
    </row>
    <row r="662" spans="1:5">
      <c r="A662" s="4" t="s">
        <v>900</v>
      </c>
      <c r="B662" s="8" t="s">
        <v>379</v>
      </c>
      <c r="C662" s="6" t="str">
        <f t="array" ref="C662">_xlfn.TEXTJOIN(" ",TRUE,IF(D:D=A662,E:E,""))</f>
        <v>ddhub:AngleMagneticFluxDensityQuantity</v>
      </c>
      <c r="D662" t="s">
        <v>861</v>
      </c>
      <c r="E662" t="s">
        <v>426</v>
      </c>
    </row>
    <row r="663" spans="1:5">
      <c r="A663" s="4" t="s">
        <v>901</v>
      </c>
      <c r="B663" s="8" t="s">
        <v>334</v>
      </c>
      <c r="C663" s="6" t="str">
        <f t="array" ref="C663">_xlfn.TEXTJOIN(" ",TRUE,IF(D:D=A663,E:E,""))</f>
        <v>ddhub:AngleMagneticFluxDensityQuantity</v>
      </c>
      <c r="D663" t="s">
        <v>862</v>
      </c>
      <c r="E663" t="s">
        <v>416</v>
      </c>
    </row>
    <row r="664" spans="1:5">
      <c r="A664" s="4" t="s">
        <v>902</v>
      </c>
      <c r="B664" s="8" t="s">
        <v>334</v>
      </c>
      <c r="C664" s="6" t="str">
        <f t="array" ref="C664">_xlfn.TEXTJOIN(" ",TRUE,IF(D:D=A664,E:E,""))</f>
        <v>ddhub:AngleMagneticFluxDensityQuantity</v>
      </c>
      <c r="D664" t="s">
        <v>863</v>
      </c>
      <c r="E664" t="s">
        <v>418</v>
      </c>
    </row>
    <row r="665" spans="1:5">
      <c r="A665" s="4" t="s">
        <v>903</v>
      </c>
      <c r="B665" s="8" t="s">
        <v>379</v>
      </c>
      <c r="C665" s="6" t="str">
        <f t="array" ref="C665">_xlfn.TEXTJOIN(" ",TRUE,IF(D:D=A665,E:E,""))</f>
        <v>ddhub:AngleMagneticFluxDensityQuantity</v>
      </c>
      <c r="D665" t="s">
        <v>864</v>
      </c>
      <c r="E665" t="s">
        <v>418</v>
      </c>
    </row>
    <row r="666" spans="1:5">
      <c r="A666" s="4" t="s">
        <v>904</v>
      </c>
      <c r="B666" s="8" t="s">
        <v>284</v>
      </c>
      <c r="C666" s="6" t="str">
        <f t="array" ref="C666">_xlfn.TEXTJOIN(" ",TRUE,IF(D:D=A666,E:E,""))</f>
        <v>ddhub:CurvatureQuantity</v>
      </c>
      <c r="D666" t="s">
        <v>865</v>
      </c>
      <c r="E666" t="s">
        <v>423</v>
      </c>
    </row>
    <row r="667" spans="1:5">
      <c r="A667" s="4" t="s">
        <v>905</v>
      </c>
      <c r="B667" s="8" t="s">
        <v>284</v>
      </c>
      <c r="C667" s="6" t="str">
        <f t="array" ref="C667">_xlfn.TEXTJOIN(" ",TRUE,IF(D:D=A667,E:E,""))</f>
        <v>ddhub:AngleGradientPerLengthQuantity</v>
      </c>
      <c r="D667" t="s">
        <v>866</v>
      </c>
      <c r="E667" t="s">
        <v>423</v>
      </c>
    </row>
    <row r="668" spans="1:5">
      <c r="A668" s="4" t="s">
        <v>906</v>
      </c>
      <c r="B668" s="8" t="s">
        <v>286</v>
      </c>
      <c r="C668" s="6" t="str">
        <f t="array" ref="C668">_xlfn.TEXTJOIN(" ",TRUE,IF(D:D=A668,E:E,""))</f>
        <v>ddhub:AngularVelocityQuantity</v>
      </c>
      <c r="D668" t="s">
        <v>867</v>
      </c>
      <c r="E668" t="s">
        <v>418</v>
      </c>
    </row>
    <row r="669" spans="1:5">
      <c r="A669" s="4" t="s">
        <v>907</v>
      </c>
      <c r="B669" s="8" t="s">
        <v>286</v>
      </c>
      <c r="C669" s="6" t="str">
        <f t="array" ref="C669">_xlfn.TEXTJOIN(" ",TRUE,IF(D:D=A669,E:E,""))</f>
        <v>ddhub:AngularAccelerationQuantity</v>
      </c>
      <c r="D669" t="s">
        <v>868</v>
      </c>
      <c r="E669" t="s">
        <v>426</v>
      </c>
    </row>
    <row r="670" spans="1:5">
      <c r="A670" s="4" t="s">
        <v>908</v>
      </c>
      <c r="B670" s="8" t="s">
        <v>286</v>
      </c>
      <c r="C670" s="6" t="str">
        <f t="array" ref="C670">_xlfn.TEXTJOIN(" ",TRUE,IF(D:D=A670,E:E,""))</f>
        <v>ddhub:AngularAccelerationQuantity</v>
      </c>
      <c r="D670" t="s">
        <v>869</v>
      </c>
      <c r="E670" t="s">
        <v>426</v>
      </c>
    </row>
    <row r="671" spans="1:5">
      <c r="A671" s="4" t="s">
        <v>910</v>
      </c>
      <c r="B671" s="8" t="s">
        <v>288</v>
      </c>
      <c r="C671" s="6" t="str">
        <f t="array" ref="C671">_xlfn.TEXTJOIN(" ",TRUE,IF(D:D=A671,E:E,""))</f>
        <v>ddhub:AngularAccelerationQuantity</v>
      </c>
      <c r="D671" t="s">
        <v>870</v>
      </c>
      <c r="E671" t="s">
        <v>426</v>
      </c>
    </row>
    <row r="672" spans="1:5">
      <c r="A672" s="4" t="s">
        <v>911</v>
      </c>
      <c r="B672" s="8" t="s">
        <v>288</v>
      </c>
      <c r="C672" s="6" t="str">
        <f t="array" ref="C672">_xlfn.TEXTJOIN(" ",TRUE,IF(D:D=A672,E:E,""))</f>
        <v>ddhub:AngularAccelerationQuantity</v>
      </c>
      <c r="D672" t="s">
        <v>871</v>
      </c>
      <c r="E672" t="s">
        <v>545</v>
      </c>
    </row>
    <row r="673" spans="1:5">
      <c r="A673" s="4" t="s">
        <v>912</v>
      </c>
      <c r="B673" s="8" t="s">
        <v>284</v>
      </c>
      <c r="C673" s="6" t="str">
        <f t="array" ref="C673">_xlfn.TEXTJOIN(" ",TRUE,IF(D:D=A673,E:E,""))</f>
        <v>ddhub:CurvatureQuantity</v>
      </c>
      <c r="D673" t="s">
        <v>872</v>
      </c>
      <c r="E673" t="s">
        <v>246</v>
      </c>
    </row>
    <row r="674" spans="1:5">
      <c r="A674" s="4" t="s">
        <v>913</v>
      </c>
      <c r="B674" s="8" t="s">
        <v>284</v>
      </c>
      <c r="C674" s="6" t="str">
        <f t="array" ref="C674">_xlfn.TEXTJOIN(" ",TRUE,IF(D:D=A674,E:E,""))</f>
        <v>ddhub:CurvatureQuantity</v>
      </c>
      <c r="D674" t="s">
        <v>873</v>
      </c>
      <c r="E674" t="s">
        <v>545</v>
      </c>
    </row>
    <row r="675" spans="1:5">
      <c r="A675" s="4" t="s">
        <v>914</v>
      </c>
      <c r="B675" s="8" t="s">
        <v>284</v>
      </c>
      <c r="C675" s="6" t="str">
        <f t="array" ref="C675">_xlfn.TEXTJOIN(" ",TRUE,IF(D:D=A675,E:E,""))</f>
        <v>ddhub:AngleGradientPerLengthQuantity</v>
      </c>
      <c r="D675" t="s">
        <v>874</v>
      </c>
      <c r="E675" t="s">
        <v>545</v>
      </c>
    </row>
    <row r="676" spans="1:5">
      <c r="A676" s="4" t="s">
        <v>915</v>
      </c>
      <c r="B676" s="8" t="s">
        <v>284</v>
      </c>
      <c r="C676" s="6" t="str">
        <f t="array" ref="C676">_xlfn.TEXTJOIN(" ",TRUE,IF(D:D=A676,E:E,""))</f>
        <v>ddhub:CurvatureQuantity ddhub:AngleGradientPerLengthQuantity</v>
      </c>
      <c r="D676" t="s">
        <v>875</v>
      </c>
      <c r="E676" t="s">
        <v>342</v>
      </c>
    </row>
    <row r="677" spans="1:5">
      <c r="A677" s="4" t="s">
        <v>916</v>
      </c>
      <c r="B677" s="8" t="s">
        <v>284</v>
      </c>
      <c r="C677" s="6" t="str">
        <f t="array" ref="C677">_xlfn.TEXTJOIN(" ",TRUE,IF(D:D=A677,E:E,""))</f>
        <v>ddhub:CurvatureQuantity</v>
      </c>
      <c r="D677" t="s">
        <v>876</v>
      </c>
      <c r="E677" t="s">
        <v>2279</v>
      </c>
    </row>
    <row r="678" spans="1:5">
      <c r="A678" s="4" t="s">
        <v>917</v>
      </c>
      <c r="B678" s="8" t="s">
        <v>286</v>
      </c>
      <c r="C678" s="6" t="str">
        <f t="array" ref="C678">_xlfn.TEXTJOIN(" ",TRUE,IF(D:D=A678,E:E,""))</f>
        <v>ddhub:AngularVelocityQuantity</v>
      </c>
      <c r="D678" t="s">
        <v>876</v>
      </c>
      <c r="E678" t="s">
        <v>170</v>
      </c>
    </row>
    <row r="679" spans="1:5">
      <c r="A679" s="4" t="s">
        <v>918</v>
      </c>
      <c r="B679" s="8" t="s">
        <v>288</v>
      </c>
      <c r="C679" s="6" t="str">
        <f t="array" ref="C679">_xlfn.TEXTJOIN(" ",TRUE,IF(D:D=A679,E:E,""))</f>
        <v>ddhub:AngularAccelerationQuantity</v>
      </c>
      <c r="D679" t="s">
        <v>877</v>
      </c>
      <c r="E679" t="s">
        <v>2279</v>
      </c>
    </row>
    <row r="680" spans="1:5">
      <c r="A680" s="4" t="s">
        <v>919</v>
      </c>
      <c r="B680" s="8" t="s">
        <v>288</v>
      </c>
      <c r="C680" s="6" t="str">
        <f t="array" ref="C680">_xlfn.TEXTJOIN(" ",TRUE,IF(D:D=A680,E:E,""))</f>
        <v>ddhub:AngularAccelerationQuantity</v>
      </c>
      <c r="D680" t="s">
        <v>877</v>
      </c>
      <c r="E680" t="s">
        <v>170</v>
      </c>
    </row>
    <row r="681" spans="1:5">
      <c r="A681" s="4" t="s">
        <v>920</v>
      </c>
      <c r="B681" s="8" t="s">
        <v>288</v>
      </c>
      <c r="C681" s="6" t="str">
        <f t="array" ref="C681">_xlfn.TEXTJOIN(" ",TRUE,IF(D:D=A681,E:E,""))</f>
        <v>ddhub:AngularAccelerationQuantity</v>
      </c>
      <c r="D681" t="s">
        <v>878</v>
      </c>
      <c r="E681" t="s">
        <v>545</v>
      </c>
    </row>
    <row r="682" spans="1:5">
      <c r="A682" s="4" t="s">
        <v>921</v>
      </c>
      <c r="B682" s="8" t="s">
        <v>288</v>
      </c>
      <c r="C682" s="6" t="str">
        <f t="array" ref="C682">_xlfn.TEXTJOIN(" ",TRUE,IF(D:D=A682,E:E,""))</f>
        <v>ddhub:AngularAccelerationQuantity</v>
      </c>
      <c r="D682" t="s">
        <v>879</v>
      </c>
      <c r="E682" t="s">
        <v>195</v>
      </c>
    </row>
    <row r="683" spans="1:5">
      <c r="A683" s="4" t="s">
        <v>922</v>
      </c>
      <c r="B683" s="8" t="s">
        <v>284</v>
      </c>
      <c r="C683" s="6" t="str">
        <f t="array" ref="C683">_xlfn.TEXTJOIN(" ",TRUE,IF(D:D=A683,E:E,""))</f>
        <v>ddhub:AngleGradientPerLengthQuantity</v>
      </c>
      <c r="D683" t="s">
        <v>880</v>
      </c>
      <c r="E683" t="s">
        <v>195</v>
      </c>
    </row>
    <row r="684" spans="1:5">
      <c r="A684" s="4" t="s">
        <v>923</v>
      </c>
      <c r="B684" s="8" t="s">
        <v>284</v>
      </c>
      <c r="C684" s="6" t="str">
        <f t="array" ref="C684">_xlfn.TEXTJOIN(" ",TRUE,IF(D:D=A684,E:E,""))</f>
        <v>ddhub:CurvatureQuantity</v>
      </c>
      <c r="D684" t="s">
        <v>882</v>
      </c>
      <c r="E684" t="s">
        <v>195</v>
      </c>
    </row>
    <row r="685" spans="1:5">
      <c r="A685" s="4" t="s">
        <v>924</v>
      </c>
      <c r="B685" s="8" t="s">
        <v>284</v>
      </c>
      <c r="C685" s="6" t="str">
        <f t="array" ref="C685">_xlfn.TEXTJOIN(" ",TRUE,IF(D:D=A685,E:E,""))</f>
        <v>ddhub:CurvatureQuantity ddhub:AngleGradientPerLengthQuantity</v>
      </c>
      <c r="D685" t="s">
        <v>883</v>
      </c>
      <c r="E685" t="s">
        <v>884</v>
      </c>
    </row>
    <row r="686" spans="1:5">
      <c r="A686" s="4" t="s">
        <v>925</v>
      </c>
      <c r="B686" s="8" t="s">
        <v>284</v>
      </c>
      <c r="C686" s="6" t="str">
        <f t="array" ref="C686">_xlfn.TEXTJOIN(" ",TRUE,IF(D:D=A686,E:E,""))</f>
        <v>ddhub:CurvatureQuantity</v>
      </c>
      <c r="D686" t="s">
        <v>885</v>
      </c>
      <c r="E686" t="s">
        <v>884</v>
      </c>
    </row>
    <row r="687" spans="1:5">
      <c r="A687" s="4" t="s">
        <v>926</v>
      </c>
      <c r="B687" s="8" t="s">
        <v>284</v>
      </c>
      <c r="C687" s="6" t="str">
        <f t="array" ref="C687">_xlfn.TEXTJOIN(" ",TRUE,IF(D:D=A687,E:E,""))</f>
        <v>ddhub:CurvatureQuantity</v>
      </c>
      <c r="D687" t="s">
        <v>886</v>
      </c>
      <c r="E687" t="s">
        <v>884</v>
      </c>
    </row>
    <row r="688" spans="1:5">
      <c r="A688" s="4" t="s">
        <v>927</v>
      </c>
      <c r="B688" s="8" t="s">
        <v>284</v>
      </c>
      <c r="C688" s="6" t="str">
        <f t="array" ref="C688">_xlfn.TEXTJOIN(" ",TRUE,IF(D:D=A688,E:E,""))</f>
        <v>ddhub:CurvatureQuantity</v>
      </c>
      <c r="D688" t="s">
        <v>887</v>
      </c>
      <c r="E688" t="s">
        <v>884</v>
      </c>
    </row>
    <row r="689" spans="1:5">
      <c r="A689" s="4" t="s">
        <v>928</v>
      </c>
      <c r="B689" s="8" t="s">
        <v>284</v>
      </c>
      <c r="C689" s="6" t="str">
        <f t="array" ref="C689">_xlfn.TEXTJOIN(" ",TRUE,IF(D:D=A689,E:E,""))</f>
        <v>ddhub:AngleGradientPerLengthQuantity</v>
      </c>
      <c r="D689" t="s">
        <v>888</v>
      </c>
      <c r="E689" t="s">
        <v>816</v>
      </c>
    </row>
    <row r="690" spans="1:5">
      <c r="A690" s="4" t="s">
        <v>929</v>
      </c>
      <c r="B690" s="8" t="s">
        <v>286</v>
      </c>
      <c r="C690" s="6" t="str">
        <f t="array" ref="C690">_xlfn.TEXTJOIN(" ",TRUE,IF(D:D=A690,E:E,""))</f>
        <v>ddhub:AngularVelocityQuantity</v>
      </c>
      <c r="D690" t="s">
        <v>889</v>
      </c>
      <c r="E690" t="s">
        <v>890</v>
      </c>
    </row>
    <row r="691" spans="1:5">
      <c r="A691" s="4" t="s">
        <v>930</v>
      </c>
      <c r="B691" s="8" t="s">
        <v>286</v>
      </c>
      <c r="C691" s="6" t="str">
        <f t="array" ref="C691">_xlfn.TEXTJOIN(" ",TRUE,IF(D:D=A691,E:E,""))</f>
        <v>ddhub:AngularAccelerationQuantity</v>
      </c>
      <c r="D691" t="s">
        <v>892</v>
      </c>
      <c r="E691" t="s">
        <v>46</v>
      </c>
    </row>
    <row r="692" spans="1:5">
      <c r="A692" s="4" t="s">
        <v>931</v>
      </c>
      <c r="B692" s="8" t="s">
        <v>286</v>
      </c>
      <c r="C692" s="6" t="str">
        <f t="array" ref="C692">_xlfn.TEXTJOIN(" ",TRUE,IF(D:D=A692,E:E,""))</f>
        <v>ddhub:AngularAccelerationQuantity</v>
      </c>
      <c r="D692" t="s">
        <v>893</v>
      </c>
      <c r="E692" t="s">
        <v>46</v>
      </c>
    </row>
    <row r="693" spans="1:5">
      <c r="A693" s="4" t="s">
        <v>932</v>
      </c>
      <c r="B693" s="8" t="s">
        <v>288</v>
      </c>
      <c r="C693" s="6" t="str">
        <f t="array" ref="C693">_xlfn.TEXTJOIN(" ",TRUE,IF(D:D=A693,E:E,""))</f>
        <v>ddhub:AngularAccelerationQuantity</v>
      </c>
      <c r="D693" t="s">
        <v>894</v>
      </c>
      <c r="E693" t="s">
        <v>25</v>
      </c>
    </row>
    <row r="694" spans="1:5">
      <c r="A694" s="4" t="s">
        <v>933</v>
      </c>
      <c r="B694" s="8" t="s">
        <v>288</v>
      </c>
      <c r="C694" s="6" t="str">
        <f t="array" ref="C694">_xlfn.TEXTJOIN(" ",TRUE,IF(D:D=A694,E:E,""))</f>
        <v>ddhub:AngularAccelerationQuantity</v>
      </c>
      <c r="D694" t="s">
        <v>895</v>
      </c>
      <c r="E694" t="s">
        <v>201</v>
      </c>
    </row>
    <row r="695" spans="1:5">
      <c r="A695" s="4" t="s">
        <v>934</v>
      </c>
      <c r="B695" s="8" t="s">
        <v>284</v>
      </c>
      <c r="C695" s="6" t="str">
        <f t="array" ref="C695">_xlfn.TEXTJOIN(" ",TRUE,IF(D:D=A695,E:E,""))</f>
        <v>ddhub:CurvatureQuantity</v>
      </c>
      <c r="D695" t="s">
        <v>896</v>
      </c>
      <c r="E695" t="s">
        <v>25</v>
      </c>
    </row>
    <row r="696" spans="1:5">
      <c r="A696" s="4" t="s">
        <v>935</v>
      </c>
      <c r="B696" s="8" t="s">
        <v>286</v>
      </c>
      <c r="C696" s="6" t="str">
        <f t="array" ref="C696">_xlfn.TEXTJOIN(" ",TRUE,IF(D:D=A696,E:E,""))</f>
        <v>ddhub:AngularVelocityQuantity</v>
      </c>
      <c r="D696" t="s">
        <v>898</v>
      </c>
      <c r="E696" t="s">
        <v>269</v>
      </c>
    </row>
    <row r="697" spans="1:5">
      <c r="A697" s="4" t="s">
        <v>937</v>
      </c>
      <c r="B697" s="8" t="s">
        <v>286</v>
      </c>
      <c r="C697" s="6" t="str">
        <f t="array" ref="C697">_xlfn.TEXTJOIN(" ",TRUE,IF(D:D=A697,E:E,""))</f>
        <v>ddhub:AngularAccelerationQuantity</v>
      </c>
      <c r="D697" t="s">
        <v>899</v>
      </c>
      <c r="E697" t="s">
        <v>269</v>
      </c>
    </row>
    <row r="698" spans="1:5">
      <c r="A698" s="4" t="s">
        <v>938</v>
      </c>
      <c r="B698" s="8" t="s">
        <v>286</v>
      </c>
      <c r="C698" s="6" t="str">
        <f t="array" ref="C698">_xlfn.TEXTJOIN(" ",TRUE,IF(D:D=A698,E:E,""))</f>
        <v>ddhub:AngularAccelerationQuantity</v>
      </c>
      <c r="D698" t="s">
        <v>900</v>
      </c>
      <c r="E698" t="s">
        <v>269</v>
      </c>
    </row>
    <row r="699" spans="1:5">
      <c r="A699" s="4" t="s">
        <v>939</v>
      </c>
      <c r="B699" s="8" t="s">
        <v>286</v>
      </c>
      <c r="C699" s="6" t="str">
        <f t="array" ref="C699">_xlfn.TEXTJOIN(" ",TRUE,IF(D:D=A699,E:E,""))</f>
        <v>ddhub:AngularAccelerationQuantity</v>
      </c>
      <c r="D699" t="s">
        <v>901</v>
      </c>
      <c r="E699" t="s">
        <v>269</v>
      </c>
    </row>
    <row r="700" spans="1:5">
      <c r="A700" s="4" t="s">
        <v>940</v>
      </c>
      <c r="B700" s="8" t="s">
        <v>288</v>
      </c>
      <c r="C700" s="6" t="str">
        <f t="array" ref="C700">_xlfn.TEXTJOIN(" ",TRUE,IF(D:D=A700,E:E,""))</f>
        <v>ddhub:AngularAccelerationQuantity</v>
      </c>
      <c r="D700" t="s">
        <v>902</v>
      </c>
      <c r="E700" t="s">
        <v>269</v>
      </c>
    </row>
    <row r="701" spans="1:5">
      <c r="A701" s="4" t="s">
        <v>941</v>
      </c>
      <c r="B701" s="8" t="s">
        <v>334</v>
      </c>
      <c r="C701" s="6" t="str">
        <f t="array" ref="C701">_xlfn.TEXTJOIN(" ",TRUE,IF(D:D=A701,E:E,""))</f>
        <v>ddhub:RandomWalkQuantity</v>
      </c>
      <c r="D701" t="s">
        <v>903</v>
      </c>
      <c r="E701" t="s">
        <v>269</v>
      </c>
    </row>
    <row r="702" spans="1:5">
      <c r="A702" s="4" t="s">
        <v>942</v>
      </c>
      <c r="B702" s="8" t="s">
        <v>334</v>
      </c>
      <c r="C702" s="6" t="str">
        <f t="array" ref="C702">_xlfn.TEXTJOIN(" ",TRUE,IF(D:D=A702,E:E,""))</f>
        <v>ddhub:RandomWalkQuantity</v>
      </c>
      <c r="D702" t="s">
        <v>904</v>
      </c>
      <c r="E702" t="s">
        <v>277</v>
      </c>
    </row>
    <row r="703" spans="1:5">
      <c r="A703" s="4" t="s">
        <v>943</v>
      </c>
      <c r="B703" s="8" t="s">
        <v>334</v>
      </c>
      <c r="C703" s="6" t="str">
        <f t="array" ref="C703">_xlfn.TEXTJOIN(" ",TRUE,IF(D:D=A703,E:E,""))</f>
        <v>ddhub:RandomWalkQuantity</v>
      </c>
      <c r="D703" t="s">
        <v>905</v>
      </c>
      <c r="E703" t="s">
        <v>284</v>
      </c>
    </row>
    <row r="704" spans="1:5">
      <c r="A704" s="4" t="s">
        <v>944</v>
      </c>
      <c r="B704" s="8" t="s">
        <v>334</v>
      </c>
      <c r="C704" s="6" t="str">
        <f t="array" ref="C704">_xlfn.TEXTJOIN(" ",TRUE,IF(D:D=A704,E:E,""))</f>
        <v>ddhub:RandomWalkQuantity</v>
      </c>
      <c r="D704" t="s">
        <v>906</v>
      </c>
      <c r="E704" t="s">
        <v>286</v>
      </c>
    </row>
    <row r="705" spans="1:5">
      <c r="A705" s="4" t="s">
        <v>945</v>
      </c>
      <c r="B705" s="8" t="s">
        <v>284</v>
      </c>
      <c r="C705" s="6" t="str">
        <f t="array" ref="C705">_xlfn.TEXTJOIN(" ",TRUE,IF(D:D=A705,E:E,""))</f>
        <v>ddhub:CurvatureQuantity</v>
      </c>
      <c r="D705" t="s">
        <v>907</v>
      </c>
      <c r="E705" t="s">
        <v>288</v>
      </c>
    </row>
    <row r="706" spans="1:5">
      <c r="A706" s="4" t="s">
        <v>946</v>
      </c>
      <c r="B706" s="8" t="s">
        <v>379</v>
      </c>
      <c r="C706" s="6" t="str">
        <f t="array" ref="C706">_xlfn.TEXTJOIN(" ",TRUE,IF(D:D=A706,E:E,""))</f>
        <v>ddhub:AngleMagneticFluxDensityQuantity</v>
      </c>
      <c r="D706" t="s">
        <v>908</v>
      </c>
      <c r="E706" t="s">
        <v>288</v>
      </c>
    </row>
    <row r="707" spans="1:5">
      <c r="A707" s="4" t="s">
        <v>947</v>
      </c>
      <c r="B707" s="8" t="s">
        <v>379</v>
      </c>
      <c r="C707" s="6" t="str">
        <f t="array" ref="C707">_xlfn.TEXTJOIN(" ",TRUE,IF(D:D=A707,E:E,""))</f>
        <v>ddhub:AngleMagneticFluxDensityQuantity</v>
      </c>
      <c r="D707" t="s">
        <v>910</v>
      </c>
      <c r="E707" t="s">
        <v>288</v>
      </c>
    </row>
    <row r="708" spans="1:5">
      <c r="A708" s="4" t="s">
        <v>948</v>
      </c>
      <c r="B708" s="8" t="s">
        <v>142</v>
      </c>
      <c r="C708" s="6" t="str">
        <f t="array" ref="C708">_xlfn.TEXTJOIN(" ",TRUE,IF(D:D=A708,E:E,""))</f>
        <v>ddhub:RelativeTemperatureQuantity ddhub:TemperatureQuantity</v>
      </c>
      <c r="D708" t="s">
        <v>911</v>
      </c>
      <c r="E708" t="s">
        <v>288</v>
      </c>
    </row>
    <row r="709" spans="1:5">
      <c r="A709" s="4" t="s">
        <v>949</v>
      </c>
      <c r="B709" s="8" t="s">
        <v>334</v>
      </c>
      <c r="C709" s="6" t="str">
        <f t="array" ref="C709">_xlfn.TEXTJOIN(" ",TRUE,IF(D:D=A709,E:E,""))</f>
        <v>ddhub:WaveNumberQuantity</v>
      </c>
      <c r="D709" t="s">
        <v>912</v>
      </c>
      <c r="E709" t="s">
        <v>277</v>
      </c>
    </row>
    <row r="710" spans="1:5">
      <c r="A710" s="4" t="s">
        <v>949</v>
      </c>
      <c r="B710" s="8" t="s">
        <v>334</v>
      </c>
      <c r="C710" s="6" t="str">
        <f t="array" ref="C710">_xlfn.TEXTJOIN(" ",TRUE,IF(D:D=A710,E:E,""))</f>
        <v>ddhub:WaveNumberQuantity</v>
      </c>
      <c r="D710" t="s">
        <v>913</v>
      </c>
      <c r="E710" t="s">
        <v>277</v>
      </c>
    </row>
    <row r="711" spans="1:5">
      <c r="A711" s="4" t="s">
        <v>951</v>
      </c>
      <c r="B711" s="8" t="s">
        <v>334</v>
      </c>
      <c r="C711" s="6" t="str">
        <f t="array" ref="C711">_xlfn.TEXTJOIN(" ",TRUE,IF(D:D=A711,E:E,""))</f>
        <v>ddhub:WaveNumberQuantity</v>
      </c>
      <c r="D711" t="s">
        <v>914</v>
      </c>
      <c r="E711" t="s">
        <v>284</v>
      </c>
    </row>
    <row r="712" spans="1:5">
      <c r="A712" s="4" t="s">
        <v>952</v>
      </c>
      <c r="B712" s="8" t="s">
        <v>334</v>
      </c>
      <c r="C712" s="6" t="str">
        <f t="array" ref="C712">_xlfn.TEXTJOIN(" ",TRUE,IF(D:D=A712,E:E,""))</f>
        <v>ddhub:WaveNumberQuantity</v>
      </c>
      <c r="D712" t="s">
        <v>915</v>
      </c>
      <c r="E712" t="s">
        <v>277</v>
      </c>
    </row>
    <row r="713" spans="1:5">
      <c r="A713" s="4" t="s">
        <v>953</v>
      </c>
      <c r="B713" s="8" t="s">
        <v>334</v>
      </c>
      <c r="C713" s="6" t="str">
        <f t="array" ref="C713">_xlfn.TEXTJOIN(" ",TRUE,IF(D:D=A713,E:E,""))</f>
        <v>ddhub:WaveNumberQuantity</v>
      </c>
      <c r="D713" t="s">
        <v>915</v>
      </c>
      <c r="E713" t="s">
        <v>284</v>
      </c>
    </row>
    <row r="714" spans="1:5">
      <c r="A714" s="4" t="s">
        <v>954</v>
      </c>
      <c r="B714" s="8" t="s">
        <v>334</v>
      </c>
      <c r="C714" s="6" t="str">
        <f t="array" ref="C714">_xlfn.TEXTJOIN(" ",TRUE,IF(D:D=A714,E:E,""))</f>
        <v>ddhub:WaveNumberQuantity</v>
      </c>
      <c r="D714" t="s">
        <v>916</v>
      </c>
      <c r="E714" t="s">
        <v>277</v>
      </c>
    </row>
    <row r="715" spans="1:5">
      <c r="A715" s="4" t="s">
        <v>955</v>
      </c>
      <c r="B715" s="8" t="s">
        <v>334</v>
      </c>
      <c r="C715" s="6" t="str">
        <f t="array" ref="C715">_xlfn.TEXTJOIN(" ",TRUE,IF(D:D=A715,E:E,""))</f>
        <v>ddhub:WaveNumberQuantity</v>
      </c>
      <c r="D715" t="s">
        <v>917</v>
      </c>
      <c r="E715" t="s">
        <v>286</v>
      </c>
    </row>
    <row r="716" spans="1:5">
      <c r="A716" s="4" t="s">
        <v>956</v>
      </c>
      <c r="B716" s="8" t="s">
        <v>334</v>
      </c>
      <c r="C716" s="6" t="str">
        <f t="array" ref="C716">_xlfn.TEXTJOIN(" ",TRUE,IF(D:D=A716,E:E,""))</f>
        <v>ddhub:WaveNumberQuantity</v>
      </c>
      <c r="D716" t="s">
        <v>918</v>
      </c>
      <c r="E716" t="s">
        <v>288</v>
      </c>
    </row>
    <row r="717" spans="1:5">
      <c r="A717" s="4" t="s">
        <v>957</v>
      </c>
      <c r="B717" s="8" t="s">
        <v>334</v>
      </c>
      <c r="C717" s="6" t="str">
        <f t="array" ref="C717">_xlfn.TEXTJOIN(" ",TRUE,IF(D:D=A717,E:E,""))</f>
        <v>ddhub:WaveNumberQuantity</v>
      </c>
      <c r="D717" t="s">
        <v>919</v>
      </c>
      <c r="E717" t="s">
        <v>288</v>
      </c>
    </row>
    <row r="718" spans="1:5">
      <c r="A718" s="4" t="s">
        <v>958</v>
      </c>
      <c r="B718" s="8" t="s">
        <v>334</v>
      </c>
      <c r="C718" s="6" t="str">
        <f t="array" ref="C718">_xlfn.TEXTJOIN(" ",TRUE,IF(D:D=A718,E:E,""))</f>
        <v>ddhub:WaveNumberQuantity</v>
      </c>
      <c r="D718" t="s">
        <v>920</v>
      </c>
      <c r="E718" t="s">
        <v>288</v>
      </c>
    </row>
    <row r="719" spans="1:5">
      <c r="A719" s="4" t="s">
        <v>959</v>
      </c>
      <c r="B719" s="8" t="s">
        <v>334</v>
      </c>
      <c r="C719" s="6" t="str">
        <f t="array" ref="C719">_xlfn.TEXTJOIN(" ",TRUE,IF(D:D=A719,E:E,""))</f>
        <v>ddhub:WaveNumberQuantity</v>
      </c>
      <c r="D719" t="s">
        <v>921</v>
      </c>
      <c r="E719" t="s">
        <v>288</v>
      </c>
    </row>
    <row r="720" spans="1:5">
      <c r="A720" s="4" t="s">
        <v>960</v>
      </c>
      <c r="B720" s="8" t="s">
        <v>334</v>
      </c>
      <c r="C720" s="6" t="str">
        <f t="array" ref="C720">_xlfn.TEXTJOIN(" ",TRUE,IF(D:D=A720,E:E,""))</f>
        <v>ddhub:WaveNumberQuantity</v>
      </c>
      <c r="D720" t="s">
        <v>922</v>
      </c>
      <c r="E720" t="s">
        <v>284</v>
      </c>
    </row>
    <row r="721" spans="1:5">
      <c r="A721" s="4" t="s">
        <v>961</v>
      </c>
      <c r="B721" s="8" t="s">
        <v>334</v>
      </c>
      <c r="C721" s="6" t="str">
        <f t="array" ref="C721">_xlfn.TEXTJOIN(" ",TRUE,IF(D:D=A721,E:E,""))</f>
        <v>ddhub:WaveNumberQuantity</v>
      </c>
      <c r="D721" t="s">
        <v>923</v>
      </c>
      <c r="E721" t="s">
        <v>277</v>
      </c>
    </row>
    <row r="722" spans="1:5">
      <c r="A722" s="4" t="s">
        <v>962</v>
      </c>
      <c r="B722" s="8" t="s">
        <v>334</v>
      </c>
      <c r="C722" s="6" t="str">
        <f t="array" ref="C722">_xlfn.TEXTJOIN(" ",TRUE,IF(D:D=A722,E:E,""))</f>
        <v>ddhub:WaveNumberQuantity</v>
      </c>
      <c r="D722" t="s">
        <v>924</v>
      </c>
      <c r="E722" t="s">
        <v>277</v>
      </c>
    </row>
    <row r="723" spans="1:5">
      <c r="A723" s="4" t="s">
        <v>963</v>
      </c>
      <c r="B723" s="8" t="s">
        <v>334</v>
      </c>
      <c r="C723" s="6" t="str">
        <f t="array" ref="C723">_xlfn.TEXTJOIN(" ",TRUE,IF(D:D=A723,E:E,""))</f>
        <v>ddhub:WaveNumberQuantity</v>
      </c>
      <c r="D723" t="s">
        <v>924</v>
      </c>
      <c r="E723" t="s">
        <v>284</v>
      </c>
    </row>
    <row r="724" spans="1:5">
      <c r="A724" s="4" t="s">
        <v>964</v>
      </c>
      <c r="B724" s="8" t="s">
        <v>334</v>
      </c>
      <c r="C724" s="6" t="str">
        <f t="array" ref="C724">_xlfn.TEXTJOIN(" ",TRUE,IF(D:D=A724,E:E,""))</f>
        <v>ddhub:WaveNumberQuantity</v>
      </c>
      <c r="D724" t="s">
        <v>925</v>
      </c>
      <c r="E724" t="s">
        <v>277</v>
      </c>
    </row>
    <row r="725" spans="1:5">
      <c r="A725" s="4" t="s">
        <v>965</v>
      </c>
      <c r="B725" s="8" t="s">
        <v>334</v>
      </c>
      <c r="C725" s="6" t="str">
        <f t="array" ref="C725">_xlfn.TEXTJOIN(" ",TRUE,IF(D:D=A725,E:E,""))</f>
        <v>ddhub:WaveNumberQuantity</v>
      </c>
      <c r="D725" t="s">
        <v>926</v>
      </c>
      <c r="E725" t="s">
        <v>277</v>
      </c>
    </row>
    <row r="726" spans="1:5">
      <c r="A726" s="4" t="s">
        <v>966</v>
      </c>
      <c r="B726" s="8" t="s">
        <v>334</v>
      </c>
      <c r="C726" s="6" t="str">
        <f t="array" ref="C726">_xlfn.TEXTJOIN(" ",TRUE,IF(D:D=A726,E:E,""))</f>
        <v>ddhub:WaveNumberQuantity</v>
      </c>
      <c r="D726" t="s">
        <v>927</v>
      </c>
      <c r="E726" t="s">
        <v>277</v>
      </c>
    </row>
    <row r="727" spans="1:5">
      <c r="A727" s="4" t="s">
        <v>967</v>
      </c>
      <c r="B727" s="8" t="s">
        <v>334</v>
      </c>
      <c r="C727" s="6" t="str">
        <f t="array" ref="C727">_xlfn.TEXTJOIN(" ",TRUE,IF(D:D=A727,E:E,""))</f>
        <v>ddhub:WaveNumberQuantity</v>
      </c>
      <c r="D727" t="s">
        <v>928</v>
      </c>
      <c r="E727" t="s">
        <v>284</v>
      </c>
    </row>
    <row r="728" spans="1:5">
      <c r="A728" s="4" t="s">
        <v>968</v>
      </c>
      <c r="B728" s="8" t="s">
        <v>334</v>
      </c>
      <c r="C728" s="6" t="str">
        <f t="array" ref="C728">_xlfn.TEXTJOIN(" ",TRUE,IF(D:D=A728,E:E,""))</f>
        <v>ddhub:WaveNumberQuantity</v>
      </c>
      <c r="D728" t="s">
        <v>929</v>
      </c>
      <c r="E728" t="s">
        <v>286</v>
      </c>
    </row>
    <row r="729" spans="1:5">
      <c r="A729" s="4" t="s">
        <v>969</v>
      </c>
      <c r="B729" s="8" t="s">
        <v>334</v>
      </c>
      <c r="C729" s="6" t="str">
        <f t="array" ref="C729">_xlfn.TEXTJOIN(" ",TRUE,IF(D:D=A729,E:E,""))</f>
        <v>ddhub:WaveNumberQuantity</v>
      </c>
      <c r="D729" t="s">
        <v>930</v>
      </c>
      <c r="E729" t="s">
        <v>288</v>
      </c>
    </row>
    <row r="730" spans="1:5">
      <c r="A730" s="4" t="s">
        <v>970</v>
      </c>
      <c r="B730" s="8" t="s">
        <v>334</v>
      </c>
      <c r="C730" s="6" t="str">
        <f t="array" ref="C730">_xlfn.TEXTJOIN(" ",TRUE,IF(D:D=A730,E:E,""))</f>
        <v>ddhub:WaveNumberQuantity</v>
      </c>
      <c r="D730" t="s">
        <v>931</v>
      </c>
      <c r="E730" t="s">
        <v>288</v>
      </c>
    </row>
    <row r="731" spans="1:5">
      <c r="A731" s="4" t="s">
        <v>971</v>
      </c>
      <c r="B731" s="8" t="s">
        <v>334</v>
      </c>
      <c r="C731" s="6" t="str">
        <f t="array" ref="C731">_xlfn.TEXTJOIN(" ",TRUE,IF(D:D=A731,E:E,""))</f>
        <v>ddhub:WaveNumberQuantity</v>
      </c>
      <c r="D731" t="s">
        <v>932</v>
      </c>
      <c r="E731" t="s">
        <v>288</v>
      </c>
    </row>
    <row r="732" spans="1:5">
      <c r="A732" s="4" t="s">
        <v>972</v>
      </c>
      <c r="B732" s="8" t="s">
        <v>334</v>
      </c>
      <c r="C732" s="6" t="str">
        <f t="array" ref="C732">_xlfn.TEXTJOIN(" ",TRUE,IF(D:D=A732,E:E,""))</f>
        <v>ddhub:WaveNumberQuantity</v>
      </c>
      <c r="D732" t="s">
        <v>933</v>
      </c>
      <c r="E732" t="s">
        <v>288</v>
      </c>
    </row>
    <row r="733" spans="1:5">
      <c r="A733" s="4" t="s">
        <v>973</v>
      </c>
      <c r="B733" s="8" t="s">
        <v>334</v>
      </c>
      <c r="C733" s="6" t="str">
        <f t="array" ref="C733">_xlfn.TEXTJOIN(" ",TRUE,IF(D:D=A733,E:E,""))</f>
        <v>ddhub:WaveNumberQuantity</v>
      </c>
      <c r="D733" t="s">
        <v>934</v>
      </c>
      <c r="E733" t="s">
        <v>277</v>
      </c>
    </row>
    <row r="734" spans="1:5">
      <c r="A734" s="4" t="s">
        <v>974</v>
      </c>
      <c r="B734" s="8" t="s">
        <v>334</v>
      </c>
      <c r="C734" s="6" t="str">
        <f t="array" ref="C734">_xlfn.TEXTJOIN(" ",TRUE,IF(D:D=A734,E:E,""))</f>
        <v>ddhub:FrequencyQuantity</v>
      </c>
      <c r="D734" t="s">
        <v>935</v>
      </c>
      <c r="E734" t="s">
        <v>286</v>
      </c>
    </row>
    <row r="735" spans="1:5">
      <c r="A735" s="4" t="s">
        <v>975</v>
      </c>
      <c r="B735" s="8" t="s">
        <v>334</v>
      </c>
      <c r="C735" s="6" t="str">
        <f t="array" ref="C735">_xlfn.TEXTJOIN(" ",TRUE,IF(D:D=A735,E:E,""))</f>
        <v>ddhub:WaveNumberQuantity</v>
      </c>
      <c r="D735" t="s">
        <v>937</v>
      </c>
      <c r="E735" t="s">
        <v>288</v>
      </c>
    </row>
    <row r="736" spans="1:5">
      <c r="A736" s="4" t="s">
        <v>976</v>
      </c>
      <c r="B736" s="8" t="s">
        <v>334</v>
      </c>
      <c r="C736" s="6" t="str">
        <f t="array" ref="C736">_xlfn.TEXTJOIN(" ",TRUE,IF(D:D=A736,E:E,""))</f>
        <v>ddhub:WaveNumberQuantity</v>
      </c>
      <c r="D736" t="s">
        <v>938</v>
      </c>
      <c r="E736" t="s">
        <v>288</v>
      </c>
    </row>
    <row r="737" spans="1:5">
      <c r="A737" s="4" t="s">
        <v>977</v>
      </c>
      <c r="B737" s="8" t="s">
        <v>334</v>
      </c>
      <c r="C737" s="6" t="str">
        <f t="array" ref="C737">_xlfn.TEXTJOIN(" ",TRUE,IF(D:D=A737,E:E,""))</f>
        <v>ddhub:WaveNumberQuantity</v>
      </c>
      <c r="D737" t="s">
        <v>939</v>
      </c>
      <c r="E737" t="s">
        <v>288</v>
      </c>
    </row>
    <row r="738" spans="1:5">
      <c r="A738" s="4" t="s">
        <v>978</v>
      </c>
      <c r="B738" s="8" t="s">
        <v>334</v>
      </c>
      <c r="C738" s="6" t="str">
        <f t="array" ref="C738">_xlfn.TEXTJOIN(" ",TRUE,IF(D:D=A738,E:E,""))</f>
        <v>ddhub:WaveNumberQuantity</v>
      </c>
      <c r="D738" t="s">
        <v>940</v>
      </c>
      <c r="E738" t="s">
        <v>288</v>
      </c>
    </row>
    <row r="739" spans="1:5">
      <c r="A739" s="4" t="s">
        <v>979</v>
      </c>
      <c r="B739" s="8" t="s">
        <v>334</v>
      </c>
      <c r="C739" s="6" t="str">
        <f t="array" ref="C739">_xlfn.TEXTJOIN(" ",TRUE,IF(D:D=A739,E:E,""))</f>
        <v>ddhub:WaveNumberQuantity</v>
      </c>
      <c r="D739" t="s">
        <v>941</v>
      </c>
      <c r="E739" t="s">
        <v>322</v>
      </c>
    </row>
    <row r="740" spans="1:5">
      <c r="A740" s="4" t="s">
        <v>980</v>
      </c>
      <c r="B740" s="8" t="s">
        <v>142</v>
      </c>
      <c r="C740" s="6" t="str">
        <f t="array" ref="C740">_xlfn.TEXTJOIN(" ",TRUE,IF(D:D=A740,E:E,""))</f>
        <v>ddhub:RelativeTemperatureQuantity</v>
      </c>
      <c r="D740" t="s">
        <v>942</v>
      </c>
      <c r="E740" t="s">
        <v>322</v>
      </c>
    </row>
    <row r="741" spans="1:5">
      <c r="A741" s="4" t="s">
        <v>982</v>
      </c>
      <c r="B741" s="8" t="s">
        <v>2104</v>
      </c>
      <c r="C741" s="6" t="str">
        <f t="array" ref="C741">_xlfn.TEXTJOIN(" ",TRUE,IF(D:D=A741,E:E,""))</f>
        <v>ddhub:PlaneAngleQuantity</v>
      </c>
      <c r="D741" t="s">
        <v>943</v>
      </c>
      <c r="E741" t="s">
        <v>322</v>
      </c>
    </row>
    <row r="742" spans="1:5">
      <c r="A742" s="4" t="s">
        <v>983</v>
      </c>
      <c r="B742" s="8" t="s">
        <v>384</v>
      </c>
      <c r="C742" s="6" t="str">
        <f t="array" ref="C742">_xlfn.TEXTJOIN(" ",TRUE,IF(D:D=A742,E:E,""))</f>
        <v>ddhub:FrequencyQuantity</v>
      </c>
      <c r="D742" t="s">
        <v>944</v>
      </c>
      <c r="E742" t="s">
        <v>322</v>
      </c>
    </row>
    <row r="743" spans="1:5">
      <c r="A743" s="4" t="s">
        <v>984</v>
      </c>
      <c r="B743" s="8" t="s">
        <v>384</v>
      </c>
      <c r="C743" s="6" t="str">
        <f t="array" ref="C743">_xlfn.TEXTJOIN(" ",TRUE,IF(D:D=A743,E:E,""))</f>
        <v>ddhub:FrequencyQuantity</v>
      </c>
      <c r="D743" t="s">
        <v>945</v>
      </c>
      <c r="E743" t="s">
        <v>277</v>
      </c>
    </row>
    <row r="744" spans="1:5">
      <c r="A744" s="4" t="s">
        <v>985</v>
      </c>
      <c r="B744" s="8" t="s">
        <v>384</v>
      </c>
      <c r="C744" s="6" t="str">
        <f t="array" ref="C744">_xlfn.TEXTJOIN(" ",TRUE,IF(D:D=A744,E:E,""))</f>
        <v>ddhub:FrequencyQuantity</v>
      </c>
      <c r="D744" t="s">
        <v>946</v>
      </c>
      <c r="E744" t="s">
        <v>269</v>
      </c>
    </row>
    <row r="745" spans="1:5">
      <c r="A745" s="4" t="s">
        <v>987</v>
      </c>
      <c r="B745" s="8" t="s">
        <v>9</v>
      </c>
      <c r="C745" s="6" t="str">
        <f t="array" ref="C745">_xlfn.TEXTJOIN(" ",TRUE,IF(D:D=A745,E:E,""))</f>
        <v>ddhub:LengthQuantity</v>
      </c>
      <c r="D745" t="s">
        <v>947</v>
      </c>
      <c r="E745" t="s">
        <v>269</v>
      </c>
    </row>
    <row r="746" spans="1:5">
      <c r="A746" s="4" t="s">
        <v>988</v>
      </c>
      <c r="B746" s="8" t="s">
        <v>201</v>
      </c>
      <c r="C746" s="6" t="str">
        <f t="array" ref="C746">_xlfn.TEXTJOIN(" ",TRUE,IF(D:D=A746,E:E,""))</f>
        <v>ddhub:TimeQuantity</v>
      </c>
      <c r="D746" t="s">
        <v>948</v>
      </c>
      <c r="E746" t="s">
        <v>981</v>
      </c>
    </row>
    <row r="747" spans="1:5">
      <c r="A747" s="4" t="s">
        <v>990</v>
      </c>
      <c r="B747" s="8" t="s">
        <v>334</v>
      </c>
      <c r="C747" s="6" t="str">
        <f t="array" ref="C747">_xlfn.TEXTJOIN(" ",TRUE,IF(D:D=A747,E:E,""))</f>
        <v>ddhub:PlaneAngleQuantity</v>
      </c>
      <c r="D747" t="s">
        <v>948</v>
      </c>
      <c r="E747" t="s">
        <v>142</v>
      </c>
    </row>
    <row r="748" spans="1:5">
      <c r="A748" s="4" t="s">
        <v>991</v>
      </c>
      <c r="B748" s="8" t="s">
        <v>201</v>
      </c>
      <c r="C748" s="6" t="str">
        <f t="array" ref="C748">_xlfn.TEXTJOIN(" ",TRUE,IF(D:D=A748,E:E,""))</f>
        <v>ddhub:TimeQuantity</v>
      </c>
      <c r="D748" t="s">
        <v>949</v>
      </c>
      <c r="E748" t="s">
        <v>950</v>
      </c>
    </row>
    <row r="749" spans="1:5">
      <c r="A749" s="4" t="s">
        <v>992</v>
      </c>
      <c r="B749" s="8" t="s">
        <v>384</v>
      </c>
      <c r="C749" s="6" t="str">
        <f t="array" ref="C749">_xlfn.TEXTJOIN(" ",TRUE,IF(D:D=A749,E:E,""))</f>
        <v>ddhub:FrequencyQuantity</v>
      </c>
      <c r="D749" t="s">
        <v>951</v>
      </c>
      <c r="E749" t="s">
        <v>950</v>
      </c>
    </row>
    <row r="750" spans="1:5">
      <c r="A750" s="4" t="s">
        <v>993</v>
      </c>
      <c r="B750" s="8" t="s">
        <v>384</v>
      </c>
      <c r="C750" s="6" t="str">
        <f t="array" ref="C750">_xlfn.TEXTJOIN(" ",TRUE,IF(D:D=A750,E:E,""))</f>
        <v>ddhub:FrequencyQuantity</v>
      </c>
      <c r="D750" t="s">
        <v>952</v>
      </c>
      <c r="E750" t="s">
        <v>950</v>
      </c>
    </row>
    <row r="751" spans="1:5">
      <c r="A751" s="4" t="s">
        <v>994</v>
      </c>
      <c r="B751" s="8" t="s">
        <v>384</v>
      </c>
      <c r="C751" s="6" t="str">
        <f t="array" ref="C751">_xlfn.TEXTJOIN(" ",TRUE,IF(D:D=A751,E:E,""))</f>
        <v>ddhub:FrequencyQuantity</v>
      </c>
      <c r="D751" t="s">
        <v>953</v>
      </c>
      <c r="E751" t="s">
        <v>950</v>
      </c>
    </row>
    <row r="752" spans="1:5">
      <c r="A752" s="4" t="s">
        <v>996</v>
      </c>
      <c r="B752" s="8" t="s">
        <v>334</v>
      </c>
      <c r="C752" s="6" t="str">
        <f t="array" ref="C752">_xlfn.TEXTJOIN(" ",TRUE,IF(D:D=A752,E:E,""))</f>
        <v>ddhub:ElectricCurrentQuantity</v>
      </c>
      <c r="D752" t="s">
        <v>954</v>
      </c>
      <c r="E752" t="s">
        <v>950</v>
      </c>
    </row>
    <row r="753" spans="1:5">
      <c r="A753" s="4" t="s">
        <v>998</v>
      </c>
      <c r="B753" s="8" t="s">
        <v>34</v>
      </c>
      <c r="C753" s="6" t="str">
        <f t="array" ref="C753">_xlfn.TEXTJOIN(" ",TRUE,IF(D:D=A753,E:E,""))</f>
        <v>ddhub:MassQuantity</v>
      </c>
      <c r="D753" t="s">
        <v>955</v>
      </c>
      <c r="E753" t="s">
        <v>950</v>
      </c>
    </row>
    <row r="754" spans="1:5">
      <c r="A754" s="4" t="s">
        <v>999</v>
      </c>
      <c r="B754" s="8" t="s">
        <v>50</v>
      </c>
      <c r="C754" s="6" t="str">
        <f t="array" ref="C754">_xlfn.TEXTJOIN(" ",TRUE,IF(D:D=A754,E:E,""))</f>
        <v>ddhub:SolidAngleQuantity</v>
      </c>
      <c r="D754" t="s">
        <v>956</v>
      </c>
      <c r="E754" t="s">
        <v>950</v>
      </c>
    </row>
    <row r="755" spans="1:5">
      <c r="A755" s="4" t="s">
        <v>1000</v>
      </c>
      <c r="B755" s="8" t="s">
        <v>334</v>
      </c>
      <c r="C755" s="6" t="str">
        <f t="array" ref="C755">_xlfn.TEXTJOIN(" ",TRUE,IF(D:D=A755,E:E,""))</f>
        <v>ddhub:MassDensityQuantity</v>
      </c>
      <c r="D755" t="s">
        <v>957</v>
      </c>
      <c r="E755" t="s">
        <v>950</v>
      </c>
    </row>
    <row r="756" spans="1:5">
      <c r="A756" s="4" t="s">
        <v>1001</v>
      </c>
      <c r="B756" s="8" t="s">
        <v>334</v>
      </c>
      <c r="C756" s="6" t="str">
        <f t="array" ref="C756">_xlfn.TEXTJOIN(" ",TRUE,IF(D:D=A756,E:E,""))</f>
        <v>ddhub:MassDensityGradientPerLengthQuantity</v>
      </c>
      <c r="D756" t="s">
        <v>958</v>
      </c>
      <c r="E756" t="s">
        <v>950</v>
      </c>
    </row>
    <row r="757" spans="1:5">
      <c r="A757" s="4" t="s">
        <v>1003</v>
      </c>
      <c r="B757" s="8" t="s">
        <v>334</v>
      </c>
      <c r="C757" s="6" t="str">
        <f t="array" ref="C757">_xlfn.TEXTJOIN(" ",TRUE,IF(D:D=A757,E:E,""))</f>
        <v>ddhub:MassDensityGradientPerLengthQuantity</v>
      </c>
      <c r="D757" t="s">
        <v>959</v>
      </c>
      <c r="E757" t="s">
        <v>950</v>
      </c>
    </row>
    <row r="758" spans="1:5">
      <c r="A758" s="4" t="s">
        <v>1005</v>
      </c>
      <c r="B758" s="8" t="s">
        <v>426</v>
      </c>
      <c r="C758" s="6" t="str">
        <f t="array" ref="C758">_xlfn.TEXTJOIN(" ",TRUE,IF(D:D=A758,E:E,""))</f>
        <v>ddhub:MassDensityGradientPerLengthQuantity</v>
      </c>
      <c r="D758" t="s">
        <v>960</v>
      </c>
      <c r="E758" t="s">
        <v>950</v>
      </c>
    </row>
    <row r="759" spans="1:5">
      <c r="A759" s="4" t="s">
        <v>1006</v>
      </c>
      <c r="B759" s="8" t="s">
        <v>334</v>
      </c>
      <c r="C759" s="6" t="str">
        <f t="array" ref="C759">_xlfn.TEXTJOIN(" ",TRUE,IF(D:D=A759,E:E,""))</f>
        <v>ddhub:MassDensityGradientPerTemperatureQuantity</v>
      </c>
      <c r="D759" t="s">
        <v>961</v>
      </c>
      <c r="E759" t="s">
        <v>950</v>
      </c>
    </row>
    <row r="760" spans="1:5">
      <c r="A760" s="4" t="s">
        <v>1008</v>
      </c>
      <c r="B760" s="8" t="s">
        <v>334</v>
      </c>
      <c r="C760" s="6" t="str">
        <f t="array" ref="C760">_xlfn.TEXTJOIN(" ",TRUE,IF(D:D=A760,E:E,""))</f>
        <v>ddhub:MassDensityRateOfChangeQuantity</v>
      </c>
      <c r="D760" t="s">
        <v>962</v>
      </c>
      <c r="E760" t="s">
        <v>950</v>
      </c>
    </row>
    <row r="761" spans="1:5">
      <c r="A761" s="4" t="s">
        <v>1009</v>
      </c>
      <c r="B761" s="8" t="s">
        <v>334</v>
      </c>
      <c r="C761" s="6" t="str">
        <f t="array" ref="C761">_xlfn.TEXTJOIN(" ",TRUE,IF(D:D=A761,E:E,""))</f>
        <v>ddhub:MassDensityGradientPerLengthQuantity</v>
      </c>
      <c r="D761" t="s">
        <v>963</v>
      </c>
      <c r="E761" t="s">
        <v>950</v>
      </c>
    </row>
    <row r="762" spans="1:5">
      <c r="A762" s="4" t="s">
        <v>1010</v>
      </c>
      <c r="B762" s="8" t="s">
        <v>334</v>
      </c>
      <c r="C762" s="6" t="str">
        <f t="array" ref="C762">_xlfn.TEXTJOIN(" ",TRUE,IF(D:D=A762,E:E,""))</f>
        <v>ddhub:MassDensityRateOfChangeQuantity</v>
      </c>
      <c r="D762" t="s">
        <v>964</v>
      </c>
      <c r="E762" t="s">
        <v>950</v>
      </c>
    </row>
    <row r="763" spans="1:5">
      <c r="A763" s="4" t="s">
        <v>1011</v>
      </c>
      <c r="B763" s="8" t="s">
        <v>426</v>
      </c>
      <c r="C763" s="6" t="str">
        <f t="array" ref="C763">_xlfn.TEXTJOIN(" ",TRUE,IF(D:D=A763,E:E,""))</f>
        <v>ddhub:MassDensityRateOfChangeQuantity</v>
      </c>
      <c r="D763" t="s">
        <v>965</v>
      </c>
      <c r="E763" t="s">
        <v>950</v>
      </c>
    </row>
    <row r="764" spans="1:5">
      <c r="A764" s="4" t="s">
        <v>1012</v>
      </c>
      <c r="B764" s="8" t="s">
        <v>384</v>
      </c>
      <c r="C764" s="6" t="str">
        <f t="array" ref="C764">_xlfn.TEXTJOIN(" ",TRUE,IF(D:D=A764,E:E,""))</f>
        <v>ddhub:FrequencyQuantity</v>
      </c>
      <c r="D764" t="s">
        <v>966</v>
      </c>
      <c r="E764" t="s">
        <v>950</v>
      </c>
    </row>
    <row r="765" spans="1:5">
      <c r="A765" s="4" t="s">
        <v>1013</v>
      </c>
      <c r="B765" s="8" t="s">
        <v>17</v>
      </c>
      <c r="C765" s="6" t="str">
        <f t="array" ref="C765">_xlfn.TEXTJOIN(" ",TRUE,IF(D:D=A765,E:E,""))</f>
        <v>ddhub:AreaQuantity</v>
      </c>
      <c r="D765" t="s">
        <v>967</v>
      </c>
      <c r="E765" t="s">
        <v>950</v>
      </c>
    </row>
    <row r="766" spans="1:5">
      <c r="A766" s="4" t="s">
        <v>1015</v>
      </c>
      <c r="B766" s="8" t="s">
        <v>17</v>
      </c>
      <c r="C766" s="6" t="str">
        <f t="array" ref="C766">_xlfn.TEXTJOIN(" ",TRUE,IF(D:D=A766,E:E,""))</f>
        <v>ddhub:AreaQuantity</v>
      </c>
      <c r="D766" t="s">
        <v>968</v>
      </c>
      <c r="E766" t="s">
        <v>950</v>
      </c>
    </row>
    <row r="767" spans="1:5">
      <c r="A767" s="4" t="s">
        <v>1016</v>
      </c>
      <c r="B767" s="8" t="s">
        <v>17</v>
      </c>
      <c r="C767" s="6" t="str">
        <f t="array" ref="C767">_xlfn.TEXTJOIN(" ",TRUE,IF(D:D=A767,E:E,""))</f>
        <v>ddhub:AreaQuantity</v>
      </c>
      <c r="D767" t="s">
        <v>969</v>
      </c>
      <c r="E767" t="s">
        <v>950</v>
      </c>
    </row>
    <row r="768" spans="1:5">
      <c r="A768" s="4" t="s">
        <v>1018</v>
      </c>
      <c r="B768" s="8" t="s">
        <v>17</v>
      </c>
      <c r="C768" s="6" t="str">
        <f t="array" ref="C768">_xlfn.TEXTJOIN(" ",TRUE,IF(D:D=A768,E:E,""))</f>
        <v>ddhub:AreaQuantity</v>
      </c>
      <c r="D768" t="s">
        <v>970</v>
      </c>
      <c r="E768" t="s">
        <v>950</v>
      </c>
    </row>
    <row r="769" spans="1:5">
      <c r="A769" s="4" t="s">
        <v>1019</v>
      </c>
      <c r="B769" s="8" t="s">
        <v>17</v>
      </c>
      <c r="C769" s="6" t="str">
        <f t="array" ref="C769">_xlfn.TEXTJOIN(" ",TRUE,IF(D:D=A769,E:E,""))</f>
        <v>ddhub:AreaQuantity</v>
      </c>
      <c r="D769" t="s">
        <v>971</v>
      </c>
      <c r="E769" t="s">
        <v>950</v>
      </c>
    </row>
    <row r="770" spans="1:5">
      <c r="A770" s="4" t="s">
        <v>1020</v>
      </c>
      <c r="B770" s="8" t="s">
        <v>17</v>
      </c>
      <c r="C770" s="6" t="str">
        <f t="array" ref="C770">_xlfn.TEXTJOIN(" ",TRUE,IF(D:D=A770,E:E,""))</f>
        <v>ddhub:AreaQuantity</v>
      </c>
      <c r="D770" t="s">
        <v>972</v>
      </c>
      <c r="E770" t="s">
        <v>950</v>
      </c>
    </row>
    <row r="771" spans="1:5">
      <c r="A771" s="4" t="s">
        <v>1022</v>
      </c>
      <c r="B771" s="8" t="s">
        <v>17</v>
      </c>
      <c r="C771" s="6" t="str">
        <f t="array" ref="C771">_xlfn.TEXTJOIN(" ",TRUE,IF(D:D=A771,E:E,""))</f>
        <v>ddhub:PorousMediumPermeabilityQuantity ddhub:AreaQuantity</v>
      </c>
      <c r="D771" t="s">
        <v>973</v>
      </c>
      <c r="E771" t="s">
        <v>950</v>
      </c>
    </row>
    <row r="772" spans="1:5">
      <c r="A772" s="4" t="s">
        <v>1025</v>
      </c>
      <c r="B772" s="8" t="s">
        <v>17</v>
      </c>
      <c r="C772" s="6" t="str">
        <f t="array" ref="C772">_xlfn.TEXTJOIN(" ",TRUE,IF(D:D=A772,E:E,""))</f>
        <v>ddhub:AreaQuantity</v>
      </c>
      <c r="D772" t="s">
        <v>974</v>
      </c>
      <c r="E772" t="s">
        <v>384</v>
      </c>
    </row>
    <row r="773" spans="1:5">
      <c r="A773" s="4" t="s">
        <v>1027</v>
      </c>
      <c r="B773" s="8" t="s">
        <v>17</v>
      </c>
      <c r="C773" s="6" t="str">
        <f t="array" ref="C773">_xlfn.TEXTJOIN(" ",TRUE,IF(D:D=A773,E:E,""))</f>
        <v>ddhub:AreaQuantity</v>
      </c>
      <c r="D773" t="s">
        <v>975</v>
      </c>
      <c r="E773" t="s">
        <v>950</v>
      </c>
    </row>
    <row r="774" spans="1:5">
      <c r="A774" s="4" t="s">
        <v>1028</v>
      </c>
      <c r="B774" s="8" t="s">
        <v>17</v>
      </c>
      <c r="C774" s="6" t="str">
        <f t="array" ref="C774">_xlfn.TEXTJOIN(" ",TRUE,IF(D:D=A774,E:E,""))</f>
        <v>ddhub:AreaQuantity</v>
      </c>
      <c r="D774" t="s">
        <v>976</v>
      </c>
      <c r="E774" t="s">
        <v>950</v>
      </c>
    </row>
    <row r="775" spans="1:5">
      <c r="A775" s="4" t="s">
        <v>1029</v>
      </c>
      <c r="B775" s="8" t="s">
        <v>17</v>
      </c>
      <c r="C775" s="6" t="str">
        <f t="array" ref="C775">_xlfn.TEXTJOIN(" ",TRUE,IF(D:D=A775,E:E,""))</f>
        <v>ddhub:AreaQuantity</v>
      </c>
      <c r="D775" t="s">
        <v>977</v>
      </c>
      <c r="E775" t="s">
        <v>950</v>
      </c>
    </row>
    <row r="776" spans="1:5">
      <c r="A776" s="4" t="s">
        <v>1030</v>
      </c>
      <c r="B776" s="8" t="s">
        <v>170</v>
      </c>
      <c r="C776" s="6" t="str">
        <f t="array" ref="C776">_xlfn.TEXTJOIN(" ",TRUE,IF(D:D=A776,E:E,""))</f>
        <v>ddhub:PressureQuantity</v>
      </c>
      <c r="D776" t="s">
        <v>978</v>
      </c>
      <c r="E776" t="s">
        <v>950</v>
      </c>
    </row>
    <row r="777" spans="1:5">
      <c r="A777" s="4" t="s">
        <v>1031</v>
      </c>
      <c r="B777" s="8" t="s">
        <v>13</v>
      </c>
      <c r="C777" s="6" t="str">
        <f t="array" ref="C777">_xlfn.TEXTJOIN(" ",TRUE,IF(D:D=A777,E:E,""))</f>
        <v>ddhub:ElectricCurrentQuantity</v>
      </c>
      <c r="D777" t="s">
        <v>979</v>
      </c>
      <c r="E777" t="s">
        <v>950</v>
      </c>
    </row>
    <row r="778" spans="1:5">
      <c r="A778" s="4" t="s">
        <v>1032</v>
      </c>
      <c r="B778" s="8" t="s">
        <v>328</v>
      </c>
      <c r="C778" s="6" t="str">
        <f t="array" ref="C778">_xlfn.TEXTJOIN(" ",TRUE,IF(D:D=A778,E:E,""))</f>
        <v>ddhub:SolidAngleQuantity</v>
      </c>
      <c r="D778" t="s">
        <v>980</v>
      </c>
      <c r="E778" t="s">
        <v>981</v>
      </c>
    </row>
    <row r="779" spans="1:5">
      <c r="A779" s="4" t="s">
        <v>1033</v>
      </c>
      <c r="B779" s="8" t="s">
        <v>34</v>
      </c>
      <c r="C779" s="6" t="str">
        <f t="array" ref="C779">_xlfn.TEXTJOIN(" ",TRUE,IF(D:D=A779,E:E,""))</f>
        <v>ddhub:MassQuantity</v>
      </c>
      <c r="D779" t="s">
        <v>982</v>
      </c>
      <c r="E779" t="s">
        <v>25</v>
      </c>
    </row>
    <row r="780" spans="1:5">
      <c r="A780" s="4" t="s">
        <v>1034</v>
      </c>
      <c r="B780" s="8" t="s">
        <v>384</v>
      </c>
      <c r="C780" s="6" t="str">
        <f t="array" ref="C780">_xlfn.TEXTJOIN(" ",TRUE,IF(D:D=A780,E:E,""))</f>
        <v>ddhub:FrequencyQuantity</v>
      </c>
      <c r="D780" t="s">
        <v>983</v>
      </c>
      <c r="E780" t="s">
        <v>384</v>
      </c>
    </row>
    <row r="781" spans="1:5">
      <c r="A781" s="4" t="s">
        <v>1035</v>
      </c>
      <c r="B781" s="8" t="s">
        <v>384</v>
      </c>
      <c r="C781" s="6" t="str">
        <f t="array" ref="C781">_xlfn.TEXTJOIN(" ",TRUE,IF(D:D=A781,E:E,""))</f>
        <v>ddhub:FrequencyQuantity</v>
      </c>
      <c r="D781" t="s">
        <v>984</v>
      </c>
      <c r="E781" t="s">
        <v>384</v>
      </c>
    </row>
    <row r="782" spans="1:5">
      <c r="A782" s="4" t="s">
        <v>1036</v>
      </c>
      <c r="B782" s="8" t="s">
        <v>9</v>
      </c>
      <c r="C782" s="6" t="str">
        <f t="array" ref="C782">_xlfn.TEXTJOIN(" ",TRUE,IF(D:D=A782,E:E,""))</f>
        <v>ddhub:LengthQuantity</v>
      </c>
      <c r="D782" t="s">
        <v>985</v>
      </c>
      <c r="E782" t="s">
        <v>384</v>
      </c>
    </row>
    <row r="783" spans="1:5">
      <c r="A783" s="4" t="s">
        <v>1037</v>
      </c>
      <c r="B783" s="8" t="s">
        <v>13</v>
      </c>
      <c r="C783" s="6" t="str">
        <f t="array" ref="C783">_xlfn.TEXTJOIN(" ",TRUE,IF(D:D=A783,E:E,""))</f>
        <v>ddhub:ElectricCurrentQuantity</v>
      </c>
      <c r="D783" t="s">
        <v>2284</v>
      </c>
      <c r="E783" t="s">
        <v>386</v>
      </c>
    </row>
    <row r="784" spans="1:5">
      <c r="A784" s="4" t="s">
        <v>1038</v>
      </c>
      <c r="B784" s="8" t="s">
        <v>384</v>
      </c>
      <c r="C784" s="6" t="str">
        <f t="array" ref="C784">_xlfn.TEXTJOIN(" ",TRUE,IF(D:D=A784,E:E,""))</f>
        <v>ddhub:FrequencyQuantity</v>
      </c>
      <c r="D784" t="s">
        <v>2284</v>
      </c>
      <c r="E784" t="s">
        <v>2282</v>
      </c>
    </row>
    <row r="785" spans="1:5">
      <c r="A785" s="4" t="s">
        <v>1039</v>
      </c>
      <c r="B785" s="8" t="s">
        <v>38</v>
      </c>
      <c r="C785" s="6" t="str">
        <f t="array" ref="C785">_xlfn.TEXTJOIN(" ",TRUE,IF(D:D=A785,E:E,""))</f>
        <v>ddhub:PowerQuantity</v>
      </c>
      <c r="D785" t="s">
        <v>987</v>
      </c>
      <c r="E785" t="s">
        <v>9</v>
      </c>
    </row>
    <row r="786" spans="1:5">
      <c r="A786" s="4" t="s">
        <v>1040</v>
      </c>
      <c r="B786" s="8" t="s">
        <v>379</v>
      </c>
      <c r="C786" s="6" t="str">
        <f t="array" ref="C786">_xlfn.TEXTJOIN(" ",TRUE,IF(D:D=A786,E:E,""))</f>
        <v>ddhub:MagneticFluxDensityQuantity</v>
      </c>
      <c r="D786" t="s">
        <v>988</v>
      </c>
      <c r="E786" t="s">
        <v>201</v>
      </c>
    </row>
    <row r="787" spans="1:5">
      <c r="A787" s="4" t="s">
        <v>1042</v>
      </c>
      <c r="B787" s="8" t="s">
        <v>379</v>
      </c>
      <c r="C787" s="6" t="str">
        <f t="array" ref="C787">_xlfn.TEXTJOIN(" ",TRUE,IF(D:D=A787,E:E,""))</f>
        <v>ddhub:MagneticFluxQuantity</v>
      </c>
      <c r="D787" t="s">
        <v>990</v>
      </c>
      <c r="E787" t="s">
        <v>25</v>
      </c>
    </row>
    <row r="788" spans="1:5">
      <c r="A788" s="4" t="s">
        <v>1043</v>
      </c>
      <c r="B788" s="8" t="s">
        <v>381</v>
      </c>
      <c r="C788" s="6" t="str">
        <f t="array" ref="C788">_xlfn.TEXTJOIN(" ",TRUE,IF(D:D=A788,E:E,""))</f>
        <v>ddhub:MagneticFluxQuantity</v>
      </c>
      <c r="D788" t="s">
        <v>991</v>
      </c>
      <c r="E788" t="s">
        <v>201</v>
      </c>
    </row>
    <row r="789" spans="1:5">
      <c r="A789" s="4" t="s">
        <v>1044</v>
      </c>
      <c r="B789" s="8" t="s">
        <v>9</v>
      </c>
      <c r="C789" s="6" t="str">
        <f t="array" ref="C789">_xlfn.TEXTJOIN(" ",TRUE,IF(D:D=A789,E:E,""))</f>
        <v>ddhub:LengthQuantity</v>
      </c>
      <c r="D789" t="s">
        <v>992</v>
      </c>
      <c r="E789" t="s">
        <v>384</v>
      </c>
    </row>
    <row r="790" spans="1:5">
      <c r="A790" s="4" t="s">
        <v>1045</v>
      </c>
      <c r="B790" s="8" t="s">
        <v>50</v>
      </c>
      <c r="C790" s="6" t="str">
        <f t="array" ref="C790">_xlfn.TEXTJOIN(" ",TRUE,IF(D:D=A790,E:E,""))</f>
        <v>ddhub:VolumeQuantity</v>
      </c>
      <c r="D790" t="s">
        <v>993</v>
      </c>
      <c r="E790" t="s">
        <v>384</v>
      </c>
    </row>
    <row r="791" spans="1:5">
      <c r="A791" s="4" t="s">
        <v>1046</v>
      </c>
      <c r="B791" s="8" t="s">
        <v>56</v>
      </c>
      <c r="C791" s="6" t="str">
        <f t="array" ref="C791">_xlfn.TEXTJOIN(" ",TRUE,IF(D:D=A791,E:E,""))</f>
        <v>ddhub:VolumetricFlowRateQuantity</v>
      </c>
      <c r="D791" t="s">
        <v>994</v>
      </c>
      <c r="E791" t="s">
        <v>384</v>
      </c>
    </row>
    <row r="792" spans="1:5">
      <c r="A792" s="4" t="s">
        <v>1047</v>
      </c>
      <c r="B792" s="8" t="s">
        <v>34</v>
      </c>
      <c r="C792" s="6" t="str">
        <f t="array" ref="C792">_xlfn.TEXTJOIN(" ",TRUE,IF(D:D=A792,E:E,""))</f>
        <v>ddhub:GravitationalLoadQuantity ddhub:MassQuantity</v>
      </c>
      <c r="D792" t="s">
        <v>996</v>
      </c>
      <c r="E792" t="s">
        <v>13</v>
      </c>
    </row>
    <row r="793" spans="1:5">
      <c r="A793" s="4" t="s">
        <v>1049</v>
      </c>
      <c r="B793" s="8" t="s">
        <v>34</v>
      </c>
      <c r="C793" s="6" t="str">
        <f t="array" ref="C793">_xlfn.TEXTJOIN(" ",TRUE,IF(D:D=A793,E:E,""))</f>
        <v>ddhub:GravitationalLoadQuantity ddhub:MassQuantity</v>
      </c>
      <c r="D793" t="s">
        <v>998</v>
      </c>
      <c r="E793" t="s">
        <v>34</v>
      </c>
    </row>
    <row r="794" spans="1:5">
      <c r="A794" s="4" t="s">
        <v>1050</v>
      </c>
      <c r="B794" s="8" t="s">
        <v>34</v>
      </c>
      <c r="C794" s="6" t="str">
        <f t="array" ref="C794">_xlfn.TEXTJOIN(" ",TRUE,IF(D:D=A794,E:E,""))</f>
        <v>ddhub:MassQuantity</v>
      </c>
      <c r="D794" t="s">
        <v>999</v>
      </c>
      <c r="E794" t="s">
        <v>328</v>
      </c>
    </row>
    <row r="795" spans="1:5">
      <c r="A795" s="4" t="s">
        <v>1051</v>
      </c>
      <c r="B795" s="8" t="s">
        <v>170</v>
      </c>
      <c r="C795" s="6" t="str">
        <f t="array" ref="C795">_xlfn.TEXTJOIN(" ",TRUE,IF(D:D=A795,E:E,""))</f>
        <v>ddhub:PressureQuantity</v>
      </c>
      <c r="D795" t="s">
        <v>1000</v>
      </c>
      <c r="E795" t="s">
        <v>416</v>
      </c>
    </row>
    <row r="796" spans="1:5">
      <c r="A796" s="4" t="s">
        <v>1052</v>
      </c>
      <c r="B796" s="8" t="s">
        <v>50</v>
      </c>
      <c r="C796" s="6" t="str">
        <f t="array" ref="C796">_xlfn.TEXTJOIN(" ",TRUE,IF(D:D=A796,E:E,""))</f>
        <v>ddhub:VolumeQuantity</v>
      </c>
      <c r="D796" t="s">
        <v>1001</v>
      </c>
      <c r="E796" t="s">
        <v>418</v>
      </c>
    </row>
    <row r="797" spans="1:5">
      <c r="A797" s="4" t="s">
        <v>1053</v>
      </c>
      <c r="B797" s="8" t="s">
        <v>56</v>
      </c>
      <c r="C797" s="6" t="str">
        <f t="array" ref="C797">_xlfn.TEXTJOIN(" ",TRUE,IF(D:D=A797,E:E,""))</f>
        <v>ddhub:VolumetricFlowRateQuantity</v>
      </c>
      <c r="D797" t="s">
        <v>1003</v>
      </c>
      <c r="E797" t="s">
        <v>418</v>
      </c>
    </row>
    <row r="798" spans="1:5">
      <c r="A798" s="4" t="s">
        <v>1054</v>
      </c>
      <c r="B798" s="8" t="s">
        <v>56</v>
      </c>
      <c r="C798" s="6" t="str">
        <f t="array" ref="C798">_xlfn.TEXTJOIN(" ",TRUE,IF(D:D=A798,E:E,""))</f>
        <v>ddhub:VolumetricFlowRateQuantity</v>
      </c>
      <c r="D798" t="s">
        <v>1005</v>
      </c>
      <c r="E798" t="s">
        <v>418</v>
      </c>
    </row>
    <row r="799" spans="1:5">
      <c r="A799" s="4" t="s">
        <v>1055</v>
      </c>
      <c r="B799" s="8" t="s">
        <v>56</v>
      </c>
      <c r="C799" s="6" t="str">
        <f t="array" ref="C799">_xlfn.TEXTJOIN(" ",TRUE,IF(D:D=A799,E:E,""))</f>
        <v>ddhub:VolumetricFlowRateQuantity</v>
      </c>
      <c r="D799" t="s">
        <v>1006</v>
      </c>
      <c r="E799" t="s">
        <v>423</v>
      </c>
    </row>
    <row r="800" spans="1:5">
      <c r="A800" s="4" t="s">
        <v>1056</v>
      </c>
      <c r="B800" s="8" t="s">
        <v>56</v>
      </c>
      <c r="C800" s="6" t="str">
        <f t="array" ref="C800">_xlfn.TEXTJOIN(" ",TRUE,IF(D:D=A800,E:E,""))</f>
        <v>ddhub:VolumetricFlowRateOfChangeQuantity</v>
      </c>
      <c r="D800" t="s">
        <v>1008</v>
      </c>
      <c r="E800" t="s">
        <v>426</v>
      </c>
    </row>
    <row r="801" spans="1:5">
      <c r="A801" s="4" t="s">
        <v>1057</v>
      </c>
      <c r="B801" s="8" t="s">
        <v>56</v>
      </c>
      <c r="C801" s="6" t="str">
        <f t="array" ref="C801">_xlfn.TEXTJOIN(" ",TRUE,IF(D:D=A801,E:E,""))</f>
        <v>ddhub:VolumetricFlowRateOfChangeQuantity</v>
      </c>
      <c r="D801" t="s">
        <v>1009</v>
      </c>
      <c r="E801" t="s">
        <v>418</v>
      </c>
    </row>
    <row r="802" spans="1:5">
      <c r="A802" s="4" t="s">
        <v>1058</v>
      </c>
      <c r="B802" s="8" t="s">
        <v>56</v>
      </c>
      <c r="C802" s="6" t="str">
        <f t="array" ref="C802">_xlfn.TEXTJOIN(" ",TRUE,IF(D:D=A802,E:E,""))</f>
        <v>ddhub:VolumetricFlowRateQuantity</v>
      </c>
      <c r="D802" t="s">
        <v>1010</v>
      </c>
      <c r="E802" t="s">
        <v>426</v>
      </c>
    </row>
    <row r="803" spans="1:5">
      <c r="A803" s="4" t="s">
        <v>1059</v>
      </c>
      <c r="B803" s="8" t="s">
        <v>56</v>
      </c>
      <c r="C803" s="6" t="str">
        <f t="array" ref="C803">_xlfn.TEXTJOIN(" ",TRUE,IF(D:D=A803,E:E,""))</f>
        <v>ddhub:VolumetricFlowRateQuantity</v>
      </c>
      <c r="D803" t="s">
        <v>1011</v>
      </c>
      <c r="E803" t="s">
        <v>426</v>
      </c>
    </row>
    <row r="804" spans="1:5">
      <c r="A804" s="4" t="s">
        <v>1060</v>
      </c>
      <c r="B804" s="8" t="s">
        <v>9</v>
      </c>
      <c r="C804" s="6" t="str">
        <f t="array" ref="C804">_xlfn.TEXTJOIN(" ",TRUE,IF(D:D=A804,E:E,""))</f>
        <v>ddhub:LengthQuantity</v>
      </c>
      <c r="D804" t="s">
        <v>1012</v>
      </c>
      <c r="E804" t="s">
        <v>384</v>
      </c>
    </row>
    <row r="805" spans="1:5">
      <c r="A805" s="4" t="s">
        <v>1061</v>
      </c>
      <c r="B805" s="8" t="s">
        <v>334</v>
      </c>
      <c r="C805" s="6" t="str">
        <f t="array" ref="C805">_xlfn.TEXTJOIN(" ",TRUE,IF(D:D=A805,E:E,""))</f>
        <v>ddhub:MagneticFluxQuantity</v>
      </c>
      <c r="D805" t="s">
        <v>2285</v>
      </c>
      <c r="E805" t="s">
        <v>386</v>
      </c>
    </row>
    <row r="806" spans="1:5">
      <c r="A806" s="4" t="s">
        <v>1062</v>
      </c>
      <c r="B806" s="8" t="s">
        <v>50</v>
      </c>
      <c r="C806" s="6" t="str">
        <f t="array" ref="C806">_xlfn.TEXTJOIN(" ",TRUE,IF(D:D=A806,E:E,""))</f>
        <v>ddhub:VolumeQuantity</v>
      </c>
      <c r="D806" t="s">
        <v>1013</v>
      </c>
      <c r="E806" t="s">
        <v>17</v>
      </c>
    </row>
    <row r="807" spans="1:5">
      <c r="A807" s="4" t="s">
        <v>1063</v>
      </c>
      <c r="B807" s="8" t="s">
        <v>56</v>
      </c>
      <c r="C807" s="6" t="str">
        <f t="array" ref="C807">_xlfn.TEXTJOIN(" ",TRUE,IF(D:D=A807,E:E,""))</f>
        <v>ddhub:VolumetricFlowRateQuantity</v>
      </c>
      <c r="D807" t="s">
        <v>1015</v>
      </c>
      <c r="E807" t="s">
        <v>17</v>
      </c>
    </row>
    <row r="808" spans="1:5">
      <c r="A808" s="4" t="s">
        <v>1064</v>
      </c>
      <c r="B808" s="8" t="s">
        <v>56</v>
      </c>
      <c r="C808" s="6" t="str">
        <f t="array" ref="C808">_xlfn.TEXTJOIN(" ",TRUE,IF(D:D=A808,E:E,""))</f>
        <v>ddhub:VolumetricFlowRateQuantity</v>
      </c>
      <c r="D808" t="s">
        <v>1016</v>
      </c>
      <c r="E808" t="s">
        <v>17</v>
      </c>
    </row>
    <row r="809" spans="1:5">
      <c r="A809" s="4" t="s">
        <v>1065</v>
      </c>
      <c r="B809" s="8" t="s">
        <v>56</v>
      </c>
      <c r="C809" s="6" t="str">
        <f t="array" ref="C809">_xlfn.TEXTJOIN(" ",TRUE,IF(D:D=A809,E:E,""))</f>
        <v>ddhub:VolumetricFlowRateQuantity</v>
      </c>
      <c r="D809" t="s">
        <v>1018</v>
      </c>
      <c r="E809" t="s">
        <v>17</v>
      </c>
    </row>
    <row r="810" spans="1:5">
      <c r="A810" s="4" t="s">
        <v>1066</v>
      </c>
      <c r="B810" s="8" t="s">
        <v>56</v>
      </c>
      <c r="C810" s="6" t="str">
        <f t="array" ref="C810">_xlfn.TEXTJOIN(" ",TRUE,IF(D:D=A810,E:E,""))</f>
        <v>ddhub:VolumetricFlowRateOfChangeQuantity</v>
      </c>
      <c r="D810" t="s">
        <v>1019</v>
      </c>
      <c r="E810" t="s">
        <v>17</v>
      </c>
    </row>
    <row r="811" spans="1:5">
      <c r="A811" s="4" t="s">
        <v>1067</v>
      </c>
      <c r="B811" s="8" t="s">
        <v>56</v>
      </c>
      <c r="C811" s="6" t="str">
        <f t="array" ref="C811">_xlfn.TEXTJOIN(" ",TRUE,IF(D:D=A811,E:E,""))</f>
        <v>ddhub:VolumetricFlowRateOfChangeQuantity</v>
      </c>
      <c r="D811" t="s">
        <v>1020</v>
      </c>
      <c r="E811" t="s">
        <v>17</v>
      </c>
    </row>
    <row r="812" spans="1:5">
      <c r="A812" s="4" t="s">
        <v>1068</v>
      </c>
      <c r="B812" s="8" t="s">
        <v>56</v>
      </c>
      <c r="C812" s="6" t="str">
        <f t="array" ref="C812">_xlfn.TEXTJOIN(" ",TRUE,IF(D:D=A812,E:E,""))</f>
        <v>ddhub:VolumetricFlowRateQuantity</v>
      </c>
      <c r="D812" t="s">
        <v>1022</v>
      </c>
      <c r="E812" t="s">
        <v>227</v>
      </c>
    </row>
    <row r="813" spans="1:5">
      <c r="A813" s="4" t="s">
        <v>1069</v>
      </c>
      <c r="B813" s="8" t="s">
        <v>56</v>
      </c>
      <c r="C813" s="6" t="str">
        <f t="array" ref="C813">_xlfn.TEXTJOIN(" ",TRUE,IF(D:D=A813,E:E,""))</f>
        <v>ddhub:VolumetricFlowRateQuantity</v>
      </c>
      <c r="D813" t="s">
        <v>1022</v>
      </c>
      <c r="E813" t="s">
        <v>17</v>
      </c>
    </row>
    <row r="814" spans="1:5">
      <c r="A814" s="4" t="s">
        <v>1070</v>
      </c>
      <c r="B814" s="8" t="s">
        <v>9</v>
      </c>
      <c r="C814" s="6" t="str">
        <f t="array" ref="C814">_xlfn.TEXTJOIN(" ",TRUE,IF(D:D=A814,E:E,""))</f>
        <v>ddhub:LengthQuantity</v>
      </c>
      <c r="D814" t="s">
        <v>1025</v>
      </c>
      <c r="E814" t="s">
        <v>17</v>
      </c>
    </row>
    <row r="815" spans="1:5">
      <c r="A815" s="4" t="s">
        <v>1071</v>
      </c>
      <c r="B815" s="8" t="s">
        <v>71</v>
      </c>
      <c r="C815" s="6" t="str">
        <f t="array" ref="C815">_xlfn.TEXTJOIN(" ",TRUE,IF(D:D=A815,E:E,""))</f>
        <v>ddhub:LuminousIntensityQuantity</v>
      </c>
      <c r="D815" t="s">
        <v>1027</v>
      </c>
      <c r="E815" t="s">
        <v>17</v>
      </c>
    </row>
    <row r="816" spans="1:5">
      <c r="A816" s="4" t="s">
        <v>1072</v>
      </c>
      <c r="B816" s="8" t="s">
        <v>334</v>
      </c>
      <c r="C816" s="6" t="str">
        <f t="array" ref="C816">_xlfn.TEXTJOIN(" ",TRUE,IF(D:D=A816,E:E,""))</f>
        <v/>
      </c>
      <c r="D816" t="s">
        <v>1028</v>
      </c>
      <c r="E816" t="s">
        <v>17</v>
      </c>
    </row>
    <row r="817" spans="1:5">
      <c r="A817" s="4" t="s">
        <v>1074</v>
      </c>
      <c r="B817" s="8" t="s">
        <v>13</v>
      </c>
      <c r="C817" s="6" t="str">
        <f t="array" ref="C817">_xlfn.TEXTJOIN(" ",TRUE,IF(D:D=A817,E:E,""))</f>
        <v>ddhub:ElectricCurrentQuantity</v>
      </c>
      <c r="D817" t="s">
        <v>1029</v>
      </c>
      <c r="E817" t="s">
        <v>17</v>
      </c>
    </row>
    <row r="818" spans="1:5">
      <c r="A818" s="4" t="s">
        <v>1075</v>
      </c>
      <c r="B818" s="8" t="s">
        <v>334</v>
      </c>
      <c r="C818" s="6" t="str">
        <f t="array" ref="C818">_xlfn.TEXTJOIN(" ",TRUE,IF(D:D=A818,E:E,""))</f>
        <v>ddhub:MagneticFluxQuantity</v>
      </c>
      <c r="D818" t="s">
        <v>1030</v>
      </c>
      <c r="E818" t="s">
        <v>170</v>
      </c>
    </row>
    <row r="819" spans="1:5">
      <c r="A819" s="4" t="s">
        <v>1077</v>
      </c>
      <c r="B819" s="8" t="s">
        <v>38</v>
      </c>
      <c r="C819" s="6" t="str">
        <f t="array" ref="C819">_xlfn.TEXTJOIN(" ",TRUE,IF(D:D=A819,E:E,""))</f>
        <v>ddhub:PowerQuantity</v>
      </c>
      <c r="D819" t="s">
        <v>1031</v>
      </c>
      <c r="E819" t="s">
        <v>13</v>
      </c>
    </row>
    <row r="820" spans="1:5">
      <c r="A820" s="4" t="s">
        <v>1079</v>
      </c>
      <c r="B820" s="8" t="s">
        <v>79</v>
      </c>
      <c r="C820" s="6" t="str">
        <f t="array" ref="C820">_xlfn.TEXTJOIN(" ",TRUE,IF(D:D=A820,E:E,""))</f>
        <v>ddhub:ThermalConductivityQuantity</v>
      </c>
      <c r="D820" t="s">
        <v>1032</v>
      </c>
      <c r="E820" t="s">
        <v>328</v>
      </c>
    </row>
    <row r="821" spans="1:5">
      <c r="A821" s="4" t="s">
        <v>1080</v>
      </c>
      <c r="B821" s="8" t="s">
        <v>79</v>
      </c>
      <c r="C821" s="6" t="str">
        <f t="array" ref="C821">_xlfn.TEXTJOIN(" ",TRUE,IF(D:D=A821,E:E,""))</f>
        <v>ddhub:ThermalConductivityGradientPerTemperatureQuantity</v>
      </c>
      <c r="D821" t="s">
        <v>1033</v>
      </c>
      <c r="E821" t="s">
        <v>34</v>
      </c>
    </row>
    <row r="822" spans="1:5">
      <c r="A822" s="4" t="s">
        <v>1081</v>
      </c>
      <c r="B822" s="8" t="s">
        <v>79</v>
      </c>
      <c r="C822" s="6" t="str">
        <f t="array" ref="C822">_xlfn.TEXTJOIN(" ",TRUE,IF(D:D=A822,E:E,""))</f>
        <v>ddhub:HeatTransferCoefficientQuantity</v>
      </c>
      <c r="D822" t="s">
        <v>1034</v>
      </c>
      <c r="E822" t="s">
        <v>384</v>
      </c>
    </row>
    <row r="823" spans="1:5">
      <c r="A823" s="4" t="s">
        <v>1082</v>
      </c>
      <c r="B823" s="8" t="s">
        <v>334</v>
      </c>
      <c r="C823" s="6" t="str">
        <f t="array" ref="C823">_xlfn.TEXTJOIN(" ",TRUE,IF(D:D=A823,E:E,""))</f>
        <v>ddhub:ElectricCurrentQuantity</v>
      </c>
      <c r="D823" t="s">
        <v>1035</v>
      </c>
      <c r="E823" t="s">
        <v>384</v>
      </c>
    </row>
    <row r="824" spans="1:5">
      <c r="A824" s="4" t="s">
        <v>1083</v>
      </c>
      <c r="B824" s="8" t="s">
        <v>381</v>
      </c>
      <c r="C824" s="6" t="str">
        <f t="array" ref="C824">_xlfn.TEXTJOIN(" ",TRUE,IF(D:D=A824,E:E,""))</f>
        <v>ddhub:MagneticFluxQuantity</v>
      </c>
      <c r="D824" t="s">
        <v>1036</v>
      </c>
      <c r="E824" t="s">
        <v>9</v>
      </c>
    </row>
    <row r="825" spans="1:5">
      <c r="A825" s="4" t="s">
        <v>1084</v>
      </c>
      <c r="B825" s="8" t="s">
        <v>334</v>
      </c>
      <c r="C825" s="6" t="str">
        <f t="array" ref="C825">_xlfn.TEXTJOIN(" ",TRUE,IF(D:D=A825,E:E,""))</f>
        <v>ddhub:ElectricCurrentQuantity</v>
      </c>
      <c r="D825" t="s">
        <v>1037</v>
      </c>
      <c r="E825" t="s">
        <v>13</v>
      </c>
    </row>
    <row r="826" spans="1:5">
      <c r="A826" s="4" t="s">
        <v>1086</v>
      </c>
      <c r="B826" s="8" t="s">
        <v>379</v>
      </c>
      <c r="C826" s="6" t="str">
        <f t="array" ref="C826">_xlfn.TEXTJOIN(" ",TRUE,IF(D:D=A826,E:E,""))</f>
        <v>ddhub:MagneticFluxDensityQuantity</v>
      </c>
      <c r="D826" t="s">
        <v>1038</v>
      </c>
      <c r="E826" t="s">
        <v>384</v>
      </c>
    </row>
    <row r="827" spans="1:5">
      <c r="A827" s="4" t="s">
        <v>1087</v>
      </c>
      <c r="B827" s="8" t="s">
        <v>201</v>
      </c>
      <c r="C827" s="6" t="str">
        <f t="array" ref="C827">_xlfn.TEXTJOIN(" ",TRUE,IF(D:D=A827,E:E,""))</f>
        <v>ddhub:TimeQuantity</v>
      </c>
      <c r="D827" t="s">
        <v>1039</v>
      </c>
      <c r="E827" t="s">
        <v>38</v>
      </c>
    </row>
    <row r="828" spans="1:5">
      <c r="A828" s="4" t="s">
        <v>1088</v>
      </c>
      <c r="B828" s="8" t="s">
        <v>9</v>
      </c>
      <c r="C828" s="6" t="str">
        <f t="array" ref="C828">_xlfn.TEXTJOIN(" ",TRUE,IF(D:D=A828,E:E,""))</f>
        <v>ddhub:LengthQuantity</v>
      </c>
      <c r="D828" t="s">
        <v>1040</v>
      </c>
      <c r="E828" t="s">
        <v>379</v>
      </c>
    </row>
    <row r="829" spans="1:5">
      <c r="A829" s="4" t="s">
        <v>1089</v>
      </c>
      <c r="B829" s="8" t="s">
        <v>332</v>
      </c>
      <c r="C829" s="6" t="str">
        <f t="array" ref="C829">_xlfn.TEXTJOIN(" ",TRUE,IF(D:D=A829,E:E,""))</f>
        <v>ddhub:ElongationGradientPerLengthQuantity</v>
      </c>
      <c r="D829" t="s">
        <v>1042</v>
      </c>
      <c r="E829" t="s">
        <v>381</v>
      </c>
    </row>
    <row r="830" spans="1:5">
      <c r="A830" s="4" t="s">
        <v>1090</v>
      </c>
      <c r="B830" s="8" t="s">
        <v>332</v>
      </c>
      <c r="C830" s="6" t="str">
        <f t="array" ref="C830">_xlfn.TEXTJOIN(" ",TRUE,IF(D:D=A830,E:E,""))</f>
        <v>ddhub:ElongationGradientPerLengthQuantity</v>
      </c>
      <c r="D830" t="s">
        <v>1043</v>
      </c>
      <c r="E830" t="s">
        <v>381</v>
      </c>
    </row>
    <row r="831" spans="1:5">
      <c r="A831" s="4" t="s">
        <v>1091</v>
      </c>
      <c r="B831" s="8" t="s">
        <v>332</v>
      </c>
      <c r="C831" s="6" t="str">
        <f t="array" ref="C831">_xlfn.TEXTJOIN(" ",TRUE,IF(D:D=A831,E:E,""))</f>
        <v>ddhub:ElongationGradientPerLengthQuantity</v>
      </c>
      <c r="D831" t="s">
        <v>1044</v>
      </c>
      <c r="E831" t="s">
        <v>9</v>
      </c>
    </row>
    <row r="832" spans="1:5">
      <c r="A832" s="4" t="s">
        <v>1092</v>
      </c>
      <c r="B832" s="8" t="s">
        <v>201</v>
      </c>
      <c r="C832" s="6" t="str">
        <f t="array" ref="C832">_xlfn.TEXTJOIN(" ",TRUE,IF(D:D=A832,E:E,""))</f>
        <v>ddhub:TimeQuantity</v>
      </c>
      <c r="D832" t="s">
        <v>1045</v>
      </c>
      <c r="E832" t="s">
        <v>50</v>
      </c>
    </row>
    <row r="833" spans="1:5">
      <c r="A833" s="4" t="s">
        <v>1093</v>
      </c>
      <c r="B833" s="8" t="s">
        <v>201</v>
      </c>
      <c r="C833" s="6" t="str">
        <f t="array" ref="C833">_xlfn.TEXTJOIN(" ",TRUE,IF(D:D=A833,E:E,""))</f>
        <v>ddhub:TimeQuantity</v>
      </c>
      <c r="D833" t="s">
        <v>1046</v>
      </c>
      <c r="E833" t="s">
        <v>56</v>
      </c>
    </row>
    <row r="834" spans="1:5">
      <c r="A834" s="4" t="s">
        <v>1094</v>
      </c>
      <c r="B834" s="8" t="s">
        <v>201</v>
      </c>
      <c r="C834" s="6" t="str">
        <f t="array" ref="C834">_xlfn.TEXTJOIN(" ",TRUE,IF(D:D=A834,E:E,""))</f>
        <v>ddhub:TimeQuantity</v>
      </c>
      <c r="D834" t="s">
        <v>1049</v>
      </c>
      <c r="E834" t="s">
        <v>2283</v>
      </c>
    </row>
    <row r="835" spans="1:5">
      <c r="A835" s="4" t="s">
        <v>1095</v>
      </c>
      <c r="B835" s="8" t="s">
        <v>201</v>
      </c>
      <c r="C835" s="6" t="str">
        <f t="array" ref="C835">_xlfn.TEXTJOIN(" ",TRUE,IF(D:D=A835,E:E,""))</f>
        <v>ddhub:TimeQuantity</v>
      </c>
      <c r="D835" t="s">
        <v>1049</v>
      </c>
      <c r="E835" t="s">
        <v>34</v>
      </c>
    </row>
    <row r="836" spans="1:5">
      <c r="A836" s="4" t="s">
        <v>1096</v>
      </c>
      <c r="B836" s="8" t="s">
        <v>201</v>
      </c>
      <c r="C836" s="6" t="str">
        <f t="array" ref="C836">_xlfn.TEXTJOIN(" ",TRUE,IF(D:D=A836,E:E,""))</f>
        <v>ddhub:TimeQuantity</v>
      </c>
      <c r="D836" t="s">
        <v>1050</v>
      </c>
      <c r="E836" t="s">
        <v>34</v>
      </c>
    </row>
    <row r="837" spans="1:5">
      <c r="A837" s="4" t="s">
        <v>1097</v>
      </c>
      <c r="B837" s="8" t="s">
        <v>142</v>
      </c>
      <c r="C837" s="6" t="str">
        <f t="array" ref="C837">_xlfn.TEXTJOIN(" ",TRUE,IF(D:D=A837,E:E,""))</f>
        <v/>
      </c>
      <c r="D837" t="s">
        <v>1047</v>
      </c>
      <c r="E837" t="s">
        <v>2283</v>
      </c>
    </row>
    <row r="838" spans="1:5">
      <c r="A838" s="9" t="s">
        <v>1098</v>
      </c>
      <c r="B838" s="10" t="s">
        <v>1275</v>
      </c>
      <c r="C838" s="6" t="str">
        <f t="array" ref="C838">_xlfn.TEXTJOIN(" ",TRUE,IF(D:D=A838,E:E,""))</f>
        <v/>
      </c>
      <c r="D838" t="s">
        <v>1047</v>
      </c>
      <c r="E838" t="s">
        <v>34</v>
      </c>
    </row>
    <row r="839" spans="3:5">
      <c r="C839" s="6"/>
      <c r="D839" t="s">
        <v>1051</v>
      </c>
      <c r="E839" t="s">
        <v>170</v>
      </c>
    </row>
    <row r="840" spans="3:5">
      <c r="C840" s="6"/>
      <c r="D840" t="s">
        <v>1052</v>
      </c>
      <c r="E840" t="s">
        <v>50</v>
      </c>
    </row>
    <row r="841" spans="3:5">
      <c r="C841" s="6"/>
      <c r="D841" t="s">
        <v>1053</v>
      </c>
      <c r="E841" t="s">
        <v>56</v>
      </c>
    </row>
    <row r="842" spans="3:5">
      <c r="C842" s="6"/>
      <c r="D842" t="s">
        <v>1054</v>
      </c>
      <c r="E842" t="s">
        <v>56</v>
      </c>
    </row>
    <row r="843" spans="3:5">
      <c r="C843" s="6"/>
      <c r="D843" t="s">
        <v>1055</v>
      </c>
      <c r="E843" t="s">
        <v>56</v>
      </c>
    </row>
    <row r="844" spans="3:5">
      <c r="C844" s="6"/>
      <c r="D844" t="s">
        <v>1056</v>
      </c>
      <c r="E844" t="s">
        <v>223</v>
      </c>
    </row>
    <row r="845" spans="3:5">
      <c r="C845" s="6"/>
      <c r="D845" t="s">
        <v>1057</v>
      </c>
      <c r="E845" t="s">
        <v>223</v>
      </c>
    </row>
    <row r="846" spans="3:5">
      <c r="C846" s="6"/>
      <c r="D846" t="s">
        <v>1058</v>
      </c>
      <c r="E846" t="s">
        <v>56</v>
      </c>
    </row>
    <row r="847" spans="3:5">
      <c r="C847" s="6"/>
      <c r="D847" t="s">
        <v>1059</v>
      </c>
      <c r="E847" t="s">
        <v>56</v>
      </c>
    </row>
    <row r="848" spans="3:5">
      <c r="C848" s="6"/>
      <c r="D848" t="s">
        <v>1060</v>
      </c>
      <c r="E848" t="s">
        <v>9</v>
      </c>
    </row>
    <row r="849" spans="3:5">
      <c r="C849" s="6"/>
      <c r="D849" t="s">
        <v>1061</v>
      </c>
      <c r="E849" t="s">
        <v>381</v>
      </c>
    </row>
    <row r="850" spans="3:5">
      <c r="C850" s="6"/>
      <c r="D850" t="s">
        <v>1062</v>
      </c>
      <c r="E850" t="s">
        <v>50</v>
      </c>
    </row>
    <row r="851" spans="3:5">
      <c r="C851" s="6"/>
      <c r="D851" t="s">
        <v>1063</v>
      </c>
      <c r="E851" t="s">
        <v>56</v>
      </c>
    </row>
    <row r="852" spans="3:5">
      <c r="C852" s="6"/>
      <c r="D852" t="s">
        <v>1064</v>
      </c>
      <c r="E852" t="s">
        <v>56</v>
      </c>
    </row>
    <row r="853" spans="3:5">
      <c r="C853" s="6"/>
      <c r="D853" t="s">
        <v>1065</v>
      </c>
      <c r="E853" t="s">
        <v>56</v>
      </c>
    </row>
    <row r="854" spans="3:5">
      <c r="C854" s="6"/>
      <c r="D854" t="s">
        <v>1066</v>
      </c>
      <c r="E854" t="s">
        <v>223</v>
      </c>
    </row>
    <row r="855" spans="3:5">
      <c r="C855" s="6"/>
      <c r="D855" t="s">
        <v>1067</v>
      </c>
      <c r="E855" t="s">
        <v>223</v>
      </c>
    </row>
    <row r="856" spans="3:5">
      <c r="C856" s="6"/>
      <c r="D856" t="s">
        <v>1068</v>
      </c>
      <c r="E856" t="s">
        <v>56</v>
      </c>
    </row>
    <row r="857" spans="3:5">
      <c r="C857" s="6"/>
      <c r="D857" t="s">
        <v>1069</v>
      </c>
      <c r="E857" t="s">
        <v>56</v>
      </c>
    </row>
    <row r="858" spans="3:5">
      <c r="C858" s="6"/>
      <c r="D858" t="s">
        <v>1070</v>
      </c>
      <c r="E858" t="s">
        <v>9</v>
      </c>
    </row>
    <row r="859" spans="3:5">
      <c r="C859" s="6"/>
      <c r="D859" t="s">
        <v>1071</v>
      </c>
      <c r="E859" t="s">
        <v>71</v>
      </c>
    </row>
    <row r="860" spans="3:5">
      <c r="C860" s="6"/>
      <c r="D860" t="s">
        <v>1074</v>
      </c>
      <c r="E860" t="s">
        <v>13</v>
      </c>
    </row>
    <row r="861" spans="3:5">
      <c r="C861" s="6"/>
      <c r="D861" t="s">
        <v>1075</v>
      </c>
      <c r="E861" t="s">
        <v>381</v>
      </c>
    </row>
    <row r="862" spans="3:5">
      <c r="C862" s="6"/>
      <c r="D862" t="s">
        <v>1077</v>
      </c>
      <c r="E862" t="s">
        <v>38</v>
      </c>
    </row>
    <row r="863" spans="3:5">
      <c r="C863" s="6"/>
      <c r="D863" t="s">
        <v>1079</v>
      </c>
      <c r="E863" t="s">
        <v>79</v>
      </c>
    </row>
    <row r="864" spans="3:5">
      <c r="C864" s="6"/>
      <c r="D864" t="s">
        <v>1080</v>
      </c>
      <c r="E864" t="s">
        <v>84</v>
      </c>
    </row>
    <row r="865" spans="3:5">
      <c r="C865" s="6"/>
      <c r="D865" t="s">
        <v>1081</v>
      </c>
      <c r="E865" t="s">
        <v>106</v>
      </c>
    </row>
    <row r="866" spans="3:5">
      <c r="C866" s="6"/>
      <c r="D866" t="s">
        <v>1082</v>
      </c>
      <c r="E866" t="s">
        <v>13</v>
      </c>
    </row>
    <row r="867" spans="3:5">
      <c r="C867" s="6"/>
      <c r="D867" t="s">
        <v>1083</v>
      </c>
      <c r="E867" t="s">
        <v>381</v>
      </c>
    </row>
    <row r="868" spans="3:5">
      <c r="C868" s="6"/>
      <c r="D868" t="s">
        <v>1084</v>
      </c>
      <c r="E868" t="s">
        <v>13</v>
      </c>
    </row>
    <row r="869" spans="3:5">
      <c r="C869" s="6"/>
      <c r="D869" t="s">
        <v>1086</v>
      </c>
      <c r="E869" t="s">
        <v>379</v>
      </c>
    </row>
    <row r="870" spans="3:5">
      <c r="C870" s="6"/>
      <c r="D870" t="s">
        <v>1087</v>
      </c>
      <c r="E870" t="s">
        <v>201</v>
      </c>
    </row>
    <row r="871" spans="3:5">
      <c r="C871" s="6"/>
      <c r="D871" t="s">
        <v>1088</v>
      </c>
      <c r="E871" t="s">
        <v>9</v>
      </c>
    </row>
    <row r="872" spans="3:5">
      <c r="C872" s="6"/>
      <c r="D872" t="s">
        <v>1089</v>
      </c>
      <c r="E872" t="s">
        <v>179</v>
      </c>
    </row>
    <row r="873" spans="3:5">
      <c r="C873" s="6"/>
      <c r="D873" t="s">
        <v>1090</v>
      </c>
      <c r="E873" t="s">
        <v>179</v>
      </c>
    </row>
    <row r="874" spans="3:5">
      <c r="C874" s="6"/>
      <c r="D874" t="s">
        <v>1091</v>
      </c>
      <c r="E874" t="s">
        <v>179</v>
      </c>
    </row>
    <row r="875" spans="3:5">
      <c r="C875" s="6"/>
      <c r="D875" t="s">
        <v>1092</v>
      </c>
      <c r="E875" t="s">
        <v>201</v>
      </c>
    </row>
    <row r="876" spans="3:5">
      <c r="C876" s="6"/>
      <c r="D876" t="s">
        <v>1093</v>
      </c>
      <c r="E876" t="s">
        <v>201</v>
      </c>
    </row>
    <row r="877" spans="3:5">
      <c r="C877" s="6"/>
      <c r="D877" t="s">
        <v>1094</v>
      </c>
      <c r="E877" t="s">
        <v>201</v>
      </c>
    </row>
    <row r="878" spans="3:5">
      <c r="C878" s="6"/>
      <c r="D878" t="s">
        <v>1095</v>
      </c>
      <c r="E878" t="s">
        <v>201</v>
      </c>
    </row>
    <row r="879" spans="3:5">
      <c r="C879" s="6"/>
      <c r="D879" t="s">
        <v>1096</v>
      </c>
      <c r="E879" t="s">
        <v>201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Patch_Unit</vt:lpstr>
      <vt:lpstr>deepseek-r1</vt:lpstr>
      <vt:lpstr>from u_q.ttl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Liang</dc:creator>
  <cp:lastModifiedBy>zzz</cp:lastModifiedBy>
  <dcterms:created xsi:type="dcterms:W3CDTF">2024-10-19T21:05:00Z</dcterms:created>
  <dcterms:modified xsi:type="dcterms:W3CDTF">2025-09-06T00:30:04Z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