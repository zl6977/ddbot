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lizh\Downloads\"/>
    </mc:Choice>
  </mc:AlternateContent>
  <xr:revisionPtr revIDLastSave="0" documentId="13_ncr:1_{A42DE23B-3B05-4F4D-A2BE-2CFF29A792D0}" xr6:coauthVersionLast="47" xr6:coauthVersionMax="47" xr10:uidLastSave="{00000000-0000-0000-0000-000000000000}"/>
  <bookViews>
    <workbookView xWindow="-110" yWindow="-110" windowWidth="34620" windowHeight="13900" tabRatio="837" activeTab="3" xr2:uid="{00000000-000D-0000-FFFF-FFFF00000000}"/>
  </bookViews>
  <sheets>
    <sheet name="Quantity-logprob" sheetId="1" r:id="rId1"/>
    <sheet name="Unit-logprob" sheetId="2" r:id="rId2"/>
    <sheet name="PrototypeData-logprob" sheetId="3" r:id="rId3"/>
    <sheet name="ID" sheetId="5" r:id="rId4"/>
    <sheet name="Non-ID" sheetId="6" r:id="rId5"/>
    <sheet name="Quantity-directRAG" sheetId="7" r:id="rId6"/>
    <sheet name="Unit-directRAG" sheetId="8" r:id="rId7"/>
    <sheet name="PrototypeData-directRAG" sheetId="9" r:id="rId8"/>
  </sheets>
  <definedNames>
    <definedName name="_xlnm._FilterDatabase" localSheetId="7" hidden="1">'PrototypeData-directRAG'!$A$1:$F$408</definedName>
    <definedName name="_xlnm._FilterDatabase" localSheetId="2" hidden="1">'PrototypeData-logprob'!$A$1:$M$408</definedName>
    <definedName name="_xlnm._FilterDatabase" localSheetId="5" hidden="1">'Quantity-directRAG'!$A$1:$F$408</definedName>
    <definedName name="_xlnm._FilterDatabase" localSheetId="0" hidden="1">'Quantity-logprob'!$A$1:$M$408</definedName>
    <definedName name="_xlnm._FilterDatabase" localSheetId="6" hidden="1">'Unit-directRAG'!$A$1:$F$408</definedName>
    <definedName name="_xlnm._FilterDatabase" localSheetId="1" hidden="1">'Unit-logprob'!$A$1:$M$408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282" i="8"/>
  <c r="E283" i="8"/>
  <c r="E284" i="8"/>
  <c r="E285" i="8"/>
  <c r="E286" i="8"/>
  <c r="E287" i="8"/>
  <c r="E288" i="8"/>
  <c r="E289" i="8"/>
  <c r="E290" i="8"/>
  <c r="E291" i="8"/>
  <c r="E292" i="8"/>
  <c r="E293" i="8"/>
  <c r="E294" i="8"/>
  <c r="E295" i="8"/>
  <c r="E296" i="8"/>
  <c r="E297" i="8"/>
  <c r="E298" i="8"/>
  <c r="E299" i="8"/>
  <c r="E300" i="8"/>
  <c r="E301" i="8"/>
  <c r="E302" i="8"/>
  <c r="E303" i="8"/>
  <c r="E304" i="8"/>
  <c r="E305" i="8"/>
  <c r="E306" i="8"/>
  <c r="E307" i="8"/>
  <c r="E308" i="8"/>
  <c r="E309" i="8"/>
  <c r="E310" i="8"/>
  <c r="E311" i="8"/>
  <c r="E312" i="8"/>
  <c r="E313" i="8"/>
  <c r="E314" i="8"/>
  <c r="E315" i="8"/>
  <c r="E316" i="8"/>
  <c r="E317" i="8"/>
  <c r="E318" i="8"/>
  <c r="E319" i="8"/>
  <c r="E320" i="8"/>
  <c r="E321" i="8"/>
  <c r="E322" i="8"/>
  <c r="E323" i="8"/>
  <c r="E324" i="8"/>
  <c r="E325" i="8"/>
  <c r="E326" i="8"/>
  <c r="E327" i="8"/>
  <c r="E328" i="8"/>
  <c r="E329" i="8"/>
  <c r="E330" i="8"/>
  <c r="E331" i="8"/>
  <c r="E332" i="8"/>
  <c r="E333" i="8"/>
  <c r="E334" i="8"/>
  <c r="E335" i="8"/>
  <c r="E336" i="8"/>
  <c r="E337" i="8"/>
  <c r="E338" i="8"/>
  <c r="E339" i="8"/>
  <c r="E340" i="8"/>
  <c r="E341" i="8"/>
  <c r="E342" i="8"/>
  <c r="E343" i="8"/>
  <c r="E344" i="8"/>
  <c r="E345" i="8"/>
  <c r="E346" i="8"/>
  <c r="E347" i="8"/>
  <c r="E348" i="8"/>
  <c r="E349" i="8"/>
  <c r="E350" i="8"/>
  <c r="E351" i="8"/>
  <c r="E352" i="8"/>
  <c r="E353" i="8"/>
  <c r="E354" i="8"/>
  <c r="E355" i="8"/>
  <c r="E356" i="8"/>
  <c r="E357" i="8"/>
  <c r="E358" i="8"/>
  <c r="E359" i="8"/>
  <c r="E360" i="8"/>
  <c r="E361" i="8"/>
  <c r="E362" i="8"/>
  <c r="E363" i="8"/>
  <c r="E364" i="8"/>
  <c r="E365" i="8"/>
  <c r="E366" i="8"/>
  <c r="E367" i="8"/>
  <c r="E368" i="8"/>
  <c r="E369" i="8"/>
  <c r="E370" i="8"/>
  <c r="E371" i="8"/>
  <c r="E372" i="8"/>
  <c r="E373" i="8"/>
  <c r="E374" i="8"/>
  <c r="E375" i="8"/>
  <c r="E376" i="8"/>
  <c r="E377" i="8"/>
  <c r="E378" i="8"/>
  <c r="E379" i="8"/>
  <c r="E380" i="8"/>
  <c r="E381" i="8"/>
  <c r="E382" i="8"/>
  <c r="E383" i="8"/>
  <c r="E384" i="8"/>
  <c r="E385" i="8"/>
  <c r="E386" i="8"/>
  <c r="E387" i="8"/>
  <c r="E388" i="8"/>
  <c r="E389" i="8"/>
  <c r="E390" i="8"/>
  <c r="E391" i="8"/>
  <c r="E392" i="8"/>
  <c r="E393" i="8"/>
  <c r="E394" i="8"/>
  <c r="E395" i="8"/>
  <c r="E396" i="8"/>
  <c r="E397" i="8"/>
  <c r="E398" i="8"/>
  <c r="E399" i="8"/>
  <c r="E400" i="8"/>
  <c r="E401" i="8"/>
  <c r="E402" i="8"/>
  <c r="E403" i="8"/>
  <c r="E404" i="8"/>
  <c r="E405" i="8"/>
  <c r="E406" i="8"/>
  <c r="E407" i="8"/>
  <c r="E408" i="8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2" i="9"/>
  <c r="E2" i="8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2" i="8"/>
  <c r="D2" i="7"/>
  <c r="D408" i="7"/>
  <c r="D407" i="7"/>
  <c r="D406" i="7"/>
  <c r="D405" i="7"/>
  <c r="D404" i="7"/>
  <c r="D403" i="7"/>
  <c r="D402" i="7"/>
  <c r="D401" i="7"/>
  <c r="D400" i="7"/>
  <c r="D399" i="7"/>
  <c r="D398" i="7"/>
  <c r="D397" i="7"/>
  <c r="D396" i="7"/>
  <c r="D395" i="7"/>
  <c r="D394" i="7"/>
  <c r="D393" i="7"/>
  <c r="D392" i="7"/>
  <c r="D391" i="7"/>
  <c r="D390" i="7"/>
  <c r="D389" i="7"/>
  <c r="D388" i="7"/>
  <c r="D387" i="7"/>
  <c r="D386" i="7"/>
  <c r="D385" i="7"/>
  <c r="D384" i="7"/>
  <c r="D383" i="7"/>
  <c r="D382" i="7"/>
  <c r="D381" i="7"/>
  <c r="D380" i="7"/>
  <c r="D379" i="7"/>
  <c r="D378" i="7"/>
  <c r="D377" i="7"/>
  <c r="D376" i="7"/>
  <c r="D375" i="7"/>
  <c r="D374" i="7"/>
  <c r="D373" i="7"/>
  <c r="D372" i="7"/>
  <c r="D371" i="7"/>
  <c r="D370" i="7"/>
  <c r="D369" i="7"/>
  <c r="D368" i="7"/>
  <c r="D367" i="7"/>
  <c r="D366" i="7"/>
  <c r="D365" i="7"/>
  <c r="D364" i="7"/>
  <c r="D363" i="7"/>
  <c r="D362" i="7"/>
  <c r="D361" i="7"/>
  <c r="D360" i="7"/>
  <c r="D359" i="7"/>
  <c r="D358" i="7"/>
  <c r="D357" i="7"/>
  <c r="D356" i="7"/>
  <c r="D355" i="7"/>
  <c r="D354" i="7"/>
  <c r="D353" i="7"/>
  <c r="D352" i="7"/>
  <c r="D351" i="7"/>
  <c r="D350" i="7"/>
  <c r="D349" i="7"/>
  <c r="D348" i="7"/>
  <c r="D347" i="7"/>
  <c r="D346" i="7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D324" i="7"/>
  <c r="D323" i="7"/>
  <c r="D322" i="7"/>
  <c r="D321" i="7"/>
  <c r="D320" i="7"/>
  <c r="D319" i="7"/>
  <c r="D318" i="7"/>
  <c r="D317" i="7"/>
  <c r="D316" i="7"/>
  <c r="D315" i="7"/>
  <c r="D314" i="7"/>
  <c r="D313" i="7"/>
  <c r="D312" i="7"/>
  <c r="D311" i="7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3" i="2"/>
  <c r="L4" i="2"/>
  <c r="L5" i="2"/>
  <c r="L6" i="2"/>
  <c r="L7" i="2"/>
  <c r="L8" i="2"/>
  <c r="L9" i="2"/>
  <c r="L10" i="2"/>
  <c r="L11" i="2"/>
  <c r="L12" i="2"/>
  <c r="L13" i="2"/>
  <c r="L2" i="2"/>
  <c r="L14" i="2"/>
  <c r="L396" i="1"/>
  <c r="L40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7" i="1"/>
  <c r="L398" i="1"/>
  <c r="L399" i="1"/>
  <c r="L400" i="1"/>
  <c r="L401" i="1"/>
  <c r="L402" i="1"/>
  <c r="L403" i="1"/>
  <c r="L404" i="1"/>
  <c r="L405" i="1"/>
  <c r="L407" i="1"/>
  <c r="L408" i="1"/>
  <c r="L2" i="1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" i="2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3" i="1"/>
  <c r="G2" i="1"/>
</calcChain>
</file>

<file path=xl/sharedStrings.xml><?xml version="1.0" encoding="utf-8"?>
<sst xmlns="http://schemas.openxmlformats.org/spreadsheetml/2006/main" count="12537" uniqueCount="546">
  <si>
    <t>true</t>
  </si>
  <si>
    <t>pred</t>
  </si>
  <si>
    <t>conf</t>
  </si>
  <si>
    <t>query_difficulty_score</t>
  </si>
  <si>
    <t>llm_judge_score</t>
  </si>
  <si>
    <t>FrequencyQuantity</t>
  </si>
  <si>
    <t>VolumeQuantity</t>
  </si>
  <si>
    <t>TimeQuantity</t>
  </si>
  <si>
    <t>VelocityQuantity</t>
  </si>
  <si>
    <t>rejected</t>
  </si>
  <si>
    <t>PlaneAngleQuantity</t>
  </si>
  <si>
    <t>MassDensityQuantity</t>
  </si>
  <si>
    <t>PressureQuantity</t>
  </si>
  <si>
    <t>DimensionlessQuantity</t>
  </si>
  <si>
    <t>ConcentrationQuantity</t>
  </si>
  <si>
    <t>ForceQuantity</t>
  </si>
  <si>
    <t>VolumetricFlowRateQuantity</t>
  </si>
  <si>
    <t>LengthQuantity</t>
  </si>
  <si>
    <t>UncertainQuantity</t>
  </si>
  <si>
    <t>out-of-set</t>
  </si>
  <si>
    <t>ProportionQuantity</t>
  </si>
  <si>
    <t>TorqueQuantity</t>
  </si>
  <si>
    <t>AccelerationQuantity</t>
  </si>
  <si>
    <t>TemperatureQuantity</t>
  </si>
  <si>
    <t>TensionQuantity</t>
  </si>
  <si>
    <t>ElectricResistivityQuantity</t>
  </si>
  <si>
    <t>Spm</t>
  </si>
  <si>
    <t>CubicMetre</t>
  </si>
  <si>
    <t>Second</t>
  </si>
  <si>
    <t>MetrePerSecond</t>
  </si>
  <si>
    <t>Degree</t>
  </si>
  <si>
    <t>GramPerCubicCentimetre</t>
  </si>
  <si>
    <t>Rpm</t>
  </si>
  <si>
    <t>Kilopascal</t>
  </si>
  <si>
    <t>DegreePerMetre</t>
  </si>
  <si>
    <t>Dimensionless</t>
  </si>
  <si>
    <t>PartPerMillion</t>
  </si>
  <si>
    <t>UncertainUnit</t>
  </si>
  <si>
    <t>ThousandKilogramForce</t>
  </si>
  <si>
    <t>MetrePerHour</t>
  </si>
  <si>
    <t>LitrePerMinute</t>
  </si>
  <si>
    <t>Metre</t>
  </si>
  <si>
    <t>Steradian</t>
  </si>
  <si>
    <t>KilogramForce</t>
  </si>
  <si>
    <t>Minute</t>
  </si>
  <si>
    <t>Percent</t>
  </si>
  <si>
    <t>Proportion</t>
  </si>
  <si>
    <t>KilonewtonMetre</t>
  </si>
  <si>
    <t>ReciprocalSecond</t>
  </si>
  <si>
    <t>Hour</t>
  </si>
  <si>
    <t>MetrePerSecondSquared</t>
  </si>
  <si>
    <t>Celsius</t>
  </si>
  <si>
    <t>CubicMetrePerMinute</t>
  </si>
  <si>
    <t>DegreeMilligauss</t>
  </si>
  <si>
    <t>ShockPerSecond, ReciprocalSecond, Hertz</t>
  </si>
  <si>
    <t>Hertz</t>
  </si>
  <si>
    <t>ShockPerSecond</t>
  </si>
  <si>
    <t>uncertain</t>
  </si>
  <si>
    <t>FootPerSecond</t>
  </si>
  <si>
    <t>KilogramPerCubicMetre</t>
  </si>
  <si>
    <t>OhmMetre</t>
  </si>
  <si>
    <t>PumpRate</t>
  </si>
  <si>
    <t>ActiveVolume</t>
  </si>
  <si>
    <t>UncertainPrototypeData</t>
  </si>
  <si>
    <t>HookVelocity</t>
  </si>
  <si>
    <t>ROP</t>
  </si>
  <si>
    <t>Azimuth</t>
  </si>
  <si>
    <t>DensityOut</t>
  </si>
  <si>
    <t>SurfaceRPM</t>
  </si>
  <si>
    <t>MPDChokePressure</t>
  </si>
  <si>
    <t>Inclination</t>
  </si>
  <si>
    <t>WOB</t>
  </si>
  <si>
    <t>MPDPumpFlowRate</t>
  </si>
  <si>
    <t>SPP</t>
  </si>
  <si>
    <t>HookLoad</t>
  </si>
  <si>
    <t>TrueVerticalDepth</t>
  </si>
  <si>
    <t>FlowRateIn</t>
  </si>
  <si>
    <t>DensityIn</t>
  </si>
  <si>
    <t>MeasuredDepth</t>
  </si>
  <si>
    <t>SurfaceTorque</t>
  </si>
  <si>
    <t>BitDepth</t>
  </si>
  <si>
    <t>HoleDepth</t>
  </si>
  <si>
    <t>OutOfSetPrototypeData</t>
  </si>
  <si>
    <t>FlowRateOut</t>
  </si>
  <si>
    <t>DownholeTemperature</t>
  </si>
  <si>
    <t>DownholeRPM</t>
  </si>
  <si>
    <t>HookPosition</t>
  </si>
  <si>
    <t>BOPOpening</t>
  </si>
  <si>
    <t>TemperatureOut</t>
  </si>
  <si>
    <t>DownholePressure</t>
  </si>
  <si>
    <t>BOPPressure</t>
  </si>
  <si>
    <t>TemperatureIn</t>
  </si>
  <si>
    <t>Mnemonic</t>
  </si>
  <si>
    <t>Description in data log</t>
  </si>
  <si>
    <t>SPM2</t>
  </si>
  <si>
    <t>Pump 2 Stroke Rate</t>
  </si>
  <si>
    <t>GS_TV05</t>
  </si>
  <si>
    <t>MudPit Volume Average 5</t>
  </si>
  <si>
    <t>TOFB</t>
  </si>
  <si>
    <t>zzz:undefined</t>
  </si>
  <si>
    <t>BVEL</t>
  </si>
  <si>
    <t>Block Velocity</t>
  </si>
  <si>
    <t>SPP/SPM2</t>
  </si>
  <si>
    <t>MAG_DEC</t>
  </si>
  <si>
    <t>GS_MDOA</t>
  </si>
  <si>
    <t>Mud Density Out</t>
  </si>
  <si>
    <t>RPM30s</t>
  </si>
  <si>
    <t>GS_TV09</t>
  </si>
  <si>
    <t>MudPit Volume Average 9</t>
  </si>
  <si>
    <t>GS_TTV1</t>
  </si>
  <si>
    <t>TripTank Volume 1</t>
  </si>
  <si>
    <t>GTF_RT</t>
  </si>
  <si>
    <t>MWD Gravity Toolface</t>
  </si>
  <si>
    <t>GS_CHKP</t>
  </si>
  <si>
    <t>Casing (choke) pressure</t>
  </si>
  <si>
    <t>INCL_CONT_RT</t>
  </si>
  <si>
    <t>MWD Continuous Inclination</t>
  </si>
  <si>
    <t>SHYC_USL</t>
  </si>
  <si>
    <t>AZIM_CONT_RT</t>
  </si>
  <si>
    <t>MWD Continuous Azimuth</t>
  </si>
  <si>
    <t>BITRUN</t>
  </si>
  <si>
    <t>Bit run number</t>
  </si>
  <si>
    <t>GS_G_NC5</t>
  </si>
  <si>
    <t>n-Penthane</t>
  </si>
  <si>
    <t>TTONB</t>
  </si>
  <si>
    <t>FVOC</t>
  </si>
  <si>
    <t>Fill/gain volume obs. (cum)</t>
  </si>
  <si>
    <t>SHKTOT_RT</t>
  </si>
  <si>
    <t>MWD Total Shocks</t>
  </si>
  <si>
    <t>STWT</t>
  </si>
  <si>
    <t>String weight (rot,avg)</t>
  </si>
  <si>
    <t>ROP2M</t>
  </si>
  <si>
    <t>Rate of Penetration 2 minute average</t>
  </si>
  <si>
    <t>GS_TFLO</t>
  </si>
  <si>
    <t>Flow Pumps</t>
  </si>
  <si>
    <t>CUREDT_RT</t>
  </si>
  <si>
    <t>SRV_GZ</t>
  </si>
  <si>
    <t>SPP-VPWD</t>
  </si>
  <si>
    <t>THKD</t>
  </si>
  <si>
    <t>Total Hookload</t>
  </si>
  <si>
    <t>MBOT</t>
  </si>
  <si>
    <t>On Bottom Status</t>
  </si>
  <si>
    <t>HKLD30s</t>
  </si>
  <si>
    <t>GS_TV07</t>
  </si>
  <si>
    <t>MudPit Volume Average 7</t>
  </si>
  <si>
    <t>GS_TVA</t>
  </si>
  <si>
    <t>Tank volume (active)</t>
  </si>
  <si>
    <t>GS_TV12</t>
  </si>
  <si>
    <t>MudPit Volume Average 12</t>
  </si>
  <si>
    <t>SGZC_USL</t>
  </si>
  <si>
    <t>MWD_POS</t>
  </si>
  <si>
    <t>MWD Frame Position</t>
  </si>
  <si>
    <t>GS_RPM</t>
  </si>
  <si>
    <t>Averaged RPM</t>
  </si>
  <si>
    <t>RGX_RT</t>
  </si>
  <si>
    <t>TVDE</t>
  </si>
  <si>
    <t>Extrapolated Hole TVD</t>
  </si>
  <si>
    <t>GRM1</t>
  </si>
  <si>
    <t>MWD Gamma Ray (API BH corrected)</t>
  </si>
  <si>
    <t>DRET</t>
  </si>
  <si>
    <t>CPOF</t>
  </si>
  <si>
    <t>Trip/Ream/Drill On Bottom Stat</t>
  </si>
  <si>
    <t>GS_G_IC4</t>
  </si>
  <si>
    <t>Iso-butane (IC4)</t>
  </si>
  <si>
    <t>SRVAZI</t>
  </si>
  <si>
    <t>SPPA</t>
  </si>
  <si>
    <t>Average Standpipe Pressure</t>
  </si>
  <si>
    <t>MWD_VAL</t>
  </si>
  <si>
    <t>MWD Transmitted Counts</t>
  </si>
  <si>
    <t>TOTAL_CORR</t>
  </si>
  <si>
    <t>TCHR</t>
  </si>
  <si>
    <t>Time chrom sample</t>
  </si>
  <si>
    <t>TFLO</t>
  </si>
  <si>
    <t>Mud Flow In</t>
  </si>
  <si>
    <t>TOFF</t>
  </si>
  <si>
    <t>MWD_SLIDE</t>
  </si>
  <si>
    <t>RPM</t>
  </si>
  <si>
    <t>Average Rotary Speed</t>
  </si>
  <si>
    <t>HKLD</t>
  </si>
  <si>
    <t>Average Hookload</t>
  </si>
  <si>
    <t>GS_TV08</t>
  </si>
  <si>
    <t>MudPit Volume Average 8</t>
  </si>
  <si>
    <t>HKLI</t>
  </si>
  <si>
    <t>GS_SPM3</t>
  </si>
  <si>
    <t>Pump Speed 3</t>
  </si>
  <si>
    <t>GS_G_C2</t>
  </si>
  <si>
    <t>Ethane (C2)</t>
  </si>
  <si>
    <t>SHK3TM_RT</t>
  </si>
  <si>
    <t>ECD_MW_IN</t>
  </si>
  <si>
    <t>GS_TV11</t>
  </si>
  <si>
    <t>Tank 11 Volume</t>
  </si>
  <si>
    <t>GS_ROP</t>
  </si>
  <si>
    <t>Rate of penetration</t>
  </si>
  <si>
    <t>DNI_MP</t>
  </si>
  <si>
    <t>SRVTVD</t>
  </si>
  <si>
    <t>RSDX</t>
  </si>
  <si>
    <t>Running speed-down (max)</t>
  </si>
  <si>
    <t>GS_SWOB</t>
  </si>
  <si>
    <t>Averaged WOB</t>
  </si>
  <si>
    <t>ETSL</t>
  </si>
  <si>
    <t>Elapsed time in-slips</t>
  </si>
  <si>
    <t>SWOB</t>
  </si>
  <si>
    <t>Weight on Bit</t>
  </si>
  <si>
    <t>SWOB30s</t>
  </si>
  <si>
    <t>ROPI</t>
  </si>
  <si>
    <t>Inverse ROP</t>
  </si>
  <si>
    <t>GS_GASA</t>
  </si>
  <si>
    <t>Gas (avg)</t>
  </si>
  <si>
    <t>TRPOUT_CT</t>
  </si>
  <si>
    <t>GS_TV14</t>
  </si>
  <si>
    <t>MudPit Volume Average 14</t>
  </si>
  <si>
    <t>ROPH</t>
  </si>
  <si>
    <t>1/2ft ROP</t>
  </si>
  <si>
    <t>SPM1</t>
  </si>
  <si>
    <t>Pump 1 Stroke Rate</t>
  </si>
  <si>
    <t>SRVEW</t>
  </si>
  <si>
    <t>SGYC_USL</t>
  </si>
  <si>
    <t>GS_TQA</t>
  </si>
  <si>
    <t>Averaged TRQ</t>
  </si>
  <si>
    <t>CWOB</t>
  </si>
  <si>
    <t>Corrected Surface Weight on Bit</t>
  </si>
  <si>
    <t>DBTM</t>
  </si>
  <si>
    <t>Bit Depth (MD)</t>
  </si>
  <si>
    <t>GS_DRTM</t>
  </si>
  <si>
    <t>Lagged Total Depth</t>
  </si>
  <si>
    <t>GS_DMEA</t>
  </si>
  <si>
    <t>Total Depth</t>
  </si>
  <si>
    <t>GS_TV06</t>
  </si>
  <si>
    <t>MudPit Volume Average 6</t>
  </si>
  <si>
    <t>FRIC</t>
  </si>
  <si>
    <t>Rotating friction factor</t>
  </si>
  <si>
    <t>RSUX</t>
  </si>
  <si>
    <t>Running speed-up (max)</t>
  </si>
  <si>
    <t>GS_G_NC4</t>
  </si>
  <si>
    <t>Nor-butane (NC4)</t>
  </si>
  <si>
    <t>TFLO30s</t>
  </si>
  <si>
    <t>GS_MWTI</t>
  </si>
  <si>
    <t>Mud Density In</t>
  </si>
  <si>
    <t>GRR</t>
  </si>
  <si>
    <t>MWD Raw Gamma Ray</t>
  </si>
  <si>
    <t>GRID_CORR</t>
  </si>
  <si>
    <t>MWD_TS</t>
  </si>
  <si>
    <t>MWD Time Stamp</t>
  </si>
  <si>
    <t>TCNF</t>
  </si>
  <si>
    <t>MWD TF Bit Confidence Flag</t>
  </si>
  <si>
    <t>MWD_SYNC</t>
  </si>
  <si>
    <t>MWD Sync Status</t>
  </si>
  <si>
    <t>SPM4</t>
  </si>
  <si>
    <t>Pump 4 Stroke Rate</t>
  </si>
  <si>
    <t>MWD_ID</t>
  </si>
  <si>
    <t>MWD DATP ID</t>
  </si>
  <si>
    <t>GS_SPM1</t>
  </si>
  <si>
    <t>Pump Speed 1</t>
  </si>
  <si>
    <t>MSP4</t>
  </si>
  <si>
    <t>SPR MWD_04 mwd</t>
  </si>
  <si>
    <t>GS_TV13</t>
  </si>
  <si>
    <t>MudPit Volume Average13</t>
  </si>
  <si>
    <t>GS_TV10</t>
  </si>
  <si>
    <t>MudPit Volume Average 10</t>
  </si>
  <si>
    <t>SHY_USL</t>
  </si>
  <si>
    <t>SGX_USL</t>
  </si>
  <si>
    <t>PMPT</t>
  </si>
  <si>
    <t>Pump Time</t>
  </si>
  <si>
    <t>SHKRSK_RT</t>
  </si>
  <si>
    <t>MWD Shock Risk</t>
  </si>
  <si>
    <t>DCHV</t>
  </si>
  <si>
    <t>Chromatograph Sample (TVD)</t>
  </si>
  <si>
    <t>SGZ_USL</t>
  </si>
  <si>
    <t>SRV_HZ</t>
  </si>
  <si>
    <t>TSPM</t>
  </si>
  <si>
    <t>Total SPM</t>
  </si>
  <si>
    <t>STUCK_RT</t>
  </si>
  <si>
    <t>HKLN</t>
  </si>
  <si>
    <t>Hookload (min)</t>
  </si>
  <si>
    <t>TF_CORR</t>
  </si>
  <si>
    <t>CHK</t>
  </si>
  <si>
    <t>Corrected Hookload</t>
  </si>
  <si>
    <t>SHKPK_RT</t>
  </si>
  <si>
    <t>MWD Shock Peak</t>
  </si>
  <si>
    <t>SRVDEPTH</t>
  </si>
  <si>
    <t>MWD_DEL</t>
  </si>
  <si>
    <t>MWD Delay Time</t>
  </si>
  <si>
    <t>TRPM/SPM</t>
  </si>
  <si>
    <t>SHX_USL</t>
  </si>
  <si>
    <t>SIG_TQ30s</t>
  </si>
  <si>
    <t>TOJ</t>
  </si>
  <si>
    <t>GS_DVER</t>
  </si>
  <si>
    <t>Total Vertical Depth</t>
  </si>
  <si>
    <t>PASS_NAME</t>
  </si>
  <si>
    <t>Pass Name</t>
  </si>
  <si>
    <t>SHZ_USL</t>
  </si>
  <si>
    <t>BDTI</t>
  </si>
  <si>
    <t>Bit Drill Time</t>
  </si>
  <si>
    <t>SGY_USL</t>
  </si>
  <si>
    <t>TEMP_DNI_RT</t>
  </si>
  <si>
    <t>MWD DNI Temperature</t>
  </si>
  <si>
    <t>GS_CFIA</t>
  </si>
  <si>
    <t>Cement flowrate In (avg)</t>
  </si>
  <si>
    <t>HKLX</t>
  </si>
  <si>
    <t>Maximum Hookload</t>
  </si>
  <si>
    <t>MWD_BOT</t>
  </si>
  <si>
    <t>DRGF</t>
  </si>
  <si>
    <t>DRAG sliding friction factor</t>
  </si>
  <si>
    <t>MTF_RT</t>
  </si>
  <si>
    <t>MWD Magnetic Toolface</t>
  </si>
  <si>
    <t>TQLS</t>
  </si>
  <si>
    <t>Torque loss</t>
  </si>
  <si>
    <t>GS_SPM2</t>
  </si>
  <si>
    <t>Pump Speed 2</t>
  </si>
  <si>
    <t>ROP30s</t>
  </si>
  <si>
    <t>TTV2</t>
  </si>
  <si>
    <t>Trip tank 2 volume</t>
  </si>
  <si>
    <t>BHFG</t>
  </si>
  <si>
    <t>AJAM_MWD</t>
  </si>
  <si>
    <t>STOR-DTOR</t>
  </si>
  <si>
    <t>FLOW-TRPM</t>
  </si>
  <si>
    <t>ROP5</t>
  </si>
  <si>
    <t>Rate of Penetration (5ft avg)</t>
  </si>
  <si>
    <t>GS_TV01</t>
  </si>
  <si>
    <t>MudPit Volume Average 1</t>
  </si>
  <si>
    <t>GS_DBTM</t>
  </si>
  <si>
    <t>Bit Depth</t>
  </si>
  <si>
    <t>SPP5s</t>
  </si>
  <si>
    <t>SPM3</t>
  </si>
  <si>
    <t>Pump 3 Stroke Rate</t>
  </si>
  <si>
    <t>DEPT</t>
  </si>
  <si>
    <t>ATBT</t>
  </si>
  <si>
    <t>GS_TV04</t>
  </si>
  <si>
    <t>MudPit Volume Average 4</t>
  </si>
  <si>
    <t>DRPM</t>
  </si>
  <si>
    <t>Total Downhole RPM</t>
  </si>
  <si>
    <t>DCHR</t>
  </si>
  <si>
    <t>Date of Chromatograph Sample</t>
  </si>
  <si>
    <t>SHKRATE_RT</t>
  </si>
  <si>
    <t>PowerUP Shock Rate</t>
  </si>
  <si>
    <t>SWOB-DWOB</t>
  </si>
  <si>
    <t>MWD_FRM</t>
  </si>
  <si>
    <t>MWD Frame ID</t>
  </si>
  <si>
    <t>BACC</t>
  </si>
  <si>
    <t>GS_DCHM</t>
  </si>
  <si>
    <t>Depth chrom sample (meas)</t>
  </si>
  <si>
    <t>SRV_GY</t>
  </si>
  <si>
    <t>RS_DSPM</t>
  </si>
  <si>
    <t>GS_TDH</t>
  </si>
  <si>
    <t>TMP In</t>
  </si>
  <si>
    <t>TQ30s</t>
  </si>
  <si>
    <t>GS_TV03</t>
  </si>
  <si>
    <t>MudPit Volume Average3</t>
  </si>
  <si>
    <t>SRV_GX</t>
  </si>
  <si>
    <t>BTVD</t>
  </si>
  <si>
    <t>TQA</t>
  </si>
  <si>
    <t>Average Surface Torque</t>
  </si>
  <si>
    <t>GS_BPOS</t>
  </si>
  <si>
    <t>Hook Height</t>
  </si>
  <si>
    <t>TRPM_RT</t>
  </si>
  <si>
    <t>MWD Turbine RPM</t>
  </si>
  <si>
    <t>SPP-APWD</t>
  </si>
  <si>
    <t>TSTK</t>
  </si>
  <si>
    <t>Total Strokes</t>
  </si>
  <si>
    <t>EDRT</t>
  </si>
  <si>
    <t>TREV</t>
  </si>
  <si>
    <t>Total Bit Revolutions</t>
  </si>
  <si>
    <t>TRPIN_CT</t>
  </si>
  <si>
    <t>DTOR*RPM</t>
  </si>
  <si>
    <t>SHZC_USL</t>
  </si>
  <si>
    <t>BPOS</t>
  </si>
  <si>
    <t>Block Position</t>
  </si>
  <si>
    <t>STIS</t>
  </si>
  <si>
    <t>Slips stat (1=Out,0=In)</t>
  </si>
  <si>
    <t>SIG_SPP5s</t>
  </si>
  <si>
    <t>GS_SPPA</t>
  </si>
  <si>
    <t>Stand Pipe Pressure</t>
  </si>
  <si>
    <t>HKLO</t>
  </si>
  <si>
    <t>SHXC_USL</t>
  </si>
  <si>
    <t>DPT_CONF</t>
  </si>
  <si>
    <t>GS_G_C3</t>
  </si>
  <si>
    <t>Propane (C3)</t>
  </si>
  <si>
    <t>GS_HKLD</t>
  </si>
  <si>
    <t>Weight On Hook</t>
  </si>
  <si>
    <t>CTH</t>
  </si>
  <si>
    <t>Corrected Total Hookload</t>
  </si>
  <si>
    <t>BONB</t>
  </si>
  <si>
    <t>Bit on Bottom</t>
  </si>
  <si>
    <t>GS_TV02</t>
  </si>
  <si>
    <t>MudPit Volume Average 2</t>
  </si>
  <si>
    <t>DRPM30s</t>
  </si>
  <si>
    <t>GS_G_C1</t>
  </si>
  <si>
    <t>Methane (C1)</t>
  </si>
  <si>
    <t>SRV_HY</t>
  </si>
  <si>
    <t>ACTC</t>
  </si>
  <si>
    <t>Rig Mode</t>
  </si>
  <si>
    <t>DMEA</t>
  </si>
  <si>
    <t>Hole depth (MD)</t>
  </si>
  <si>
    <t>SRVTYPE</t>
  </si>
  <si>
    <t>SRVNS</t>
  </si>
  <si>
    <t>Rate of Penetration</t>
  </si>
  <si>
    <t>TIME</t>
  </si>
  <si>
    <t>Time</t>
  </si>
  <si>
    <t>GR_CONF</t>
  </si>
  <si>
    <t>MWD GR Bit Confidence Flag</t>
  </si>
  <si>
    <t>GS_MTOA</t>
  </si>
  <si>
    <t>Temperature Out</t>
  </si>
  <si>
    <t>SRVINC</t>
  </si>
  <si>
    <t>DNISTAT</t>
  </si>
  <si>
    <t>GS_TVCA</t>
  </si>
  <si>
    <t>Tank volume change (active)</t>
  </si>
  <si>
    <t>SDEP_CONT_RT</t>
  </si>
  <si>
    <t>Continuous Survey Depth</t>
  </si>
  <si>
    <t>SRV_HX</t>
  </si>
  <si>
    <t>GS_ACTC</t>
  </si>
  <si>
    <t>GS_G_IC5</t>
  </si>
  <si>
    <t>Iso-pentane (IC5)</t>
  </si>
  <si>
    <t>GS_DRTV</t>
  </si>
  <si>
    <t>Lag Depth (TVD)</t>
  </si>
  <si>
    <t>RHX_RT</t>
  </si>
  <si>
    <t>Unit</t>
  </si>
  <si>
    <t>1/min</t>
  </si>
  <si>
    <t>m3</t>
  </si>
  <si>
    <t>s</t>
  </si>
  <si>
    <t>m/s</t>
  </si>
  <si>
    <t>unitless</t>
  </si>
  <si>
    <t>dega</t>
  </si>
  <si>
    <t>g/cm3</t>
  </si>
  <si>
    <t>rpm</t>
  </si>
  <si>
    <t>kPa</t>
  </si>
  <si>
    <t>ppm</t>
  </si>
  <si>
    <t>kkgf</t>
  </si>
  <si>
    <t>m/h</t>
  </si>
  <si>
    <t>L/min</t>
  </si>
  <si>
    <t>m</t>
  </si>
  <si>
    <t>gAPI</t>
  </si>
  <si>
    <t>min</t>
  </si>
  <si>
    <t>s/m</t>
  </si>
  <si>
    <t>%</t>
  </si>
  <si>
    <t>kN.m</t>
  </si>
  <si>
    <t>1/s</t>
  </si>
  <si>
    <t>h</t>
  </si>
  <si>
    <t>m/s2</t>
  </si>
  <si>
    <t>degC</t>
  </si>
  <si>
    <t>m3/min</t>
  </si>
  <si>
    <t>AVG_CONF</t>
  </si>
  <si>
    <t>MIN_CONF</t>
  </si>
  <si>
    <t>STK1</t>
  </si>
  <si>
    <t>Pump 1 Strokes</t>
  </si>
  <si>
    <t>ROPIH</t>
  </si>
  <si>
    <t>GS_BDDI</t>
  </si>
  <si>
    <t>Bit Drilling Run</t>
  </si>
  <si>
    <t>STK2</t>
  </si>
  <si>
    <t>Pump 2 Strokes</t>
  </si>
  <si>
    <t>GS_DXC</t>
  </si>
  <si>
    <t>Corr. Drilling Exponent</t>
  </si>
  <si>
    <t>MWTI</t>
  </si>
  <si>
    <t>GS_TREV</t>
  </si>
  <si>
    <t>Bit Revolutions  (cum)</t>
  </si>
  <si>
    <t>DVER</t>
  </si>
  <si>
    <t>Hole Depth (TVD)</t>
  </si>
  <si>
    <t>STK3</t>
  </si>
  <si>
    <t>Pump 3 Strokes</t>
  </si>
  <si>
    <t>DEPTH</t>
  </si>
  <si>
    <t>Measured Depth</t>
  </si>
  <si>
    <t>SMOD</t>
  </si>
  <si>
    <t>SPN Sp_RigMode 2hz</t>
  </si>
  <si>
    <t>TOBO</t>
  </si>
  <si>
    <t>GS_BDTI</t>
  </si>
  <si>
    <t>Bit Drilling Time</t>
  </si>
  <si>
    <t>STK4</t>
  </si>
  <si>
    <t>Pump 4 Strokes</t>
  </si>
  <si>
    <t>RPI5</t>
  </si>
  <si>
    <t>Inverse ROP (5ft avg)</t>
  </si>
  <si>
    <t>S1AC</t>
  </si>
  <si>
    <t>S2AC</t>
  </si>
  <si>
    <t>IMWT</t>
  </si>
  <si>
    <t>OSTM</t>
  </si>
  <si>
    <t>A40H_COND_RT</t>
  </si>
  <si>
    <t>IMP/ARC Attenuation Conductivity 40-in. at 2 MHz</t>
  </si>
  <si>
    <t>APRS_RT</t>
  </si>
  <si>
    <t>ARC Annular Pressure</t>
  </si>
  <si>
    <t>CRPM_RT</t>
  </si>
  <si>
    <t>MWD Collar RPM</t>
  </si>
  <si>
    <t>P28H_UNC_RT</t>
  </si>
  <si>
    <t>IMP/ARC Non-BHcorr Phase-Shift Resistivity 28-in. at 2 MHz</t>
  </si>
  <si>
    <t>P40H_COND_RT</t>
  </si>
  <si>
    <t>IMP/ARC Phase-Shift Conductivity 40-in. at 2 MHz</t>
  </si>
  <si>
    <t>ATMP_RT</t>
  </si>
  <si>
    <t>Annular Temperature</t>
  </si>
  <si>
    <t>P40H_UNC_RT</t>
  </si>
  <si>
    <t>IMP/ARC Non-BHcorr Phase-Shift Resistivity 40-in. at 2 MHz</t>
  </si>
  <si>
    <t>ARC_GR_RT</t>
  </si>
  <si>
    <t>ARC Gamma Ray (BH corrected)</t>
  </si>
  <si>
    <t>A40H_UNC_RT</t>
  </si>
  <si>
    <t>IMP/ARC Non-BHcorr Attenuation Resistivity 40-in. at 2 MHz</t>
  </si>
  <si>
    <t>Stick_RT</t>
  </si>
  <si>
    <t>MWD Stick-Slip PKtoPK RPM</t>
  </si>
  <si>
    <t>A28H_UNC_RT</t>
  </si>
  <si>
    <t>IMP/ARC Non-BHcorr Attenuation Resistivity 28-in. at 2 MHz</t>
  </si>
  <si>
    <t>P28H_COND_RT</t>
  </si>
  <si>
    <t>IMP/ARC Phase-Shift Conductivity 28-in. at 2 MHz</t>
  </si>
  <si>
    <t>mS/m</t>
  </si>
  <si>
    <t>ohm.m</t>
  </si>
  <si>
    <t>Subtask</t>
  </si>
  <si>
    <t>Total ID Samples</t>
  </si>
  <si>
    <t>Misclassifications</t>
  </si>
  <si>
    <t>Top Confusion Pairs (Count)</t>
  </si>
  <si>
    <t>Primary Error Cause</t>
  </si>
  <si>
    <t>Quantity</t>
  </si>
  <si>
    <t>Pressure ↔ Force (6), Velocity ↔ Rate (3)</t>
  </si>
  <si>
    <t>Semantic proximity of ontology terms; sparse descriptions</t>
  </si>
  <si>
    <t>kPa ↔ psi (8), m ↔ ft (5)</t>
  </si>
  <si>
    <t>SI vs. non-SI unit ambiguity; inconsistent unit usage</t>
  </si>
  <si>
    <t>PrototypeData</t>
  </si>
  <si>
    <t>SPP ↔ DPRESS (3), WOB ↔ HKLD (2)</t>
  </si>
  <si>
    <t>Mnemonic similarity; incomplete or noisy metadata</t>
  </si>
  <si>
    <t>Cause</t>
  </si>
  <si>
    <t>KB</t>
  </si>
  <si>
    <t>poor input</t>
  </si>
  <si>
    <t>LLM</t>
  </si>
  <si>
    <t>Causes</t>
  </si>
  <si>
    <t xml:space="preserve">LLM misinterpretation(7);
Poor input (3);
</t>
  </si>
  <si>
    <t>Examples</t>
  </si>
  <si>
    <t>"GRID_CORR, no description, dega", True: PlaneAngleQuantity, Prediction: UncertainQuantity;
"GRM1,MWD Gamma Ray (API BH corrected), gAPI",True: FrequencyQuantity, Prediction: UncertainQuantity</t>
  </si>
  <si>
    <t>False Negative</t>
  </si>
  <si>
    <t>False Positive</t>
  </si>
  <si>
    <t xml:space="preserve">LLM misinterpretation(21);
Poor input (9);
</t>
  </si>
  <si>
    <t>Poor input (2);
Similar-Class Confusion (2);</t>
  </si>
  <si>
    <t>Similar-Class Confusion</t>
  </si>
  <si>
    <t>Poor input (4);
Similar-Class Confusion (21);
LLM misinterpretation(6);</t>
  </si>
  <si>
    <t>LLM misinterpretation(5);
Poor input (5);</t>
  </si>
  <si>
    <t>LLM misinterpretation(16);
Poor input (2);</t>
  </si>
  <si>
    <t xml:space="preserve">LLM misinterpretation(4);
Poor input (11);
</t>
  </si>
  <si>
    <t>LLM misinterpretation(4);
Poor input (5);</t>
  </si>
  <si>
    <t xml:space="preserve">Logprob-dif_llm </t>
  </si>
  <si>
    <t>Direct RAG</t>
  </si>
  <si>
    <t>AngleGradientPerLengthQuantity</t>
  </si>
  <si>
    <t>None</t>
  </si>
  <si>
    <t>ProportionQuantity, DimensionlessQuantity</t>
  </si>
  <si>
    <t>AngleMagneticFluxDensityQuantity</t>
  </si>
  <si>
    <t>DimensionlessQuantity, ProportionQuantity</t>
  </si>
  <si>
    <t>ReciprocalSecond, Hertz</t>
  </si>
  <si>
    <t>FootPerHour</t>
  </si>
  <si>
    <t>DownholeECD</t>
  </si>
  <si>
    <t>ShearRate</t>
  </si>
  <si>
    <t>True label double-check</t>
  </si>
  <si>
    <t>correct?</t>
  </si>
  <si>
    <t xml:space="preserve">LLM misinterpretation(14);
Poor input (4);
</t>
  </si>
  <si>
    <t xml:space="preserve">LLM misinterpretation(9);
Poor input (6);
</t>
  </si>
  <si>
    <t xml:space="preserve">LLM misinterpretation(4);
Poor input (7);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</si>
</sst>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4" fillId="0" borderId="0" xfId="0" applyFont="1" applyAlignment="1">
      <alignment horizontal="left"/>
    </xf>
    <xf numFmtId="0" fontId="3" fillId="2" borderId="3" xfId="0" applyFont="1" applyFill="1" applyBorder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5" fillId="0" borderId="2" xfId="0" applyFont="1" applyBorder="1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left"/>
    </xf>
    <xf numFmtId="0" fontId="7" fillId="2" borderId="3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center"/>
    </xf>
    <xf numFmtId="0" fontId="5" fillId="0" borderId="0" xfId="0" applyNumberFormat="1" applyFont="1" applyFill="1" applyBorder="1" applyAlignment="1">
      <alignment horizontal="center"/>
    </xf>
    <xf numFmtId="0" fontId="0" fillId="3" borderId="0" xfId="0" applyFill="1"/>
    <xf numFmtId="0" fontId="0" fillId="0" borderId="0" xfId="0" applyAlignment="1">
      <alignment wrapText="1"/>
    </xf>
    <xf numFmtId="0" fontId="0" fillId="0" borderId="4" xfId="0" applyBorder="1" applyAlignment="1">
      <alignment horizontal="center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408"/>
  <sheetViews>
    <sheetView workbookViewId="0">
      <selection activeCell="I416" sqref="I416"/>
    </sheetView>
  </sheetViews>
  <sheetFormatPr defaultRowHeight="14.25" x14ac:dyDescent="0.45"/>
  <cols>
    <col min="1" max="1" width="34.796875" customWidth="1"/>
    <col min="2" max="2" width="23.796875" bestFit="1" customWidth="1"/>
    <col min="7" max="7" width="2.46484375" bestFit="1" customWidth="1"/>
    <col min="8" max="8" width="14.06640625" style="8" bestFit="1" customWidth="1"/>
    <col min="9" max="9" width="32.06640625" style="8" bestFit="1" customWidth="1"/>
    <col min="10" max="10" width="7.33203125" style="8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7" t="s">
        <v>92</v>
      </c>
      <c r="I1" s="7" t="s">
        <v>93</v>
      </c>
      <c r="J1" s="7" t="s">
        <v>415</v>
      </c>
      <c r="K1" s="11" t="s">
        <v>512</v>
      </c>
      <c r="L1" s="12">
        <v>0.98161811046717595</v>
      </c>
      <c r="M1" s="11" t="s">
        <v>512</v>
      </c>
    </row>
    <row r="2" spans="1:13" hidden="1" x14ac:dyDescent="0.45">
      <c r="A2" t="s">
        <v>5</v>
      </c>
      <c r="B2" t="s">
        <v>5</v>
      </c>
      <c r="C2">
        <v>0.21125141069258321</v>
      </c>
      <c r="D2">
        <v>0.8</v>
      </c>
      <c r="E2">
        <v>0.98593573670042811</v>
      </c>
      <c r="G2" t="str">
        <f>IF(A2=B2,".","W")</f>
        <v>.</v>
      </c>
      <c r="H2" s="8" t="s">
        <v>94</v>
      </c>
      <c r="I2" s="8" t="s">
        <v>95</v>
      </c>
      <c r="J2" s="8" t="s">
        <v>416</v>
      </c>
      <c r="L2" t="str">
        <f>IF(C2&lt;=$L$1,".","NonID")</f>
        <v>.</v>
      </c>
    </row>
    <row r="3" spans="1:13" hidden="1" x14ac:dyDescent="0.45">
      <c r="A3" t="s">
        <v>6</v>
      </c>
      <c r="B3" t="s">
        <v>6</v>
      </c>
      <c r="C3">
        <v>0.20016281576184899</v>
      </c>
      <c r="D3">
        <v>0.8</v>
      </c>
      <c r="E3">
        <v>0.99979648032432844</v>
      </c>
      <c r="G3" t="str">
        <f t="shared" ref="G3:G66" si="0">IF(A3=B3,".","W")</f>
        <v>.</v>
      </c>
      <c r="H3" s="8" t="s">
        <v>96</v>
      </c>
      <c r="I3" s="8" t="s">
        <v>97</v>
      </c>
      <c r="J3" s="8" t="s">
        <v>417</v>
      </c>
      <c r="L3" t="str">
        <f t="shared" ref="L3:L66" si="1">IF(C3&lt;=$L$1,".","NonID")</f>
        <v>.</v>
      </c>
    </row>
    <row r="4" spans="1:13" hidden="1" x14ac:dyDescent="0.45">
      <c r="A4" t="s">
        <v>7</v>
      </c>
      <c r="B4" t="s">
        <v>7</v>
      </c>
      <c r="C4">
        <v>0.27628223806006552</v>
      </c>
      <c r="D4">
        <v>0.8</v>
      </c>
      <c r="E4">
        <v>0.9046472099680013</v>
      </c>
      <c r="G4" t="str">
        <f t="shared" si="0"/>
        <v>.</v>
      </c>
      <c r="H4" s="8" t="s">
        <v>98</v>
      </c>
      <c r="I4" s="8" t="s">
        <v>99</v>
      </c>
      <c r="J4" s="8" t="s">
        <v>418</v>
      </c>
      <c r="L4" t="str">
        <f t="shared" si="1"/>
        <v>.</v>
      </c>
    </row>
    <row r="5" spans="1:13" hidden="1" x14ac:dyDescent="0.45">
      <c r="A5" t="s">
        <v>8</v>
      </c>
      <c r="B5" t="s">
        <v>8</v>
      </c>
      <c r="C5">
        <v>0.78484702980995857</v>
      </c>
      <c r="D5">
        <v>0.8</v>
      </c>
      <c r="E5">
        <v>0.26894121291418688</v>
      </c>
      <c r="G5" t="str">
        <f t="shared" si="0"/>
        <v>.</v>
      </c>
      <c r="H5" s="8" t="s">
        <v>100</v>
      </c>
      <c r="I5" s="8" t="s">
        <v>101</v>
      </c>
      <c r="J5" s="8" t="s">
        <v>419</v>
      </c>
      <c r="L5" t="str">
        <f t="shared" si="1"/>
        <v>.</v>
      </c>
    </row>
    <row r="6" spans="1:13" hidden="1" x14ac:dyDescent="0.45">
      <c r="A6" t="s">
        <v>9</v>
      </c>
      <c r="B6" t="s">
        <v>5</v>
      </c>
      <c r="C6">
        <v>0.55026244401105839</v>
      </c>
      <c r="D6">
        <v>0.8</v>
      </c>
      <c r="E6">
        <v>0.56217194545414562</v>
      </c>
      <c r="G6" t="str">
        <f t="shared" si="0"/>
        <v>W</v>
      </c>
      <c r="H6" s="8" t="s">
        <v>102</v>
      </c>
      <c r="I6" s="8" t="s">
        <v>99</v>
      </c>
      <c r="J6" s="8" t="s">
        <v>420</v>
      </c>
      <c r="L6" t="str">
        <f t="shared" si="1"/>
        <v>.</v>
      </c>
    </row>
    <row r="7" spans="1:13" hidden="1" x14ac:dyDescent="0.45">
      <c r="A7" t="s">
        <v>10</v>
      </c>
      <c r="B7" t="s">
        <v>10</v>
      </c>
      <c r="C7">
        <v>0.29536436094469021</v>
      </c>
      <c r="D7">
        <v>0.8</v>
      </c>
      <c r="E7">
        <v>0.8807967056360323</v>
      </c>
      <c r="G7" t="str">
        <f t="shared" si="0"/>
        <v>.</v>
      </c>
      <c r="H7" s="8" t="s">
        <v>103</v>
      </c>
      <c r="I7" s="8" t="s">
        <v>99</v>
      </c>
      <c r="J7" s="8" t="s">
        <v>421</v>
      </c>
      <c r="L7" t="str">
        <f t="shared" si="1"/>
        <v>.</v>
      </c>
    </row>
    <row r="8" spans="1:13" hidden="1" x14ac:dyDescent="0.45">
      <c r="A8" t="s">
        <v>11</v>
      </c>
      <c r="B8" t="s">
        <v>11</v>
      </c>
      <c r="C8">
        <v>0.20000502154752789</v>
      </c>
      <c r="D8">
        <v>0.8</v>
      </c>
      <c r="E8">
        <v>0.99999372702007638</v>
      </c>
      <c r="G8" t="str">
        <f t="shared" si="0"/>
        <v>.</v>
      </c>
      <c r="H8" s="8" t="s">
        <v>104</v>
      </c>
      <c r="I8" s="8" t="s">
        <v>105</v>
      </c>
      <c r="J8" s="8" t="s">
        <v>422</v>
      </c>
      <c r="L8" t="str">
        <f t="shared" si="1"/>
        <v>.</v>
      </c>
    </row>
    <row r="9" spans="1:13" hidden="1" x14ac:dyDescent="0.45">
      <c r="A9" t="s">
        <v>5</v>
      </c>
      <c r="B9" t="s">
        <v>5</v>
      </c>
      <c r="C9">
        <v>4.3057650340039277E-4</v>
      </c>
      <c r="D9">
        <v>1</v>
      </c>
      <c r="E9">
        <v>0.99956942349659961</v>
      </c>
      <c r="G9" t="str">
        <f t="shared" si="0"/>
        <v>.</v>
      </c>
      <c r="H9" s="8" t="s">
        <v>106</v>
      </c>
      <c r="I9" s="8" t="s">
        <v>99</v>
      </c>
      <c r="J9" s="8" t="s">
        <v>423</v>
      </c>
      <c r="L9" t="str">
        <f t="shared" si="1"/>
        <v>.</v>
      </c>
    </row>
    <row r="10" spans="1:13" hidden="1" x14ac:dyDescent="0.45">
      <c r="A10" t="s">
        <v>6</v>
      </c>
      <c r="B10" t="s">
        <v>6</v>
      </c>
      <c r="C10">
        <v>0.20000392604650319</v>
      </c>
      <c r="D10">
        <v>0.8</v>
      </c>
      <c r="E10">
        <v>0.9999951574562983</v>
      </c>
      <c r="G10" t="str">
        <f t="shared" si="0"/>
        <v>.</v>
      </c>
      <c r="H10" s="8" t="s">
        <v>107</v>
      </c>
      <c r="I10" s="8" t="s">
        <v>108</v>
      </c>
      <c r="J10" s="8" t="s">
        <v>417</v>
      </c>
      <c r="L10" t="str">
        <f t="shared" si="1"/>
        <v>.</v>
      </c>
    </row>
    <row r="11" spans="1:13" hidden="1" x14ac:dyDescent="0.45">
      <c r="A11" t="s">
        <v>6</v>
      </c>
      <c r="B11" t="s">
        <v>6</v>
      </c>
      <c r="C11">
        <v>0.20004669185902241</v>
      </c>
      <c r="D11">
        <v>0.8</v>
      </c>
      <c r="E11">
        <v>0.99994163670334457</v>
      </c>
      <c r="G11" t="str">
        <f t="shared" si="0"/>
        <v>.</v>
      </c>
      <c r="H11" s="8" t="s">
        <v>109</v>
      </c>
      <c r="I11" s="8" t="s">
        <v>110</v>
      </c>
      <c r="J11" s="8" t="s">
        <v>417</v>
      </c>
      <c r="L11" t="str">
        <f t="shared" si="1"/>
        <v>.</v>
      </c>
    </row>
    <row r="12" spans="1:13" hidden="1" x14ac:dyDescent="0.45">
      <c r="A12" t="s">
        <v>10</v>
      </c>
      <c r="B12" t="s">
        <v>10</v>
      </c>
      <c r="C12">
        <v>0.550259095198111</v>
      </c>
      <c r="D12">
        <v>0.8</v>
      </c>
      <c r="E12">
        <v>0.56217620099375953</v>
      </c>
      <c r="G12" t="str">
        <f t="shared" si="0"/>
        <v>.</v>
      </c>
      <c r="H12" s="8" t="s">
        <v>111</v>
      </c>
      <c r="I12" s="8" t="s">
        <v>112</v>
      </c>
      <c r="J12" s="8" t="s">
        <v>421</v>
      </c>
      <c r="L12" t="str">
        <f t="shared" si="1"/>
        <v>.</v>
      </c>
    </row>
    <row r="13" spans="1:13" hidden="1" x14ac:dyDescent="0.45">
      <c r="A13" t="s">
        <v>12</v>
      </c>
      <c r="B13" t="s">
        <v>12</v>
      </c>
      <c r="C13">
        <v>0.2053543932919262</v>
      </c>
      <c r="D13">
        <v>0.8</v>
      </c>
      <c r="E13">
        <v>0.99330700849498244</v>
      </c>
      <c r="G13" t="str">
        <f t="shared" si="0"/>
        <v>.</v>
      </c>
      <c r="H13" s="8" t="s">
        <v>113</v>
      </c>
      <c r="I13" s="8" t="s">
        <v>114</v>
      </c>
      <c r="J13" s="8" t="s">
        <v>424</v>
      </c>
      <c r="L13" t="str">
        <f t="shared" si="1"/>
        <v>.</v>
      </c>
    </row>
    <row r="14" spans="1:13" hidden="1" x14ac:dyDescent="0.45">
      <c r="A14" t="s">
        <v>10</v>
      </c>
      <c r="B14" t="s">
        <v>10</v>
      </c>
      <c r="C14">
        <v>0.95193075105444636</v>
      </c>
      <c r="D14">
        <v>0.8</v>
      </c>
      <c r="E14">
        <v>6.0086562878915298E-2</v>
      </c>
      <c r="G14" t="str">
        <f t="shared" si="0"/>
        <v>.</v>
      </c>
      <c r="H14" s="8" t="s">
        <v>115</v>
      </c>
      <c r="I14" s="8" t="s">
        <v>116</v>
      </c>
      <c r="J14" s="8" t="s">
        <v>421</v>
      </c>
      <c r="L14" t="str">
        <f t="shared" si="1"/>
        <v>.</v>
      </c>
    </row>
    <row r="15" spans="1:13" hidden="1" x14ac:dyDescent="0.45">
      <c r="A15" t="s">
        <v>13</v>
      </c>
      <c r="B15" t="s">
        <v>13</v>
      </c>
      <c r="C15">
        <v>0.35310797132962829</v>
      </c>
      <c r="D15">
        <v>0.8</v>
      </c>
      <c r="E15">
        <v>0.99142243010824804</v>
      </c>
      <c r="G15" t="str">
        <f t="shared" si="0"/>
        <v>.</v>
      </c>
      <c r="H15" s="8" t="s">
        <v>117</v>
      </c>
      <c r="I15" s="8" t="s">
        <v>99</v>
      </c>
      <c r="J15" s="8" t="s">
        <v>420</v>
      </c>
      <c r="L15" t="str">
        <f t="shared" si="1"/>
        <v>.</v>
      </c>
    </row>
    <row r="16" spans="1:13" hidden="1" x14ac:dyDescent="0.45">
      <c r="A16" t="s">
        <v>10</v>
      </c>
      <c r="B16" t="s">
        <v>10</v>
      </c>
      <c r="C16">
        <v>0.20093563293794939</v>
      </c>
      <c r="D16">
        <v>0.8</v>
      </c>
      <c r="E16">
        <v>0.99883045900532441</v>
      </c>
      <c r="G16" t="str">
        <f t="shared" si="0"/>
        <v>.</v>
      </c>
      <c r="H16" s="8" t="s">
        <v>118</v>
      </c>
      <c r="I16" s="8" t="s">
        <v>119</v>
      </c>
      <c r="J16" s="8" t="s">
        <v>421</v>
      </c>
      <c r="L16" t="str">
        <f t="shared" si="1"/>
        <v>.</v>
      </c>
    </row>
    <row r="17" spans="1:12" hidden="1" x14ac:dyDescent="0.45">
      <c r="A17" t="s">
        <v>13</v>
      </c>
      <c r="B17" t="s">
        <v>13</v>
      </c>
      <c r="C17">
        <v>0.22253214770701291</v>
      </c>
      <c r="D17">
        <v>0.8</v>
      </c>
      <c r="E17">
        <v>0.99849876799337189</v>
      </c>
      <c r="G17" t="str">
        <f t="shared" si="0"/>
        <v>.</v>
      </c>
      <c r="H17" s="8" t="s">
        <v>120</v>
      </c>
      <c r="I17" s="8" t="s">
        <v>121</v>
      </c>
      <c r="J17" s="8" t="s">
        <v>420</v>
      </c>
      <c r="L17" t="str">
        <f t="shared" si="1"/>
        <v>.</v>
      </c>
    </row>
    <row r="18" spans="1:12" hidden="1" x14ac:dyDescent="0.45">
      <c r="A18" t="s">
        <v>14</v>
      </c>
      <c r="B18" t="s">
        <v>14</v>
      </c>
      <c r="C18">
        <v>0.20056775824345061</v>
      </c>
      <c r="D18">
        <v>0.8</v>
      </c>
      <c r="E18">
        <v>0.99929032330932133</v>
      </c>
      <c r="G18" t="str">
        <f t="shared" si="0"/>
        <v>.</v>
      </c>
      <c r="H18" s="8" t="s">
        <v>122</v>
      </c>
      <c r="I18" s="8" t="s">
        <v>123</v>
      </c>
      <c r="J18" s="8" t="s">
        <v>425</v>
      </c>
      <c r="L18" t="str">
        <f t="shared" si="1"/>
        <v>.</v>
      </c>
    </row>
    <row r="19" spans="1:12" hidden="1" x14ac:dyDescent="0.45">
      <c r="A19" t="s">
        <v>7</v>
      </c>
      <c r="B19" t="s">
        <v>7</v>
      </c>
      <c r="C19">
        <v>0.2259580495992568</v>
      </c>
      <c r="D19">
        <v>0.8</v>
      </c>
      <c r="E19">
        <v>0.9706870301020154</v>
      </c>
      <c r="G19" t="str">
        <f t="shared" si="0"/>
        <v>.</v>
      </c>
      <c r="H19" s="8" t="s">
        <v>124</v>
      </c>
      <c r="I19" s="8" t="s">
        <v>99</v>
      </c>
      <c r="J19" s="8" t="s">
        <v>418</v>
      </c>
      <c r="L19" t="str">
        <f t="shared" si="1"/>
        <v>.</v>
      </c>
    </row>
    <row r="20" spans="1:12" hidden="1" x14ac:dyDescent="0.45">
      <c r="A20" t="s">
        <v>6</v>
      </c>
      <c r="B20" t="s">
        <v>6</v>
      </c>
      <c r="C20">
        <v>0.20002838181660179</v>
      </c>
      <c r="D20">
        <v>0.8</v>
      </c>
      <c r="E20">
        <v>0.99996452273258829</v>
      </c>
      <c r="G20" t="str">
        <f t="shared" si="0"/>
        <v>.</v>
      </c>
      <c r="H20" s="8" t="s">
        <v>125</v>
      </c>
      <c r="I20" s="8" t="s">
        <v>126</v>
      </c>
      <c r="J20" s="8" t="s">
        <v>417</v>
      </c>
      <c r="L20" t="str">
        <f t="shared" si="1"/>
        <v>.</v>
      </c>
    </row>
    <row r="21" spans="1:12" hidden="1" x14ac:dyDescent="0.45">
      <c r="A21" t="s">
        <v>13</v>
      </c>
      <c r="B21" t="s">
        <v>13</v>
      </c>
      <c r="C21">
        <v>0.2112509453379858</v>
      </c>
      <c r="D21">
        <v>0.8</v>
      </c>
      <c r="E21">
        <v>0.98593632069119785</v>
      </c>
      <c r="G21" t="str">
        <f t="shared" si="0"/>
        <v>.</v>
      </c>
      <c r="H21" s="8" t="s">
        <v>127</v>
      </c>
      <c r="I21" s="8" t="s">
        <v>128</v>
      </c>
      <c r="J21" s="8" t="s">
        <v>420</v>
      </c>
      <c r="L21" t="str">
        <f t="shared" si="1"/>
        <v>.</v>
      </c>
    </row>
    <row r="22" spans="1:12" hidden="1" x14ac:dyDescent="0.45">
      <c r="A22" t="s">
        <v>15</v>
      </c>
      <c r="B22" t="s">
        <v>15</v>
      </c>
      <c r="C22">
        <v>0.21125228201651819</v>
      </c>
      <c r="D22">
        <v>0.8</v>
      </c>
      <c r="E22">
        <v>0.98593632069119785</v>
      </c>
      <c r="G22" t="str">
        <f t="shared" si="0"/>
        <v>.</v>
      </c>
      <c r="H22" s="8" t="s">
        <v>129</v>
      </c>
      <c r="I22" s="8" t="s">
        <v>130</v>
      </c>
      <c r="J22" s="8" t="s">
        <v>426</v>
      </c>
      <c r="L22" t="str">
        <f t="shared" si="1"/>
        <v>.</v>
      </c>
    </row>
    <row r="23" spans="1:12" hidden="1" x14ac:dyDescent="0.45">
      <c r="A23" t="s">
        <v>8</v>
      </c>
      <c r="B23" t="s">
        <v>8</v>
      </c>
      <c r="C23">
        <v>0.20002208805883459</v>
      </c>
      <c r="D23">
        <v>0.8</v>
      </c>
      <c r="E23">
        <v>0.99997238992645676</v>
      </c>
      <c r="G23" t="str">
        <f t="shared" si="0"/>
        <v>.</v>
      </c>
      <c r="H23" s="8" t="s">
        <v>131</v>
      </c>
      <c r="I23" s="8" t="s">
        <v>132</v>
      </c>
      <c r="J23" s="8" t="s">
        <v>427</v>
      </c>
      <c r="L23" t="str">
        <f t="shared" si="1"/>
        <v>.</v>
      </c>
    </row>
    <row r="24" spans="1:12" hidden="1" x14ac:dyDescent="0.45">
      <c r="A24" t="s">
        <v>16</v>
      </c>
      <c r="B24" t="s">
        <v>16</v>
      </c>
      <c r="C24">
        <v>0.200935633005386</v>
      </c>
      <c r="D24">
        <v>0.8</v>
      </c>
      <c r="E24">
        <v>0.99883045900532441</v>
      </c>
      <c r="G24" t="str">
        <f t="shared" si="0"/>
        <v>.</v>
      </c>
      <c r="H24" s="8" t="s">
        <v>133</v>
      </c>
      <c r="I24" s="8" t="s">
        <v>134</v>
      </c>
      <c r="J24" s="8" t="s">
        <v>428</v>
      </c>
      <c r="L24" t="str">
        <f t="shared" si="1"/>
        <v>.</v>
      </c>
    </row>
    <row r="25" spans="1:12" hidden="1" x14ac:dyDescent="0.45">
      <c r="A25" t="s">
        <v>13</v>
      </c>
      <c r="B25" t="s">
        <v>13</v>
      </c>
      <c r="C25">
        <v>0.3220249740576373</v>
      </c>
      <c r="D25">
        <v>0.8</v>
      </c>
      <c r="E25">
        <v>0.851952557223148</v>
      </c>
      <c r="G25" t="str">
        <f t="shared" si="0"/>
        <v>.</v>
      </c>
      <c r="H25" s="8" t="s">
        <v>135</v>
      </c>
      <c r="I25" s="8" t="s">
        <v>99</v>
      </c>
      <c r="J25" s="8" t="s">
        <v>420</v>
      </c>
      <c r="L25" t="str">
        <f t="shared" si="1"/>
        <v>.</v>
      </c>
    </row>
    <row r="26" spans="1:12" hidden="1" x14ac:dyDescent="0.45">
      <c r="A26" t="s">
        <v>13</v>
      </c>
      <c r="B26" t="s">
        <v>13</v>
      </c>
      <c r="C26">
        <v>0.21986621224410169</v>
      </c>
      <c r="D26">
        <v>0.8</v>
      </c>
      <c r="E26">
        <v>0.97702261672772872</v>
      </c>
      <c r="G26" t="str">
        <f t="shared" si="0"/>
        <v>.</v>
      </c>
      <c r="H26" s="8" t="s">
        <v>136</v>
      </c>
      <c r="I26" s="8" t="s">
        <v>99</v>
      </c>
      <c r="J26" s="8" t="s">
        <v>420</v>
      </c>
      <c r="L26" t="str">
        <f t="shared" si="1"/>
        <v>.</v>
      </c>
    </row>
    <row r="27" spans="1:12" hidden="1" x14ac:dyDescent="0.45">
      <c r="A27" t="s">
        <v>9</v>
      </c>
      <c r="B27" t="s">
        <v>12</v>
      </c>
      <c r="C27">
        <v>0.20325607723483929</v>
      </c>
      <c r="D27">
        <v>0.8</v>
      </c>
      <c r="E27">
        <v>0.99592990413102933</v>
      </c>
      <c r="G27" t="str">
        <f t="shared" si="0"/>
        <v>W</v>
      </c>
      <c r="H27" s="8" t="s">
        <v>137</v>
      </c>
      <c r="I27" s="8" t="s">
        <v>99</v>
      </c>
      <c r="J27" s="8" t="s">
        <v>424</v>
      </c>
      <c r="L27" t="str">
        <f t="shared" si="1"/>
        <v>.</v>
      </c>
    </row>
    <row r="28" spans="1:12" hidden="1" x14ac:dyDescent="0.45">
      <c r="A28" t="s">
        <v>15</v>
      </c>
      <c r="B28" t="s">
        <v>15</v>
      </c>
      <c r="C28">
        <v>0.20044230388249401</v>
      </c>
      <c r="D28">
        <v>0.8</v>
      </c>
      <c r="E28">
        <v>0.99944712016184645</v>
      </c>
      <c r="G28" t="str">
        <f t="shared" si="0"/>
        <v>.</v>
      </c>
      <c r="H28" s="8" t="s">
        <v>138</v>
      </c>
      <c r="I28" s="8" t="s">
        <v>139</v>
      </c>
      <c r="J28" s="8" t="s">
        <v>426</v>
      </c>
      <c r="L28" t="str">
        <f t="shared" si="1"/>
        <v>.</v>
      </c>
    </row>
    <row r="29" spans="1:12" hidden="1" x14ac:dyDescent="0.45">
      <c r="A29" t="s">
        <v>13</v>
      </c>
      <c r="B29" t="s">
        <v>13</v>
      </c>
      <c r="C29">
        <v>0.20535439382250301</v>
      </c>
      <c r="D29">
        <v>0.8</v>
      </c>
      <c r="E29">
        <v>0.99330700849498244</v>
      </c>
      <c r="G29" t="str">
        <f t="shared" si="0"/>
        <v>.</v>
      </c>
      <c r="H29" s="8" t="s">
        <v>140</v>
      </c>
      <c r="I29" s="8" t="s">
        <v>141</v>
      </c>
      <c r="J29" s="8" t="s">
        <v>420</v>
      </c>
      <c r="L29" t="str">
        <f t="shared" si="1"/>
        <v>.</v>
      </c>
    </row>
    <row r="30" spans="1:12" hidden="1" x14ac:dyDescent="0.45">
      <c r="A30" t="s">
        <v>15</v>
      </c>
      <c r="B30" t="s">
        <v>15</v>
      </c>
      <c r="C30">
        <v>0.20005994529667409</v>
      </c>
      <c r="D30">
        <v>0.8</v>
      </c>
      <c r="E30">
        <v>0.99992506849856422</v>
      </c>
      <c r="G30" t="str">
        <f t="shared" si="0"/>
        <v>.</v>
      </c>
      <c r="H30" s="8" t="s">
        <v>142</v>
      </c>
      <c r="I30" s="8" t="s">
        <v>99</v>
      </c>
      <c r="J30" s="8" t="s">
        <v>426</v>
      </c>
      <c r="L30" t="str">
        <f t="shared" si="1"/>
        <v>.</v>
      </c>
    </row>
    <row r="31" spans="1:12" hidden="1" x14ac:dyDescent="0.45">
      <c r="A31" t="s">
        <v>6</v>
      </c>
      <c r="B31" t="s">
        <v>6</v>
      </c>
      <c r="C31">
        <v>0.20016281574053721</v>
      </c>
      <c r="D31">
        <v>0.8</v>
      </c>
      <c r="E31">
        <v>0.99979648032432844</v>
      </c>
      <c r="G31" t="str">
        <f t="shared" si="0"/>
        <v>.</v>
      </c>
      <c r="H31" s="8" t="s">
        <v>143</v>
      </c>
      <c r="I31" s="8" t="s">
        <v>144</v>
      </c>
      <c r="J31" s="8" t="s">
        <v>417</v>
      </c>
      <c r="L31" t="str">
        <f t="shared" si="1"/>
        <v>.</v>
      </c>
    </row>
    <row r="32" spans="1:12" hidden="1" x14ac:dyDescent="0.45">
      <c r="A32" t="s">
        <v>6</v>
      </c>
      <c r="B32" t="s">
        <v>6</v>
      </c>
      <c r="C32">
        <v>0.20001045454355371</v>
      </c>
      <c r="D32">
        <v>0.8</v>
      </c>
      <c r="E32">
        <v>0.99998693247732917</v>
      </c>
      <c r="G32" t="str">
        <f t="shared" si="0"/>
        <v>.</v>
      </c>
      <c r="H32" s="8" t="s">
        <v>145</v>
      </c>
      <c r="I32" s="8" t="s">
        <v>146</v>
      </c>
      <c r="J32" s="8" t="s">
        <v>417</v>
      </c>
      <c r="L32" t="str">
        <f t="shared" si="1"/>
        <v>.</v>
      </c>
    </row>
    <row r="33" spans="1:13" hidden="1" x14ac:dyDescent="0.45">
      <c r="A33" t="s">
        <v>6</v>
      </c>
      <c r="B33" t="s">
        <v>6</v>
      </c>
      <c r="C33">
        <v>0.20002838185962291</v>
      </c>
      <c r="D33">
        <v>0.8</v>
      </c>
      <c r="E33">
        <v>0.99996452273258829</v>
      </c>
      <c r="G33" t="str">
        <f t="shared" si="0"/>
        <v>.</v>
      </c>
      <c r="H33" s="8" t="s">
        <v>147</v>
      </c>
      <c r="I33" s="8" t="s">
        <v>148</v>
      </c>
      <c r="J33" s="8" t="s">
        <v>417</v>
      </c>
      <c r="L33" t="str">
        <f t="shared" si="1"/>
        <v>.</v>
      </c>
    </row>
    <row r="34" spans="1:13" hidden="1" x14ac:dyDescent="0.45">
      <c r="A34" t="s">
        <v>13</v>
      </c>
      <c r="B34" t="s">
        <v>13</v>
      </c>
      <c r="C34">
        <v>0.21840300339205929</v>
      </c>
      <c r="D34">
        <v>0.8</v>
      </c>
      <c r="E34">
        <v>0.97702193246570779</v>
      </c>
      <c r="G34" t="str">
        <f t="shared" si="0"/>
        <v>.</v>
      </c>
      <c r="H34" s="8" t="s">
        <v>149</v>
      </c>
      <c r="I34" s="8" t="s">
        <v>99</v>
      </c>
      <c r="J34" s="8" t="s">
        <v>420</v>
      </c>
      <c r="L34" t="str">
        <f t="shared" si="1"/>
        <v>.</v>
      </c>
    </row>
    <row r="35" spans="1:13" hidden="1" x14ac:dyDescent="0.45">
      <c r="A35" t="s">
        <v>13</v>
      </c>
      <c r="B35" t="s">
        <v>13</v>
      </c>
      <c r="C35">
        <v>0.20878970973773231</v>
      </c>
      <c r="D35">
        <v>0.8</v>
      </c>
      <c r="E35">
        <v>0.9890128691951352</v>
      </c>
      <c r="G35" t="str">
        <f t="shared" si="0"/>
        <v>.</v>
      </c>
      <c r="H35" s="8" t="s">
        <v>150</v>
      </c>
      <c r="I35" s="8" t="s">
        <v>151</v>
      </c>
      <c r="J35" s="8" t="s">
        <v>420</v>
      </c>
      <c r="L35" t="str">
        <f t="shared" si="1"/>
        <v>.</v>
      </c>
    </row>
    <row r="36" spans="1:13" hidden="1" x14ac:dyDescent="0.45">
      <c r="A36" t="s">
        <v>5</v>
      </c>
      <c r="B36" t="s">
        <v>5</v>
      </c>
      <c r="C36">
        <v>7.0967674985300544E-4</v>
      </c>
      <c r="D36">
        <v>1</v>
      </c>
      <c r="E36">
        <v>0.99929032330932133</v>
      </c>
      <c r="G36" t="str">
        <f t="shared" si="0"/>
        <v>.</v>
      </c>
      <c r="H36" s="8" t="s">
        <v>152</v>
      </c>
      <c r="I36" s="8" t="s">
        <v>153</v>
      </c>
      <c r="J36" s="8" t="s">
        <v>423</v>
      </c>
      <c r="L36" t="str">
        <f t="shared" si="1"/>
        <v>.</v>
      </c>
    </row>
    <row r="37" spans="1:13" hidden="1" x14ac:dyDescent="0.45">
      <c r="A37" t="s">
        <v>13</v>
      </c>
      <c r="B37" t="s">
        <v>13</v>
      </c>
      <c r="C37">
        <v>0.23934991365923691</v>
      </c>
      <c r="D37">
        <v>0.8</v>
      </c>
      <c r="E37">
        <v>0.95257313276901201</v>
      </c>
      <c r="G37" t="str">
        <f t="shared" si="0"/>
        <v>.</v>
      </c>
      <c r="H37" s="8" t="s">
        <v>154</v>
      </c>
      <c r="I37" s="8" t="s">
        <v>99</v>
      </c>
      <c r="J37" s="8" t="s">
        <v>420</v>
      </c>
      <c r="L37" t="str">
        <f t="shared" si="1"/>
        <v>.</v>
      </c>
    </row>
    <row r="38" spans="1:13" hidden="1" x14ac:dyDescent="0.45">
      <c r="A38" t="s">
        <v>17</v>
      </c>
      <c r="B38" t="s">
        <v>17</v>
      </c>
      <c r="C38">
        <v>0.20006109879270209</v>
      </c>
      <c r="D38">
        <v>0.8</v>
      </c>
      <c r="E38">
        <v>0.99992506849856422</v>
      </c>
      <c r="G38" t="str">
        <f t="shared" si="0"/>
        <v>.</v>
      </c>
      <c r="H38" s="8" t="s">
        <v>155</v>
      </c>
      <c r="I38" s="8" t="s">
        <v>156</v>
      </c>
      <c r="J38" s="8" t="s">
        <v>429</v>
      </c>
      <c r="L38" t="str">
        <f t="shared" si="1"/>
        <v>.</v>
      </c>
    </row>
    <row r="39" spans="1:13" hidden="1" x14ac:dyDescent="0.45">
      <c r="A39" t="s">
        <v>19</v>
      </c>
      <c r="B39" t="s">
        <v>18</v>
      </c>
      <c r="C39">
        <v>1</v>
      </c>
      <c r="D39">
        <v>0.8</v>
      </c>
      <c r="E39">
        <v>1.406362652037949E-2</v>
      </c>
      <c r="G39" t="str">
        <f t="shared" si="0"/>
        <v>W</v>
      </c>
      <c r="H39" s="9" t="s">
        <v>157</v>
      </c>
      <c r="I39" s="8" t="s">
        <v>158</v>
      </c>
      <c r="J39" s="8" t="s">
        <v>430</v>
      </c>
      <c r="K39" t="s">
        <v>513</v>
      </c>
      <c r="L39" s="13" t="str">
        <f t="shared" si="1"/>
        <v>NonID</v>
      </c>
      <c r="M39" t="s">
        <v>513</v>
      </c>
    </row>
    <row r="40" spans="1:13" x14ac:dyDescent="0.45">
      <c r="A40" t="s">
        <v>13</v>
      </c>
      <c r="B40" t="s">
        <v>18</v>
      </c>
      <c r="C40">
        <v>0.93140543980360258</v>
      </c>
      <c r="D40">
        <v>0.8</v>
      </c>
      <c r="E40">
        <v>0.85194876140197107</v>
      </c>
      <c r="G40" t="str">
        <f t="shared" si="0"/>
        <v>W</v>
      </c>
      <c r="H40" s="8" t="s">
        <v>159</v>
      </c>
      <c r="I40" s="8" t="s">
        <v>99</v>
      </c>
      <c r="J40" s="8" t="s">
        <v>420</v>
      </c>
      <c r="K40" s="8" t="s">
        <v>514</v>
      </c>
      <c r="L40" s="13" t="str">
        <f t="shared" si="1"/>
        <v>.</v>
      </c>
      <c r="M40" s="8" t="s">
        <v>514</v>
      </c>
    </row>
    <row r="41" spans="1:13" hidden="1" x14ac:dyDescent="0.45">
      <c r="A41" t="s">
        <v>13</v>
      </c>
      <c r="B41" t="s">
        <v>13</v>
      </c>
      <c r="C41">
        <v>0.21934156893715279</v>
      </c>
      <c r="D41">
        <v>0.8</v>
      </c>
      <c r="E41">
        <v>0.9820137760522224</v>
      </c>
      <c r="G41" t="str">
        <f t="shared" si="0"/>
        <v>.</v>
      </c>
      <c r="H41" s="9" t="s">
        <v>160</v>
      </c>
      <c r="I41" s="8" t="s">
        <v>161</v>
      </c>
      <c r="J41" s="8" t="s">
        <v>420</v>
      </c>
      <c r="L41" t="str">
        <f t="shared" si="1"/>
        <v>.</v>
      </c>
    </row>
    <row r="42" spans="1:13" hidden="1" x14ac:dyDescent="0.45">
      <c r="A42" t="s">
        <v>14</v>
      </c>
      <c r="B42" t="s">
        <v>14</v>
      </c>
      <c r="C42">
        <v>0.20072883862758301</v>
      </c>
      <c r="D42">
        <v>0.8</v>
      </c>
      <c r="E42">
        <v>0.99908895173900303</v>
      </c>
      <c r="G42" t="str">
        <f t="shared" si="0"/>
        <v>.</v>
      </c>
      <c r="H42" s="8" t="s">
        <v>162</v>
      </c>
      <c r="I42" s="8" t="s">
        <v>163</v>
      </c>
      <c r="J42" s="8" t="s">
        <v>425</v>
      </c>
      <c r="L42" t="str">
        <f t="shared" si="1"/>
        <v>.</v>
      </c>
    </row>
    <row r="43" spans="1:13" hidden="1" x14ac:dyDescent="0.45">
      <c r="A43" t="s">
        <v>10</v>
      </c>
      <c r="B43" t="s">
        <v>10</v>
      </c>
      <c r="C43">
        <v>0.2015414192339815</v>
      </c>
      <c r="D43">
        <v>0.8</v>
      </c>
      <c r="E43">
        <v>0.99807322600355197</v>
      </c>
      <c r="G43" t="str">
        <f t="shared" si="0"/>
        <v>.</v>
      </c>
      <c r="H43" s="8" t="s">
        <v>164</v>
      </c>
      <c r="I43" s="8" t="s">
        <v>99</v>
      </c>
      <c r="J43" s="8" t="s">
        <v>421</v>
      </c>
      <c r="L43" t="str">
        <f t="shared" si="1"/>
        <v>.</v>
      </c>
      <c r="M43" s="8" t="s">
        <v>514</v>
      </c>
    </row>
    <row r="44" spans="1:13" hidden="1" x14ac:dyDescent="0.45">
      <c r="A44" t="s">
        <v>12</v>
      </c>
      <c r="B44" t="s">
        <v>12</v>
      </c>
      <c r="C44">
        <v>0.20005994526037829</v>
      </c>
      <c r="D44">
        <v>0.8</v>
      </c>
      <c r="E44">
        <v>0.99992506849856422</v>
      </c>
      <c r="G44" t="str">
        <f t="shared" si="0"/>
        <v>.</v>
      </c>
      <c r="H44" s="8" t="s">
        <v>165</v>
      </c>
      <c r="I44" s="8" t="s">
        <v>166</v>
      </c>
      <c r="J44" s="8" t="s">
        <v>424</v>
      </c>
      <c r="L44" t="str">
        <f t="shared" si="1"/>
        <v>.</v>
      </c>
      <c r="M44" s="8" t="s">
        <v>515</v>
      </c>
    </row>
    <row r="45" spans="1:13" hidden="1" x14ac:dyDescent="0.45">
      <c r="A45" t="s">
        <v>13</v>
      </c>
      <c r="B45" t="s">
        <v>13</v>
      </c>
      <c r="C45">
        <v>0.206862157136151</v>
      </c>
      <c r="D45">
        <v>0.8</v>
      </c>
      <c r="E45">
        <v>0.99142231192149144</v>
      </c>
      <c r="G45" t="str">
        <f t="shared" si="0"/>
        <v>.</v>
      </c>
      <c r="H45" s="8" t="s">
        <v>167</v>
      </c>
      <c r="I45" s="8" t="s">
        <v>168</v>
      </c>
      <c r="J45" s="8" t="s">
        <v>420</v>
      </c>
      <c r="L45" t="str">
        <f t="shared" si="1"/>
        <v>.</v>
      </c>
    </row>
    <row r="46" spans="1:13" hidden="1" x14ac:dyDescent="0.45">
      <c r="A46" t="s">
        <v>10</v>
      </c>
      <c r="B46" t="s">
        <v>10</v>
      </c>
      <c r="C46">
        <v>0.99998664540412829</v>
      </c>
      <c r="D46">
        <v>0.8</v>
      </c>
      <c r="E46">
        <v>1.6701414089010929E-5</v>
      </c>
      <c r="G46" t="str">
        <f t="shared" si="0"/>
        <v>.</v>
      </c>
      <c r="H46" s="8" t="s">
        <v>169</v>
      </c>
      <c r="I46" s="8" t="s">
        <v>99</v>
      </c>
      <c r="J46" s="8" t="s">
        <v>421</v>
      </c>
      <c r="L46" s="13" t="str">
        <f t="shared" si="1"/>
        <v>NonID</v>
      </c>
      <c r="M46" s="8" t="s">
        <v>514</v>
      </c>
    </row>
    <row r="47" spans="1:13" hidden="1" x14ac:dyDescent="0.45">
      <c r="A47" t="s">
        <v>13</v>
      </c>
      <c r="B47" t="s">
        <v>13</v>
      </c>
      <c r="C47">
        <v>0.22345030902754359</v>
      </c>
      <c r="D47">
        <v>0.8</v>
      </c>
      <c r="E47">
        <v>0.97068713858475075</v>
      </c>
      <c r="G47" t="str">
        <f t="shared" si="0"/>
        <v>.</v>
      </c>
      <c r="H47" s="8" t="s">
        <v>170</v>
      </c>
      <c r="I47" s="8" t="s">
        <v>171</v>
      </c>
      <c r="J47" s="8" t="s">
        <v>420</v>
      </c>
      <c r="L47" t="str">
        <f t="shared" si="1"/>
        <v>.</v>
      </c>
      <c r="M47" s="8" t="s">
        <v>515</v>
      </c>
    </row>
    <row r="48" spans="1:13" hidden="1" x14ac:dyDescent="0.45">
      <c r="A48" t="s">
        <v>16</v>
      </c>
      <c r="B48" t="s">
        <v>16</v>
      </c>
      <c r="C48">
        <v>0.2000283819467725</v>
      </c>
      <c r="D48">
        <v>0.8</v>
      </c>
      <c r="E48">
        <v>0.99996452273258829</v>
      </c>
      <c r="G48" t="str">
        <f t="shared" si="0"/>
        <v>.</v>
      </c>
      <c r="H48" s="8" t="s">
        <v>172</v>
      </c>
      <c r="I48" s="8" t="s">
        <v>173</v>
      </c>
      <c r="J48" s="8" t="s">
        <v>428</v>
      </c>
      <c r="L48" t="str">
        <f t="shared" si="1"/>
        <v>.</v>
      </c>
      <c r="M48" s="8" t="s">
        <v>515</v>
      </c>
    </row>
    <row r="49" spans="1:13" hidden="1" x14ac:dyDescent="0.45">
      <c r="A49" t="s">
        <v>7</v>
      </c>
      <c r="B49" t="s">
        <v>7</v>
      </c>
      <c r="C49">
        <v>0.26174658380979249</v>
      </c>
      <c r="D49">
        <v>0.8</v>
      </c>
      <c r="E49">
        <v>0.92413993957478202</v>
      </c>
      <c r="G49" t="str">
        <f t="shared" si="0"/>
        <v>.</v>
      </c>
      <c r="H49" s="8" t="s">
        <v>174</v>
      </c>
      <c r="I49" s="8" t="s">
        <v>99</v>
      </c>
      <c r="J49" s="8" t="s">
        <v>418</v>
      </c>
      <c r="L49" t="str">
        <f t="shared" si="1"/>
        <v>.</v>
      </c>
      <c r="M49" s="8" t="s">
        <v>515</v>
      </c>
    </row>
    <row r="50" spans="1:13" hidden="1" x14ac:dyDescent="0.45">
      <c r="A50" t="s">
        <v>13</v>
      </c>
      <c r="B50" t="s">
        <v>13</v>
      </c>
      <c r="C50">
        <v>0.5020341492222995</v>
      </c>
      <c r="D50">
        <v>0.8</v>
      </c>
      <c r="E50">
        <v>0.62245888465685084</v>
      </c>
      <c r="G50" t="str">
        <f t="shared" si="0"/>
        <v>.</v>
      </c>
      <c r="H50" s="8" t="s">
        <v>175</v>
      </c>
      <c r="I50" s="8" t="s">
        <v>99</v>
      </c>
      <c r="J50" s="8" t="s">
        <v>420</v>
      </c>
      <c r="L50" t="str">
        <f t="shared" si="1"/>
        <v>.</v>
      </c>
      <c r="M50" s="8" t="s">
        <v>515</v>
      </c>
    </row>
    <row r="51" spans="1:13" hidden="1" x14ac:dyDescent="0.45">
      <c r="A51" t="s">
        <v>5</v>
      </c>
      <c r="B51" t="s">
        <v>5</v>
      </c>
      <c r="C51">
        <v>7.9418766907313199E-6</v>
      </c>
      <c r="D51">
        <v>1</v>
      </c>
      <c r="E51">
        <v>0.99999205818100989</v>
      </c>
      <c r="G51" t="str">
        <f t="shared" si="0"/>
        <v>.</v>
      </c>
      <c r="H51" s="8" t="s">
        <v>176</v>
      </c>
      <c r="I51" s="8" t="s">
        <v>177</v>
      </c>
      <c r="J51" s="8" t="s">
        <v>423</v>
      </c>
      <c r="L51" t="str">
        <f t="shared" si="1"/>
        <v>.</v>
      </c>
    </row>
    <row r="52" spans="1:13" hidden="1" x14ac:dyDescent="0.45">
      <c r="A52" t="s">
        <v>15</v>
      </c>
      <c r="B52" t="s">
        <v>15</v>
      </c>
      <c r="C52">
        <v>0.20006018133241929</v>
      </c>
      <c r="D52">
        <v>0.8</v>
      </c>
      <c r="E52">
        <v>0.99992506849856422</v>
      </c>
      <c r="G52" t="str">
        <f t="shared" si="0"/>
        <v>.</v>
      </c>
      <c r="H52" s="8" t="s">
        <v>178</v>
      </c>
      <c r="I52" s="8" t="s">
        <v>179</v>
      </c>
      <c r="J52" s="8" t="s">
        <v>426</v>
      </c>
      <c r="L52" t="str">
        <f t="shared" si="1"/>
        <v>.</v>
      </c>
      <c r="M52" t="s">
        <v>513</v>
      </c>
    </row>
    <row r="53" spans="1:13" hidden="1" x14ac:dyDescent="0.45">
      <c r="A53" t="s">
        <v>6</v>
      </c>
      <c r="B53" t="s">
        <v>6</v>
      </c>
      <c r="C53">
        <v>0.20016281574739911</v>
      </c>
      <c r="D53">
        <v>0.8</v>
      </c>
      <c r="E53">
        <v>0.99979648032432844</v>
      </c>
      <c r="G53" t="str">
        <f t="shared" si="0"/>
        <v>.</v>
      </c>
      <c r="H53" s="8" t="s">
        <v>180</v>
      </c>
      <c r="I53" s="8" t="s">
        <v>181</v>
      </c>
      <c r="J53" s="8" t="s">
        <v>417</v>
      </c>
      <c r="L53" t="str">
        <f t="shared" si="1"/>
        <v>.</v>
      </c>
      <c r="M53" s="8" t="s">
        <v>515</v>
      </c>
    </row>
    <row r="54" spans="1:13" hidden="1" x14ac:dyDescent="0.45">
      <c r="A54" t="s">
        <v>15</v>
      </c>
      <c r="B54" t="s">
        <v>15</v>
      </c>
      <c r="C54">
        <v>0.22987088346630219</v>
      </c>
      <c r="D54">
        <v>0.8</v>
      </c>
      <c r="E54">
        <v>0.96267167083151306</v>
      </c>
      <c r="G54" t="str">
        <f t="shared" si="0"/>
        <v>.</v>
      </c>
      <c r="H54" s="8" t="s">
        <v>182</v>
      </c>
      <c r="I54" s="8" t="s">
        <v>99</v>
      </c>
      <c r="J54" s="8" t="s">
        <v>426</v>
      </c>
      <c r="L54" t="str">
        <f t="shared" si="1"/>
        <v>.</v>
      </c>
      <c r="M54" s="8" t="s">
        <v>513</v>
      </c>
    </row>
    <row r="55" spans="1:13" hidden="1" x14ac:dyDescent="0.45">
      <c r="A55" t="s">
        <v>5</v>
      </c>
      <c r="B55" t="s">
        <v>5</v>
      </c>
      <c r="C55">
        <v>0.2298617768297638</v>
      </c>
      <c r="D55">
        <v>0.8</v>
      </c>
      <c r="E55">
        <v>0.96267277897766457</v>
      </c>
      <c r="G55" t="str">
        <f t="shared" si="0"/>
        <v>.</v>
      </c>
      <c r="H55" s="8" t="s">
        <v>183</v>
      </c>
      <c r="I55" s="8" t="s">
        <v>184</v>
      </c>
      <c r="J55" s="8" t="s">
        <v>416</v>
      </c>
      <c r="L55" t="str">
        <f t="shared" si="1"/>
        <v>.</v>
      </c>
      <c r="M55" s="8" t="s">
        <v>513</v>
      </c>
    </row>
    <row r="56" spans="1:13" hidden="1" x14ac:dyDescent="0.45">
      <c r="A56" t="s">
        <v>14</v>
      </c>
      <c r="B56" t="s">
        <v>14</v>
      </c>
      <c r="C56">
        <v>0.20154142285686771</v>
      </c>
      <c r="D56">
        <v>0.8</v>
      </c>
      <c r="E56">
        <v>0.99807322600355197</v>
      </c>
      <c r="G56" t="str">
        <f t="shared" si="0"/>
        <v>.</v>
      </c>
      <c r="H56" s="8" t="s">
        <v>185</v>
      </c>
      <c r="I56" s="8" t="s">
        <v>186</v>
      </c>
      <c r="J56" s="8" t="s">
        <v>425</v>
      </c>
      <c r="L56" t="str">
        <f t="shared" si="1"/>
        <v>.</v>
      </c>
    </row>
    <row r="57" spans="1:13" hidden="1" x14ac:dyDescent="0.45">
      <c r="A57" t="s">
        <v>7</v>
      </c>
      <c r="B57" t="s">
        <v>7</v>
      </c>
      <c r="C57">
        <v>0.2305299807301403</v>
      </c>
      <c r="D57">
        <v>0.8</v>
      </c>
      <c r="E57">
        <v>0.96267122613891776</v>
      </c>
      <c r="G57" t="str">
        <f t="shared" si="0"/>
        <v>.</v>
      </c>
      <c r="H57" s="8" t="s">
        <v>187</v>
      </c>
      <c r="I57" s="8" t="s">
        <v>99</v>
      </c>
      <c r="J57" s="8" t="s">
        <v>431</v>
      </c>
      <c r="L57" t="str">
        <f t="shared" si="1"/>
        <v>.</v>
      </c>
    </row>
    <row r="58" spans="1:13" hidden="1" x14ac:dyDescent="0.45">
      <c r="A58" t="s">
        <v>11</v>
      </c>
      <c r="B58" t="s">
        <v>11</v>
      </c>
      <c r="C58">
        <v>0.20034729721960559</v>
      </c>
      <c r="D58">
        <v>0.8</v>
      </c>
      <c r="E58">
        <v>0.99956942349659961</v>
      </c>
      <c r="G58" t="str">
        <f t="shared" si="0"/>
        <v>.</v>
      </c>
      <c r="H58" s="8" t="s">
        <v>188</v>
      </c>
      <c r="I58" s="8" t="s">
        <v>99</v>
      </c>
      <c r="J58" s="8" t="s">
        <v>422</v>
      </c>
      <c r="L58" t="str">
        <f t="shared" si="1"/>
        <v>.</v>
      </c>
    </row>
    <row r="59" spans="1:13" hidden="1" x14ac:dyDescent="0.45">
      <c r="A59" t="s">
        <v>6</v>
      </c>
      <c r="B59" t="s">
        <v>6</v>
      </c>
      <c r="C59">
        <v>0.20000149001206419</v>
      </c>
      <c r="D59">
        <v>0.8</v>
      </c>
      <c r="E59">
        <v>0.99999813753780198</v>
      </c>
      <c r="G59" t="str">
        <f t="shared" si="0"/>
        <v>.</v>
      </c>
      <c r="H59" s="8" t="s">
        <v>189</v>
      </c>
      <c r="I59" s="8" t="s">
        <v>190</v>
      </c>
      <c r="J59" s="8" t="s">
        <v>417</v>
      </c>
      <c r="L59" t="str">
        <f t="shared" si="1"/>
        <v>.</v>
      </c>
    </row>
    <row r="60" spans="1:13" hidden="1" x14ac:dyDescent="0.45">
      <c r="A60" t="s">
        <v>8</v>
      </c>
      <c r="B60" t="s">
        <v>8</v>
      </c>
      <c r="C60">
        <v>0.20002838303565529</v>
      </c>
      <c r="D60">
        <v>0.8</v>
      </c>
      <c r="E60">
        <v>0.99996452273258829</v>
      </c>
      <c r="G60" t="str">
        <f t="shared" si="0"/>
        <v>.</v>
      </c>
      <c r="H60" s="8" t="s">
        <v>191</v>
      </c>
      <c r="I60" s="8" t="s">
        <v>192</v>
      </c>
      <c r="J60" s="8" t="s">
        <v>427</v>
      </c>
      <c r="L60" t="str">
        <f t="shared" si="1"/>
        <v>.</v>
      </c>
    </row>
    <row r="61" spans="1:13" hidden="1" x14ac:dyDescent="0.45">
      <c r="A61" t="s">
        <v>17</v>
      </c>
      <c r="B61" t="s">
        <v>17</v>
      </c>
      <c r="C61">
        <v>0.20009896364790361</v>
      </c>
      <c r="D61">
        <v>0.8</v>
      </c>
      <c r="E61">
        <v>0.99987656475506059</v>
      </c>
      <c r="G61" t="str">
        <f t="shared" si="0"/>
        <v>.</v>
      </c>
      <c r="H61" s="8" t="s">
        <v>193</v>
      </c>
      <c r="I61" s="8" t="s">
        <v>99</v>
      </c>
      <c r="J61" s="8" t="s">
        <v>429</v>
      </c>
      <c r="L61" t="str">
        <f t="shared" si="1"/>
        <v>.</v>
      </c>
    </row>
    <row r="62" spans="1:13" hidden="1" x14ac:dyDescent="0.45">
      <c r="A62" t="s">
        <v>17</v>
      </c>
      <c r="B62" t="s">
        <v>17</v>
      </c>
      <c r="C62">
        <v>0.46091060737361522</v>
      </c>
      <c r="D62">
        <v>0.8</v>
      </c>
      <c r="E62">
        <v>0.99973869830781348</v>
      </c>
      <c r="G62" t="str">
        <f t="shared" si="0"/>
        <v>.</v>
      </c>
      <c r="H62" s="8" t="s">
        <v>194</v>
      </c>
      <c r="I62" s="8" t="s">
        <v>99</v>
      </c>
      <c r="J62" s="8" t="s">
        <v>429</v>
      </c>
      <c r="L62" t="str">
        <f t="shared" si="1"/>
        <v>.</v>
      </c>
    </row>
    <row r="63" spans="1:13" hidden="1" x14ac:dyDescent="0.45">
      <c r="A63" t="s">
        <v>8</v>
      </c>
      <c r="B63" t="s">
        <v>8</v>
      </c>
      <c r="C63">
        <v>0.23794184033143151</v>
      </c>
      <c r="D63">
        <v>0.8</v>
      </c>
      <c r="E63">
        <v>0.95257269983851356</v>
      </c>
      <c r="G63" t="str">
        <f t="shared" si="0"/>
        <v>.</v>
      </c>
      <c r="H63" s="8" t="s">
        <v>195</v>
      </c>
      <c r="I63" s="8" t="s">
        <v>196</v>
      </c>
      <c r="J63" s="8" t="s">
        <v>419</v>
      </c>
      <c r="L63" t="str">
        <f t="shared" si="1"/>
        <v>.</v>
      </c>
    </row>
    <row r="64" spans="1:13" hidden="1" x14ac:dyDescent="0.45">
      <c r="A64" t="s">
        <v>15</v>
      </c>
      <c r="B64" t="s">
        <v>15</v>
      </c>
      <c r="C64">
        <v>0.20093563323319019</v>
      </c>
      <c r="D64">
        <v>0.8</v>
      </c>
      <c r="E64">
        <v>0.99883045900532441</v>
      </c>
      <c r="G64" t="str">
        <f t="shared" si="0"/>
        <v>.</v>
      </c>
      <c r="H64" s="8" t="s">
        <v>197</v>
      </c>
      <c r="I64" s="8" t="s">
        <v>198</v>
      </c>
      <c r="J64" s="8" t="s">
        <v>426</v>
      </c>
      <c r="L64" t="str">
        <f t="shared" si="1"/>
        <v>.</v>
      </c>
    </row>
    <row r="65" spans="1:12" hidden="1" x14ac:dyDescent="0.45">
      <c r="A65" t="s">
        <v>7</v>
      </c>
      <c r="B65" t="s">
        <v>7</v>
      </c>
      <c r="C65">
        <v>0.21125113120886671</v>
      </c>
      <c r="D65">
        <v>0.8</v>
      </c>
      <c r="E65">
        <v>0.98593608654391374</v>
      </c>
      <c r="G65" t="str">
        <f t="shared" si="0"/>
        <v>.</v>
      </c>
      <c r="H65" s="8" t="s">
        <v>199</v>
      </c>
      <c r="I65" s="8" t="s">
        <v>200</v>
      </c>
      <c r="J65" s="8" t="s">
        <v>418</v>
      </c>
      <c r="L65" t="str">
        <f t="shared" si="1"/>
        <v>.</v>
      </c>
    </row>
    <row r="66" spans="1:12" hidden="1" x14ac:dyDescent="0.45">
      <c r="A66" t="s">
        <v>15</v>
      </c>
      <c r="B66" t="s">
        <v>15</v>
      </c>
      <c r="C66">
        <v>0.20072883882091591</v>
      </c>
      <c r="D66">
        <v>0.8</v>
      </c>
      <c r="E66">
        <v>0.99908895173900303</v>
      </c>
      <c r="G66" t="str">
        <f t="shared" si="0"/>
        <v>.</v>
      </c>
      <c r="H66" s="8" t="s">
        <v>201</v>
      </c>
      <c r="I66" s="8" t="s">
        <v>202</v>
      </c>
      <c r="J66" s="8" t="s">
        <v>426</v>
      </c>
      <c r="L66" t="str">
        <f t="shared" si="1"/>
        <v>.</v>
      </c>
    </row>
    <row r="67" spans="1:12" hidden="1" x14ac:dyDescent="0.45">
      <c r="A67" t="s">
        <v>15</v>
      </c>
      <c r="B67" t="s">
        <v>15</v>
      </c>
      <c r="C67">
        <v>0.22986275229554759</v>
      </c>
      <c r="D67">
        <v>0.8</v>
      </c>
      <c r="E67">
        <v>0.96267155965834494</v>
      </c>
      <c r="G67" t="str">
        <f t="shared" ref="G67:G130" si="2">IF(A67=B67,".","W")</f>
        <v>.</v>
      </c>
      <c r="H67" s="8" t="s">
        <v>203</v>
      </c>
      <c r="I67" s="8" t="s">
        <v>99</v>
      </c>
      <c r="J67" s="8" t="s">
        <v>426</v>
      </c>
      <c r="L67" t="str">
        <f t="shared" ref="L67:L130" si="3">IF(C67&lt;=$L$1,".","NonID")</f>
        <v>.</v>
      </c>
    </row>
    <row r="68" spans="1:12" hidden="1" x14ac:dyDescent="0.45">
      <c r="A68" t="s">
        <v>19</v>
      </c>
      <c r="B68" t="s">
        <v>8</v>
      </c>
      <c r="C68">
        <v>0.98161811949277955</v>
      </c>
      <c r="D68">
        <v>0.8</v>
      </c>
      <c r="E68">
        <v>2.2977350978354839E-2</v>
      </c>
      <c r="G68" t="str">
        <f t="shared" si="2"/>
        <v>W</v>
      </c>
      <c r="H68" s="8" t="s">
        <v>204</v>
      </c>
      <c r="I68" s="8" t="s">
        <v>205</v>
      </c>
      <c r="J68" s="8" t="s">
        <v>432</v>
      </c>
      <c r="L68" t="str">
        <f t="shared" si="3"/>
        <v>NonID</v>
      </c>
    </row>
    <row r="69" spans="1:12" hidden="1" x14ac:dyDescent="0.45">
      <c r="A69" t="s">
        <v>20</v>
      </c>
      <c r="B69" t="s">
        <v>20</v>
      </c>
      <c r="C69">
        <v>0.34894267893987652</v>
      </c>
      <c r="D69">
        <v>0.8</v>
      </c>
      <c r="E69">
        <v>0.851952557223148</v>
      </c>
      <c r="G69" t="str">
        <f t="shared" si="2"/>
        <v>.</v>
      </c>
      <c r="H69" s="8" t="s">
        <v>206</v>
      </c>
      <c r="I69" s="8" t="s">
        <v>207</v>
      </c>
      <c r="J69" s="8" t="s">
        <v>433</v>
      </c>
      <c r="L69" t="str">
        <f t="shared" si="3"/>
        <v>.</v>
      </c>
    </row>
    <row r="70" spans="1:12" hidden="1" x14ac:dyDescent="0.45">
      <c r="A70" t="s">
        <v>13</v>
      </c>
      <c r="B70" t="s">
        <v>13</v>
      </c>
      <c r="C70">
        <v>0.33377096535046158</v>
      </c>
      <c r="D70">
        <v>0.8</v>
      </c>
      <c r="E70">
        <v>0.90464760089660889</v>
      </c>
      <c r="G70" t="str">
        <f t="shared" si="2"/>
        <v>.</v>
      </c>
      <c r="H70" s="8" t="s">
        <v>208</v>
      </c>
      <c r="I70" s="8" t="s">
        <v>99</v>
      </c>
      <c r="J70" s="8" t="s">
        <v>420</v>
      </c>
      <c r="L70" t="str">
        <f t="shared" si="3"/>
        <v>.</v>
      </c>
    </row>
    <row r="71" spans="1:12" hidden="1" x14ac:dyDescent="0.45">
      <c r="A71" t="s">
        <v>6</v>
      </c>
      <c r="B71" t="s">
        <v>6</v>
      </c>
      <c r="C71">
        <v>0.20001722471104549</v>
      </c>
      <c r="D71">
        <v>0.8</v>
      </c>
      <c r="E71">
        <v>0.99997846916345023</v>
      </c>
      <c r="G71" t="str">
        <f t="shared" si="2"/>
        <v>.</v>
      </c>
      <c r="H71" s="8" t="s">
        <v>209</v>
      </c>
      <c r="I71" s="8" t="s">
        <v>210</v>
      </c>
      <c r="J71" s="8" t="s">
        <v>417</v>
      </c>
      <c r="L71" t="str">
        <f t="shared" si="3"/>
        <v>.</v>
      </c>
    </row>
    <row r="72" spans="1:12" hidden="1" x14ac:dyDescent="0.45">
      <c r="A72" t="s">
        <v>8</v>
      </c>
      <c r="B72" t="s">
        <v>8</v>
      </c>
      <c r="C72">
        <v>0.2015419524696794</v>
      </c>
      <c r="D72">
        <v>0.8</v>
      </c>
      <c r="E72">
        <v>0.99807322600355197</v>
      </c>
      <c r="G72" t="str">
        <f t="shared" si="2"/>
        <v>.</v>
      </c>
      <c r="H72" s="8" t="s">
        <v>211</v>
      </c>
      <c r="I72" s="8" t="s">
        <v>212</v>
      </c>
      <c r="J72" s="8" t="s">
        <v>427</v>
      </c>
      <c r="L72" t="str">
        <f t="shared" si="3"/>
        <v>.</v>
      </c>
    </row>
    <row r="73" spans="1:12" hidden="1" x14ac:dyDescent="0.45">
      <c r="A73" t="s">
        <v>5</v>
      </c>
      <c r="B73" t="s">
        <v>5</v>
      </c>
      <c r="C73">
        <v>0.20417616805293451</v>
      </c>
      <c r="D73">
        <v>0.8</v>
      </c>
      <c r="E73">
        <v>0.99477978997431815</v>
      </c>
      <c r="G73" t="str">
        <f t="shared" si="2"/>
        <v>.</v>
      </c>
      <c r="H73" s="8" t="s">
        <v>213</v>
      </c>
      <c r="I73" s="8" t="s">
        <v>214</v>
      </c>
      <c r="J73" s="8" t="s">
        <v>416</v>
      </c>
      <c r="L73" t="str">
        <f t="shared" si="3"/>
        <v>.</v>
      </c>
    </row>
    <row r="74" spans="1:12" hidden="1" x14ac:dyDescent="0.45">
      <c r="A74" t="s">
        <v>17</v>
      </c>
      <c r="B74" t="s">
        <v>17</v>
      </c>
      <c r="C74">
        <v>0.2812233270288661</v>
      </c>
      <c r="D74">
        <v>0.8</v>
      </c>
      <c r="E74">
        <v>0.9046501419366757</v>
      </c>
      <c r="G74" t="str">
        <f t="shared" si="2"/>
        <v>.</v>
      </c>
      <c r="H74" s="8" t="s">
        <v>215</v>
      </c>
      <c r="I74" s="8" t="s">
        <v>99</v>
      </c>
      <c r="J74" s="8" t="s">
        <v>429</v>
      </c>
      <c r="L74" t="str">
        <f t="shared" si="3"/>
        <v>.</v>
      </c>
    </row>
    <row r="75" spans="1:12" hidden="1" x14ac:dyDescent="0.45">
      <c r="A75" t="s">
        <v>13</v>
      </c>
      <c r="B75" t="s">
        <v>13</v>
      </c>
      <c r="C75">
        <v>0.21950537788804139</v>
      </c>
      <c r="D75">
        <v>0.8</v>
      </c>
      <c r="E75">
        <v>0.97702261672772872</v>
      </c>
      <c r="G75" t="str">
        <f t="shared" si="2"/>
        <v>.</v>
      </c>
      <c r="H75" s="8" t="s">
        <v>216</v>
      </c>
      <c r="I75" s="8" t="s">
        <v>99</v>
      </c>
      <c r="J75" s="8" t="s">
        <v>420</v>
      </c>
      <c r="L75" t="str">
        <f t="shared" si="3"/>
        <v>.</v>
      </c>
    </row>
    <row r="76" spans="1:12" hidden="1" x14ac:dyDescent="0.45">
      <c r="A76" t="s">
        <v>21</v>
      </c>
      <c r="B76" t="s">
        <v>21</v>
      </c>
      <c r="C76">
        <v>0.20197807808008481</v>
      </c>
      <c r="D76">
        <v>0.8</v>
      </c>
      <c r="E76">
        <v>0.99752740325115785</v>
      </c>
      <c r="G76" t="str">
        <f t="shared" si="2"/>
        <v>.</v>
      </c>
      <c r="H76" s="8" t="s">
        <v>217</v>
      </c>
      <c r="I76" s="8" t="s">
        <v>218</v>
      </c>
      <c r="J76" s="8" t="s">
        <v>434</v>
      </c>
      <c r="L76" t="str">
        <f t="shared" si="3"/>
        <v>.</v>
      </c>
    </row>
    <row r="77" spans="1:12" hidden="1" x14ac:dyDescent="0.45">
      <c r="A77" t="s">
        <v>15</v>
      </c>
      <c r="B77" t="s">
        <v>15</v>
      </c>
      <c r="C77">
        <v>0.20417617411810449</v>
      </c>
      <c r="D77">
        <v>0.8</v>
      </c>
      <c r="E77">
        <v>0.99477978997431815</v>
      </c>
      <c r="G77" t="str">
        <f t="shared" si="2"/>
        <v>.</v>
      </c>
      <c r="H77" s="8" t="s">
        <v>219</v>
      </c>
      <c r="I77" s="8" t="s">
        <v>220</v>
      </c>
      <c r="J77" s="8" t="s">
        <v>426</v>
      </c>
      <c r="L77" t="str">
        <f t="shared" si="3"/>
        <v>.</v>
      </c>
    </row>
    <row r="78" spans="1:12" hidden="1" x14ac:dyDescent="0.45">
      <c r="A78" t="s">
        <v>17</v>
      </c>
      <c r="B78" t="s">
        <v>17</v>
      </c>
      <c r="C78">
        <v>0.20009876568420629</v>
      </c>
      <c r="D78">
        <v>0.8</v>
      </c>
      <c r="E78">
        <v>0.99987656475506059</v>
      </c>
      <c r="G78" t="str">
        <f t="shared" si="2"/>
        <v>.</v>
      </c>
      <c r="H78" s="8" t="s">
        <v>221</v>
      </c>
      <c r="I78" s="8" t="s">
        <v>222</v>
      </c>
      <c r="J78" s="8" t="s">
        <v>429</v>
      </c>
      <c r="L78" t="str">
        <f t="shared" si="3"/>
        <v>.</v>
      </c>
    </row>
    <row r="79" spans="1:12" hidden="1" x14ac:dyDescent="0.45">
      <c r="A79" t="s">
        <v>17</v>
      </c>
      <c r="B79" t="s">
        <v>17</v>
      </c>
      <c r="C79">
        <v>0.20253814312020929</v>
      </c>
      <c r="D79">
        <v>0.8</v>
      </c>
      <c r="E79">
        <v>0.99682732998531542</v>
      </c>
      <c r="G79" t="str">
        <f t="shared" si="2"/>
        <v>.</v>
      </c>
      <c r="H79" s="8" t="s">
        <v>223</v>
      </c>
      <c r="I79" s="8" t="s">
        <v>224</v>
      </c>
      <c r="J79" s="8" t="s">
        <v>429</v>
      </c>
      <c r="L79" t="str">
        <f t="shared" si="3"/>
        <v>.</v>
      </c>
    </row>
    <row r="80" spans="1:12" hidden="1" x14ac:dyDescent="0.45">
      <c r="A80" t="s">
        <v>17</v>
      </c>
      <c r="B80" t="s">
        <v>17</v>
      </c>
      <c r="C80">
        <v>0.20018373425963951</v>
      </c>
      <c r="D80">
        <v>0.8</v>
      </c>
      <c r="E80">
        <v>0.99984152748927191</v>
      </c>
      <c r="G80" t="str">
        <f t="shared" si="2"/>
        <v>.</v>
      </c>
      <c r="H80" s="8" t="s">
        <v>225</v>
      </c>
      <c r="I80" s="8" t="s">
        <v>226</v>
      </c>
      <c r="J80" s="8" t="s">
        <v>429</v>
      </c>
      <c r="L80" t="str">
        <f t="shared" si="3"/>
        <v>.</v>
      </c>
    </row>
    <row r="81" spans="1:13" hidden="1" x14ac:dyDescent="0.45">
      <c r="A81" t="s">
        <v>6</v>
      </c>
      <c r="B81" t="s">
        <v>6</v>
      </c>
      <c r="C81">
        <v>0.20001341036355319</v>
      </c>
      <c r="D81">
        <v>0.8</v>
      </c>
      <c r="E81">
        <v>0.99998323721818272</v>
      </c>
      <c r="G81" t="str">
        <f t="shared" si="2"/>
        <v>.</v>
      </c>
      <c r="H81" s="8" t="s">
        <v>227</v>
      </c>
      <c r="I81" s="8" t="s">
        <v>228</v>
      </c>
      <c r="J81" s="8" t="s">
        <v>417</v>
      </c>
      <c r="L81" t="str">
        <f t="shared" si="3"/>
        <v>.</v>
      </c>
    </row>
    <row r="82" spans="1:13" hidden="1" x14ac:dyDescent="0.45">
      <c r="A82" t="s">
        <v>13</v>
      </c>
      <c r="B82" t="s">
        <v>13</v>
      </c>
      <c r="C82">
        <v>0.200935638264927</v>
      </c>
      <c r="D82">
        <v>0.8</v>
      </c>
      <c r="E82">
        <v>0.99883045900532441</v>
      </c>
      <c r="G82" t="str">
        <f t="shared" si="2"/>
        <v>.</v>
      </c>
      <c r="H82" s="8" t="s">
        <v>229</v>
      </c>
      <c r="I82" s="8" t="s">
        <v>230</v>
      </c>
      <c r="J82" s="8" t="s">
        <v>420</v>
      </c>
      <c r="L82" t="str">
        <f t="shared" si="3"/>
        <v>.</v>
      </c>
    </row>
    <row r="83" spans="1:13" hidden="1" x14ac:dyDescent="0.45">
      <c r="A83" t="s">
        <v>8</v>
      </c>
      <c r="B83" t="s">
        <v>8</v>
      </c>
      <c r="C83">
        <v>0.23794088674742259</v>
      </c>
      <c r="D83">
        <v>0.8</v>
      </c>
      <c r="E83">
        <v>0.95257389217216504</v>
      </c>
      <c r="G83" t="str">
        <f t="shared" si="2"/>
        <v>.</v>
      </c>
      <c r="H83" s="8" t="s">
        <v>231</v>
      </c>
      <c r="I83" s="8" t="s">
        <v>232</v>
      </c>
      <c r="J83" s="8" t="s">
        <v>419</v>
      </c>
      <c r="L83" t="str">
        <f t="shared" si="3"/>
        <v>.</v>
      </c>
    </row>
    <row r="84" spans="1:13" hidden="1" x14ac:dyDescent="0.45">
      <c r="A84" t="s">
        <v>14</v>
      </c>
      <c r="B84" t="s">
        <v>14</v>
      </c>
      <c r="C84">
        <v>0.20253813681107249</v>
      </c>
      <c r="D84">
        <v>0.8</v>
      </c>
      <c r="E84">
        <v>0.99682732998531542</v>
      </c>
      <c r="G84" t="str">
        <f t="shared" si="2"/>
        <v>.</v>
      </c>
      <c r="H84" s="8" t="s">
        <v>233</v>
      </c>
      <c r="I84" s="8" t="s">
        <v>234</v>
      </c>
      <c r="J84" s="8" t="s">
        <v>425</v>
      </c>
      <c r="L84" t="str">
        <f t="shared" si="3"/>
        <v>.</v>
      </c>
    </row>
    <row r="85" spans="1:13" hidden="1" x14ac:dyDescent="0.45">
      <c r="A85" t="s">
        <v>16</v>
      </c>
      <c r="B85" t="s">
        <v>16</v>
      </c>
      <c r="C85">
        <v>0.20120098564242231</v>
      </c>
      <c r="D85">
        <v>0.8</v>
      </c>
      <c r="E85">
        <v>0.99849876799337189</v>
      </c>
      <c r="G85" t="str">
        <f t="shared" si="2"/>
        <v>.</v>
      </c>
      <c r="H85" s="8" t="s">
        <v>235</v>
      </c>
      <c r="I85" s="8" t="s">
        <v>99</v>
      </c>
      <c r="J85" s="8" t="s">
        <v>428</v>
      </c>
      <c r="L85" t="str">
        <f t="shared" si="3"/>
        <v>.</v>
      </c>
    </row>
    <row r="86" spans="1:13" hidden="1" x14ac:dyDescent="0.45">
      <c r="A86" t="s">
        <v>11</v>
      </c>
      <c r="B86" t="s">
        <v>11</v>
      </c>
      <c r="C86">
        <v>0.20034446151149901</v>
      </c>
      <c r="D86">
        <v>0.8</v>
      </c>
      <c r="E86">
        <v>0.99956942349659961</v>
      </c>
      <c r="G86" t="str">
        <f t="shared" si="2"/>
        <v>.</v>
      </c>
      <c r="H86" s="8" t="s">
        <v>236</v>
      </c>
      <c r="I86" s="8" t="s">
        <v>237</v>
      </c>
      <c r="J86" s="8" t="s">
        <v>422</v>
      </c>
      <c r="L86" t="str">
        <f t="shared" si="3"/>
        <v>.</v>
      </c>
    </row>
    <row r="87" spans="1:13" hidden="1" x14ac:dyDescent="0.45">
      <c r="A87" t="s">
        <v>5</v>
      </c>
      <c r="B87" t="s">
        <v>5</v>
      </c>
      <c r="C87">
        <v>0.96205932751312651</v>
      </c>
      <c r="D87">
        <v>0.8</v>
      </c>
      <c r="E87">
        <v>4.7425840647360419E-2</v>
      </c>
      <c r="G87" t="str">
        <f t="shared" si="2"/>
        <v>.</v>
      </c>
      <c r="H87" s="8" t="s">
        <v>238</v>
      </c>
      <c r="I87" s="8" t="s">
        <v>239</v>
      </c>
      <c r="J87" s="8" t="s">
        <v>435</v>
      </c>
      <c r="L87" s="13" t="str">
        <f t="shared" si="3"/>
        <v>.</v>
      </c>
      <c r="M87" t="s">
        <v>513</v>
      </c>
    </row>
    <row r="88" spans="1:13" x14ac:dyDescent="0.45">
      <c r="A88" t="s">
        <v>10</v>
      </c>
      <c r="B88" t="s">
        <v>18</v>
      </c>
      <c r="C88">
        <v>1</v>
      </c>
      <c r="D88">
        <v>0.8</v>
      </c>
      <c r="E88">
        <v>1.0986931105910241E-2</v>
      </c>
      <c r="G88" t="str">
        <f t="shared" si="2"/>
        <v>W</v>
      </c>
      <c r="H88" s="8" t="s">
        <v>240</v>
      </c>
      <c r="I88" s="8" t="s">
        <v>99</v>
      </c>
      <c r="J88" s="8" t="s">
        <v>421</v>
      </c>
      <c r="K88" s="8" t="s">
        <v>514</v>
      </c>
      <c r="L88" s="13" t="str">
        <f t="shared" si="3"/>
        <v>NonID</v>
      </c>
      <c r="M88" s="8" t="s">
        <v>514</v>
      </c>
    </row>
    <row r="89" spans="1:13" hidden="1" x14ac:dyDescent="0.45">
      <c r="A89" t="s">
        <v>7</v>
      </c>
      <c r="B89" t="s">
        <v>7</v>
      </c>
      <c r="C89">
        <v>0.2143889791753362</v>
      </c>
      <c r="D89">
        <v>0.8</v>
      </c>
      <c r="E89">
        <v>0.9820137760522224</v>
      </c>
      <c r="G89" t="str">
        <f t="shared" si="2"/>
        <v>.</v>
      </c>
      <c r="H89" s="8" t="s">
        <v>241</v>
      </c>
      <c r="I89" s="8" t="s">
        <v>242</v>
      </c>
      <c r="J89" s="8" t="s">
        <v>418</v>
      </c>
      <c r="L89" t="str">
        <f t="shared" si="3"/>
        <v>.</v>
      </c>
      <c r="M89" s="8" t="s">
        <v>515</v>
      </c>
    </row>
    <row r="90" spans="1:13" hidden="1" x14ac:dyDescent="0.45">
      <c r="A90" t="s">
        <v>20</v>
      </c>
      <c r="B90" t="s">
        <v>20</v>
      </c>
      <c r="C90">
        <v>0.2016168441506638</v>
      </c>
      <c r="D90">
        <v>0.8</v>
      </c>
      <c r="E90">
        <v>0.99908895173900303</v>
      </c>
      <c r="G90" t="str">
        <f t="shared" si="2"/>
        <v>.</v>
      </c>
      <c r="H90" s="8" t="s">
        <v>243</v>
      </c>
      <c r="I90" s="8" t="s">
        <v>244</v>
      </c>
      <c r="J90" s="8" t="s">
        <v>433</v>
      </c>
      <c r="L90" t="str">
        <f t="shared" si="3"/>
        <v>.</v>
      </c>
    </row>
    <row r="91" spans="1:13" hidden="1" x14ac:dyDescent="0.45">
      <c r="A91" t="s">
        <v>13</v>
      </c>
      <c r="B91" t="s">
        <v>13</v>
      </c>
      <c r="C91">
        <v>0.2007288905377671</v>
      </c>
      <c r="D91">
        <v>0.8</v>
      </c>
      <c r="E91">
        <v>0.99908895173900303</v>
      </c>
      <c r="G91" t="str">
        <f t="shared" si="2"/>
        <v>.</v>
      </c>
      <c r="H91" s="8" t="s">
        <v>245</v>
      </c>
      <c r="I91" s="8" t="s">
        <v>246</v>
      </c>
      <c r="J91" s="8" t="s">
        <v>420</v>
      </c>
      <c r="L91" t="str">
        <f t="shared" si="3"/>
        <v>.</v>
      </c>
    </row>
    <row r="92" spans="1:13" hidden="1" x14ac:dyDescent="0.45">
      <c r="A92" t="s">
        <v>5</v>
      </c>
      <c r="B92" t="s">
        <v>5</v>
      </c>
      <c r="C92">
        <v>0.2298625744010514</v>
      </c>
      <c r="D92">
        <v>0.8</v>
      </c>
      <c r="E92">
        <v>0.96267178200469405</v>
      </c>
      <c r="G92" t="str">
        <f t="shared" si="2"/>
        <v>.</v>
      </c>
      <c r="H92" s="8" t="s">
        <v>247</v>
      </c>
      <c r="I92" s="8" t="s">
        <v>248</v>
      </c>
      <c r="J92" s="8" t="s">
        <v>416</v>
      </c>
      <c r="L92" t="str">
        <f t="shared" si="3"/>
        <v>.</v>
      </c>
    </row>
    <row r="93" spans="1:13" hidden="1" x14ac:dyDescent="0.45">
      <c r="A93" t="s">
        <v>13</v>
      </c>
      <c r="B93" t="s">
        <v>13</v>
      </c>
      <c r="C93">
        <v>0.20253813732572909</v>
      </c>
      <c r="D93">
        <v>0.8</v>
      </c>
      <c r="E93">
        <v>0.99682732998531542</v>
      </c>
      <c r="G93" t="str">
        <f t="shared" si="2"/>
        <v>.</v>
      </c>
      <c r="H93" s="8" t="s">
        <v>249</v>
      </c>
      <c r="I93" s="8" t="s">
        <v>250</v>
      </c>
      <c r="J93" s="8" t="s">
        <v>420</v>
      </c>
      <c r="L93" t="str">
        <f t="shared" si="3"/>
        <v>.</v>
      </c>
    </row>
    <row r="94" spans="1:13" hidden="1" x14ac:dyDescent="0.45">
      <c r="A94" t="s">
        <v>5</v>
      </c>
      <c r="B94" t="s">
        <v>5</v>
      </c>
      <c r="C94">
        <v>0.20878960960952839</v>
      </c>
      <c r="D94">
        <v>0.8</v>
      </c>
      <c r="E94">
        <v>0.98901298801575388</v>
      </c>
      <c r="G94" t="str">
        <f t="shared" si="2"/>
        <v>.</v>
      </c>
      <c r="H94" s="8" t="s">
        <v>251</v>
      </c>
      <c r="I94" s="8" t="s">
        <v>252</v>
      </c>
      <c r="J94" s="8" t="s">
        <v>416</v>
      </c>
      <c r="L94" t="str">
        <f t="shared" si="3"/>
        <v>.</v>
      </c>
    </row>
    <row r="95" spans="1:13" x14ac:dyDescent="0.45">
      <c r="A95" t="s">
        <v>13</v>
      </c>
      <c r="B95" t="s">
        <v>5</v>
      </c>
      <c r="C95">
        <v>0.95193072741136131</v>
      </c>
      <c r="D95">
        <v>0.8</v>
      </c>
      <c r="E95">
        <v>6.0086591530428023E-2</v>
      </c>
      <c r="G95" t="str">
        <f t="shared" si="2"/>
        <v>W</v>
      </c>
      <c r="H95" s="8" t="s">
        <v>253</v>
      </c>
      <c r="I95" s="8" t="s">
        <v>254</v>
      </c>
      <c r="J95" s="8" t="s">
        <v>420</v>
      </c>
      <c r="K95" s="8" t="s">
        <v>514</v>
      </c>
      <c r="L95" t="str">
        <f t="shared" si="3"/>
        <v>.</v>
      </c>
    </row>
    <row r="96" spans="1:13" hidden="1" x14ac:dyDescent="0.45">
      <c r="A96" t="s">
        <v>6</v>
      </c>
      <c r="B96" t="s">
        <v>6</v>
      </c>
      <c r="C96">
        <v>3.7697353336696442E-6</v>
      </c>
      <c r="D96">
        <v>1</v>
      </c>
      <c r="E96">
        <v>0.99999623028458018</v>
      </c>
      <c r="G96" t="str">
        <f t="shared" si="2"/>
        <v>.</v>
      </c>
      <c r="H96" s="8" t="s">
        <v>255</v>
      </c>
      <c r="I96" s="8" t="s">
        <v>256</v>
      </c>
      <c r="J96" s="8" t="s">
        <v>417</v>
      </c>
      <c r="L96" t="str">
        <f t="shared" si="3"/>
        <v>.</v>
      </c>
    </row>
    <row r="97" spans="1:13" hidden="1" x14ac:dyDescent="0.45">
      <c r="A97" t="s">
        <v>6</v>
      </c>
      <c r="B97" t="s">
        <v>6</v>
      </c>
      <c r="C97">
        <v>0.20000501839934809</v>
      </c>
      <c r="D97">
        <v>0.8</v>
      </c>
      <c r="E97">
        <v>0.99999372702007638</v>
      </c>
      <c r="G97" t="str">
        <f t="shared" si="2"/>
        <v>.</v>
      </c>
      <c r="H97" s="8" t="s">
        <v>257</v>
      </c>
      <c r="I97" s="8" t="s">
        <v>258</v>
      </c>
      <c r="J97" s="8" t="s">
        <v>417</v>
      </c>
      <c r="L97" t="str">
        <f t="shared" si="3"/>
        <v>.</v>
      </c>
    </row>
    <row r="98" spans="1:13" hidden="1" x14ac:dyDescent="0.45">
      <c r="A98" t="s">
        <v>13</v>
      </c>
      <c r="B98" t="s">
        <v>13</v>
      </c>
      <c r="C98">
        <v>0.32369685823306482</v>
      </c>
      <c r="D98">
        <v>0.8</v>
      </c>
      <c r="E98">
        <v>0.96267222669754615</v>
      </c>
      <c r="G98" t="str">
        <f t="shared" si="2"/>
        <v>.</v>
      </c>
      <c r="H98" s="8" t="s">
        <v>259</v>
      </c>
      <c r="I98" s="8" t="s">
        <v>99</v>
      </c>
      <c r="J98" s="8" t="s">
        <v>420</v>
      </c>
      <c r="L98" t="str">
        <f t="shared" si="3"/>
        <v>.</v>
      </c>
    </row>
    <row r="99" spans="1:13" hidden="1" x14ac:dyDescent="0.45">
      <c r="A99" t="s">
        <v>13</v>
      </c>
      <c r="B99" t="s">
        <v>13</v>
      </c>
      <c r="C99">
        <v>0.48767733522700979</v>
      </c>
      <c r="D99">
        <v>0.8</v>
      </c>
      <c r="E99">
        <v>0.97702261672772872</v>
      </c>
      <c r="G99" t="str">
        <f t="shared" si="2"/>
        <v>.</v>
      </c>
      <c r="H99" s="8" t="s">
        <v>260</v>
      </c>
      <c r="I99" s="8" t="s">
        <v>99</v>
      </c>
      <c r="J99" s="8" t="s">
        <v>420</v>
      </c>
      <c r="L99" t="str">
        <f t="shared" si="3"/>
        <v>.</v>
      </c>
    </row>
    <row r="100" spans="1:13" hidden="1" x14ac:dyDescent="0.45">
      <c r="A100" t="s">
        <v>7</v>
      </c>
      <c r="B100" t="s">
        <v>7</v>
      </c>
      <c r="C100">
        <v>0.20197808186471039</v>
      </c>
      <c r="D100">
        <v>0.8</v>
      </c>
      <c r="E100">
        <v>0.99752740325115785</v>
      </c>
      <c r="G100" t="str">
        <f t="shared" si="2"/>
        <v>.</v>
      </c>
      <c r="H100" s="8" t="s">
        <v>261</v>
      </c>
      <c r="I100" s="8" t="s">
        <v>262</v>
      </c>
      <c r="J100" s="8" t="s">
        <v>436</v>
      </c>
      <c r="L100" t="str">
        <f t="shared" si="3"/>
        <v>.</v>
      </c>
    </row>
    <row r="101" spans="1:13" hidden="1" x14ac:dyDescent="0.45">
      <c r="A101" t="s">
        <v>13</v>
      </c>
      <c r="B101" t="s">
        <v>13</v>
      </c>
      <c r="C101">
        <v>0.2103711843219794</v>
      </c>
      <c r="D101">
        <v>0.8</v>
      </c>
      <c r="E101">
        <v>0.99330712690641232</v>
      </c>
      <c r="G101" t="str">
        <f t="shared" si="2"/>
        <v>.</v>
      </c>
      <c r="H101" s="8" t="s">
        <v>263</v>
      </c>
      <c r="I101" s="8" t="s">
        <v>264</v>
      </c>
      <c r="J101" s="8" t="s">
        <v>420</v>
      </c>
      <c r="L101" t="str">
        <f t="shared" si="3"/>
        <v>.</v>
      </c>
    </row>
    <row r="102" spans="1:13" hidden="1" x14ac:dyDescent="0.45">
      <c r="A102" t="s">
        <v>17</v>
      </c>
      <c r="B102" t="s">
        <v>17</v>
      </c>
      <c r="C102">
        <v>0.2019780966503141</v>
      </c>
      <c r="D102">
        <v>0.8</v>
      </c>
      <c r="E102">
        <v>0.99752740325115785</v>
      </c>
      <c r="G102" t="str">
        <f t="shared" si="2"/>
        <v>.</v>
      </c>
      <c r="H102" s="8" t="s">
        <v>265</v>
      </c>
      <c r="I102" s="8" t="s">
        <v>266</v>
      </c>
      <c r="J102" s="8" t="s">
        <v>429</v>
      </c>
      <c r="L102" t="str">
        <f t="shared" si="3"/>
        <v>.</v>
      </c>
    </row>
    <row r="103" spans="1:13" hidden="1" x14ac:dyDescent="0.45">
      <c r="A103" t="s">
        <v>13</v>
      </c>
      <c r="B103" t="s">
        <v>13</v>
      </c>
      <c r="C103">
        <v>0.2184082090656205</v>
      </c>
      <c r="D103">
        <v>0.8</v>
      </c>
      <c r="E103">
        <v>0.97702216176622525</v>
      </c>
      <c r="G103" t="str">
        <f t="shared" si="2"/>
        <v>.</v>
      </c>
      <c r="H103" s="8" t="s">
        <v>267</v>
      </c>
      <c r="I103" s="8" t="s">
        <v>99</v>
      </c>
      <c r="J103" s="8" t="s">
        <v>420</v>
      </c>
      <c r="L103" t="str">
        <f t="shared" si="3"/>
        <v>.</v>
      </c>
    </row>
    <row r="104" spans="1:13" x14ac:dyDescent="0.45">
      <c r="A104" t="s">
        <v>13</v>
      </c>
      <c r="B104" t="s">
        <v>18</v>
      </c>
      <c r="C104">
        <v>0.76000202999893141</v>
      </c>
      <c r="D104">
        <v>0.8</v>
      </c>
      <c r="E104">
        <v>0.49999505188664051</v>
      </c>
      <c r="G104" t="str">
        <f t="shared" si="2"/>
        <v>W</v>
      </c>
      <c r="H104" s="8" t="s">
        <v>268</v>
      </c>
      <c r="I104" s="8" t="s">
        <v>99</v>
      </c>
      <c r="J104" s="8" t="s">
        <v>420</v>
      </c>
      <c r="K104" s="8" t="s">
        <v>514</v>
      </c>
      <c r="L104" t="str">
        <f t="shared" si="3"/>
        <v>.</v>
      </c>
    </row>
    <row r="105" spans="1:13" hidden="1" x14ac:dyDescent="0.45">
      <c r="A105" t="s">
        <v>5</v>
      </c>
      <c r="B105" t="s">
        <v>5</v>
      </c>
      <c r="C105">
        <v>0.2234499290596019</v>
      </c>
      <c r="D105">
        <v>0.8</v>
      </c>
      <c r="E105">
        <v>0.97068758878823203</v>
      </c>
      <c r="G105" t="str">
        <f t="shared" si="2"/>
        <v>.</v>
      </c>
      <c r="H105" s="8" t="s">
        <v>269</v>
      </c>
      <c r="I105" s="8" t="s">
        <v>270</v>
      </c>
      <c r="J105" s="8" t="s">
        <v>416</v>
      </c>
      <c r="L105" t="str">
        <f t="shared" si="3"/>
        <v>.</v>
      </c>
    </row>
    <row r="106" spans="1:13" hidden="1" x14ac:dyDescent="0.45">
      <c r="A106" t="s">
        <v>13</v>
      </c>
      <c r="B106" t="s">
        <v>13</v>
      </c>
      <c r="C106">
        <v>0.35239335640874492</v>
      </c>
      <c r="D106">
        <v>0.8</v>
      </c>
      <c r="E106">
        <v>0.81757402884027097</v>
      </c>
      <c r="G106" t="str">
        <f t="shared" si="2"/>
        <v>.</v>
      </c>
      <c r="H106" s="8" t="s">
        <v>271</v>
      </c>
      <c r="I106" s="8" t="s">
        <v>99</v>
      </c>
      <c r="J106" s="8" t="s">
        <v>420</v>
      </c>
      <c r="L106" t="str">
        <f t="shared" si="3"/>
        <v>.</v>
      </c>
    </row>
    <row r="107" spans="1:13" hidden="1" x14ac:dyDescent="0.45">
      <c r="A107" t="s">
        <v>15</v>
      </c>
      <c r="B107" t="s">
        <v>15</v>
      </c>
      <c r="C107">
        <v>0.2025381396016758</v>
      </c>
      <c r="D107">
        <v>0.8</v>
      </c>
      <c r="E107">
        <v>0.99682732998531542</v>
      </c>
      <c r="G107" t="str">
        <f t="shared" si="2"/>
        <v>.</v>
      </c>
      <c r="H107" s="8" t="s">
        <v>272</v>
      </c>
      <c r="I107" s="8" t="s">
        <v>273</v>
      </c>
      <c r="J107" s="8" t="s">
        <v>426</v>
      </c>
      <c r="L107" t="str">
        <f t="shared" si="3"/>
        <v>.</v>
      </c>
    </row>
    <row r="108" spans="1:13" x14ac:dyDescent="0.45">
      <c r="A108" t="s">
        <v>10</v>
      </c>
      <c r="B108" t="s">
        <v>18</v>
      </c>
      <c r="C108">
        <v>1</v>
      </c>
      <c r="D108">
        <v>0.8</v>
      </c>
      <c r="E108">
        <v>2.9312190905031461E-2</v>
      </c>
      <c r="G108" t="str">
        <f t="shared" si="2"/>
        <v>W</v>
      </c>
      <c r="H108" s="8" t="s">
        <v>274</v>
      </c>
      <c r="I108" s="8" t="s">
        <v>99</v>
      </c>
      <c r="J108" s="8" t="s">
        <v>421</v>
      </c>
      <c r="K108" s="8" t="s">
        <v>514</v>
      </c>
      <c r="L108" s="13" t="str">
        <f t="shared" si="3"/>
        <v>NonID</v>
      </c>
      <c r="M108" s="8" t="s">
        <v>514</v>
      </c>
    </row>
    <row r="109" spans="1:13" hidden="1" x14ac:dyDescent="0.45">
      <c r="A109" t="s">
        <v>15</v>
      </c>
      <c r="B109" t="s">
        <v>15</v>
      </c>
      <c r="C109">
        <v>0.20034457208665751</v>
      </c>
      <c r="D109">
        <v>0.8</v>
      </c>
      <c r="E109">
        <v>0.99956942349659961</v>
      </c>
      <c r="G109" t="str">
        <f t="shared" si="2"/>
        <v>.</v>
      </c>
      <c r="H109" s="8" t="s">
        <v>275</v>
      </c>
      <c r="I109" s="8" t="s">
        <v>276</v>
      </c>
      <c r="J109" s="8" t="s">
        <v>426</v>
      </c>
      <c r="L109" t="str">
        <f t="shared" si="3"/>
        <v>.</v>
      </c>
    </row>
    <row r="110" spans="1:13" hidden="1" x14ac:dyDescent="0.45">
      <c r="A110" t="s">
        <v>22</v>
      </c>
      <c r="B110" t="s">
        <v>22</v>
      </c>
      <c r="C110">
        <v>0.20686205597796101</v>
      </c>
      <c r="D110">
        <v>0.8</v>
      </c>
      <c r="E110">
        <v>0.99142243010824804</v>
      </c>
      <c r="G110" t="str">
        <f t="shared" si="2"/>
        <v>.</v>
      </c>
      <c r="H110" s="8" t="s">
        <v>277</v>
      </c>
      <c r="I110" s="8" t="s">
        <v>278</v>
      </c>
      <c r="J110" s="8" t="s">
        <v>437</v>
      </c>
      <c r="L110" t="str">
        <f t="shared" si="3"/>
        <v>.</v>
      </c>
    </row>
    <row r="111" spans="1:13" hidden="1" x14ac:dyDescent="0.45">
      <c r="A111" t="s">
        <v>17</v>
      </c>
      <c r="B111" t="s">
        <v>17</v>
      </c>
      <c r="C111">
        <v>0.20003639294228781</v>
      </c>
      <c r="D111">
        <v>0.8</v>
      </c>
      <c r="E111">
        <v>0.99995451003057012</v>
      </c>
      <c r="G111" t="str">
        <f t="shared" si="2"/>
        <v>.</v>
      </c>
      <c r="H111" s="8" t="s">
        <v>279</v>
      </c>
      <c r="I111" s="8" t="s">
        <v>99</v>
      </c>
      <c r="J111" s="8" t="s">
        <v>429</v>
      </c>
      <c r="L111" t="str">
        <f t="shared" si="3"/>
        <v>.</v>
      </c>
    </row>
    <row r="112" spans="1:13" hidden="1" x14ac:dyDescent="0.45">
      <c r="A112" t="s">
        <v>7</v>
      </c>
      <c r="B112" t="s">
        <v>7</v>
      </c>
      <c r="C112">
        <v>0.20093563286129101</v>
      </c>
      <c r="D112">
        <v>0.8</v>
      </c>
      <c r="E112">
        <v>0.99883045900532441</v>
      </c>
      <c r="G112" t="str">
        <f t="shared" si="2"/>
        <v>.</v>
      </c>
      <c r="H112" s="8" t="s">
        <v>280</v>
      </c>
      <c r="I112" s="8" t="s">
        <v>281</v>
      </c>
      <c r="J112" s="8" t="s">
        <v>418</v>
      </c>
      <c r="L112" t="str">
        <f t="shared" si="3"/>
        <v>.</v>
      </c>
    </row>
    <row r="113" spans="1:13" hidden="1" x14ac:dyDescent="0.45">
      <c r="A113" t="s">
        <v>9</v>
      </c>
      <c r="B113" t="s">
        <v>5</v>
      </c>
      <c r="C113">
        <v>0.502033500820805</v>
      </c>
      <c r="D113">
        <v>0.8</v>
      </c>
      <c r="E113">
        <v>0.62245812407778101</v>
      </c>
      <c r="G113" t="str">
        <f t="shared" si="2"/>
        <v>W</v>
      </c>
      <c r="H113" s="8" t="s">
        <v>282</v>
      </c>
      <c r="I113" s="8" t="s">
        <v>99</v>
      </c>
      <c r="J113" s="8" t="s">
        <v>420</v>
      </c>
      <c r="L113" t="str">
        <f t="shared" si="3"/>
        <v>.</v>
      </c>
    </row>
    <row r="114" spans="1:13" x14ac:dyDescent="0.45">
      <c r="A114" t="s">
        <v>13</v>
      </c>
      <c r="B114" t="s">
        <v>18</v>
      </c>
      <c r="C114">
        <v>0.61778337781476433</v>
      </c>
      <c r="D114">
        <v>0.8</v>
      </c>
      <c r="E114">
        <v>0.77729949583014746</v>
      </c>
      <c r="G114" t="str">
        <f t="shared" si="2"/>
        <v>W</v>
      </c>
      <c r="H114" s="8" t="s">
        <v>283</v>
      </c>
      <c r="I114" s="8" t="s">
        <v>99</v>
      </c>
      <c r="J114" s="8" t="s">
        <v>420</v>
      </c>
      <c r="K114" s="8" t="s">
        <v>514</v>
      </c>
      <c r="L114" t="str">
        <f t="shared" si="3"/>
        <v>.</v>
      </c>
    </row>
    <row r="115" spans="1:13" hidden="1" x14ac:dyDescent="0.45">
      <c r="A115" t="s">
        <v>21</v>
      </c>
      <c r="B115" t="s">
        <v>21</v>
      </c>
      <c r="C115">
        <v>0.20000635393818469</v>
      </c>
      <c r="D115">
        <v>0.8</v>
      </c>
      <c r="E115">
        <v>0.99999205818100989</v>
      </c>
      <c r="G115" t="str">
        <f t="shared" si="2"/>
        <v>.</v>
      </c>
      <c r="H115" s="8" t="s">
        <v>284</v>
      </c>
      <c r="I115" s="8" t="s">
        <v>99</v>
      </c>
      <c r="J115" s="8" t="s">
        <v>434</v>
      </c>
      <c r="L115" t="str">
        <f t="shared" si="3"/>
        <v>.</v>
      </c>
    </row>
    <row r="116" spans="1:13" hidden="1" x14ac:dyDescent="0.45">
      <c r="A116" t="s">
        <v>7</v>
      </c>
      <c r="B116" t="s">
        <v>7</v>
      </c>
      <c r="C116">
        <v>0.21439264986935491</v>
      </c>
      <c r="D116">
        <v>0.8</v>
      </c>
      <c r="E116">
        <v>0.98201365898706472</v>
      </c>
      <c r="G116" t="str">
        <f t="shared" si="2"/>
        <v>.</v>
      </c>
      <c r="H116" s="8" t="s">
        <v>285</v>
      </c>
      <c r="I116" s="8" t="s">
        <v>99</v>
      </c>
      <c r="J116" s="8" t="s">
        <v>418</v>
      </c>
      <c r="L116" t="str">
        <f t="shared" si="3"/>
        <v>.</v>
      </c>
    </row>
    <row r="117" spans="1:13" hidden="1" x14ac:dyDescent="0.45">
      <c r="A117" t="s">
        <v>17</v>
      </c>
      <c r="B117" t="s">
        <v>17</v>
      </c>
      <c r="C117">
        <v>0.2000063542948943</v>
      </c>
      <c r="D117">
        <v>0.8</v>
      </c>
      <c r="E117">
        <v>0.99999205818100989</v>
      </c>
      <c r="G117" t="str">
        <f t="shared" si="2"/>
        <v>.</v>
      </c>
      <c r="H117" s="8" t="s">
        <v>286</v>
      </c>
      <c r="I117" s="8" t="s">
        <v>287</v>
      </c>
      <c r="J117" s="8" t="s">
        <v>429</v>
      </c>
      <c r="L117" t="str">
        <f t="shared" si="3"/>
        <v>.</v>
      </c>
    </row>
    <row r="118" spans="1:13" hidden="1" x14ac:dyDescent="0.45">
      <c r="A118" t="s">
        <v>9</v>
      </c>
      <c r="B118" t="s">
        <v>13</v>
      </c>
      <c r="C118">
        <v>0.20566807752794539</v>
      </c>
      <c r="D118">
        <v>0.8</v>
      </c>
      <c r="E118">
        <v>0.99592978540693999</v>
      </c>
      <c r="G118" t="str">
        <f t="shared" si="2"/>
        <v>W</v>
      </c>
      <c r="H118" s="8" t="s">
        <v>288</v>
      </c>
      <c r="I118" s="8" t="s">
        <v>289</v>
      </c>
      <c r="J118" s="8" t="s">
        <v>420</v>
      </c>
      <c r="L118" t="str">
        <f t="shared" si="3"/>
        <v>.</v>
      </c>
    </row>
    <row r="119" spans="1:13" hidden="1" x14ac:dyDescent="0.45">
      <c r="A119" t="s">
        <v>13</v>
      </c>
      <c r="B119" t="s">
        <v>13</v>
      </c>
      <c r="C119">
        <v>0.27888355058924491</v>
      </c>
      <c r="D119">
        <v>0.8</v>
      </c>
      <c r="E119">
        <v>0.95257324277597333</v>
      </c>
      <c r="G119" t="str">
        <f t="shared" si="2"/>
        <v>.</v>
      </c>
      <c r="H119" s="8" t="s">
        <v>290</v>
      </c>
      <c r="I119" s="8" t="s">
        <v>99</v>
      </c>
      <c r="J119" s="8" t="s">
        <v>420</v>
      </c>
      <c r="L119" t="str">
        <f t="shared" si="3"/>
        <v>.</v>
      </c>
    </row>
    <row r="120" spans="1:13" hidden="1" x14ac:dyDescent="0.45">
      <c r="A120" t="s">
        <v>7</v>
      </c>
      <c r="B120" t="s">
        <v>7</v>
      </c>
      <c r="C120">
        <v>0.20003651672241091</v>
      </c>
      <c r="D120">
        <v>0.8</v>
      </c>
      <c r="E120">
        <v>0.99995451003057012</v>
      </c>
      <c r="G120" t="str">
        <f t="shared" si="2"/>
        <v>.</v>
      </c>
      <c r="H120" s="8" t="s">
        <v>291</v>
      </c>
      <c r="I120" s="8" t="s">
        <v>292</v>
      </c>
      <c r="J120" s="8" t="s">
        <v>436</v>
      </c>
      <c r="L120" t="str">
        <f t="shared" si="3"/>
        <v>.</v>
      </c>
    </row>
    <row r="121" spans="1:13" hidden="1" x14ac:dyDescent="0.45">
      <c r="A121" t="s">
        <v>13</v>
      </c>
      <c r="B121" t="s">
        <v>13</v>
      </c>
      <c r="C121">
        <v>0.20439505310965991</v>
      </c>
      <c r="D121">
        <v>0.8</v>
      </c>
      <c r="E121">
        <v>0.99592990413102933</v>
      </c>
      <c r="G121" t="str">
        <f t="shared" si="2"/>
        <v>.</v>
      </c>
      <c r="H121" s="8" t="s">
        <v>293</v>
      </c>
      <c r="I121" s="8" t="s">
        <v>99</v>
      </c>
      <c r="J121" s="8" t="s">
        <v>420</v>
      </c>
      <c r="L121" t="str">
        <f t="shared" si="3"/>
        <v>.</v>
      </c>
    </row>
    <row r="122" spans="1:13" hidden="1" x14ac:dyDescent="0.45">
      <c r="A122" t="s">
        <v>23</v>
      </c>
      <c r="B122" t="s">
        <v>23</v>
      </c>
      <c r="C122">
        <v>0.20002838184288069</v>
      </c>
      <c r="D122">
        <v>0.8</v>
      </c>
      <c r="E122">
        <v>0.99996452273258829</v>
      </c>
      <c r="G122" t="str">
        <f t="shared" si="2"/>
        <v>.</v>
      </c>
      <c r="H122" s="8" t="s">
        <v>294</v>
      </c>
      <c r="I122" s="8" t="s">
        <v>295</v>
      </c>
      <c r="J122" s="8" t="s">
        <v>438</v>
      </c>
      <c r="L122" t="str">
        <f t="shared" si="3"/>
        <v>.</v>
      </c>
    </row>
    <row r="123" spans="1:13" hidden="1" x14ac:dyDescent="0.45">
      <c r="A123" t="s">
        <v>16</v>
      </c>
      <c r="B123" t="s">
        <v>16</v>
      </c>
      <c r="C123">
        <v>0.2000769183684579</v>
      </c>
      <c r="D123">
        <v>0.8</v>
      </c>
      <c r="E123">
        <v>0.99990385206411014</v>
      </c>
      <c r="G123" t="str">
        <f t="shared" si="2"/>
        <v>.</v>
      </c>
      <c r="H123" s="8" t="s">
        <v>296</v>
      </c>
      <c r="I123" s="8" t="s">
        <v>297</v>
      </c>
      <c r="J123" s="8" t="s">
        <v>439</v>
      </c>
      <c r="L123" t="str">
        <f t="shared" si="3"/>
        <v>.</v>
      </c>
    </row>
    <row r="124" spans="1:13" hidden="1" x14ac:dyDescent="0.45">
      <c r="A124" t="s">
        <v>15</v>
      </c>
      <c r="B124" t="s">
        <v>15</v>
      </c>
      <c r="C124">
        <v>0.20072884024576509</v>
      </c>
      <c r="D124">
        <v>0.8</v>
      </c>
      <c r="E124">
        <v>0.99908895173900303</v>
      </c>
      <c r="G124" t="str">
        <f t="shared" si="2"/>
        <v>.</v>
      </c>
      <c r="H124" s="8" t="s">
        <v>298</v>
      </c>
      <c r="I124" s="8" t="s">
        <v>299</v>
      </c>
      <c r="J124" s="8" t="s">
        <v>426</v>
      </c>
      <c r="L124" t="str">
        <f t="shared" si="3"/>
        <v>.</v>
      </c>
    </row>
    <row r="125" spans="1:13" hidden="1" x14ac:dyDescent="0.45">
      <c r="A125" t="s">
        <v>13</v>
      </c>
      <c r="B125" t="s">
        <v>13</v>
      </c>
      <c r="C125">
        <v>0.69796775027612257</v>
      </c>
      <c r="D125">
        <v>0.8</v>
      </c>
      <c r="E125">
        <v>0.37754035294858979</v>
      </c>
      <c r="G125" t="str">
        <f t="shared" si="2"/>
        <v>.</v>
      </c>
      <c r="H125" s="8" t="s">
        <v>300</v>
      </c>
      <c r="I125" s="8" t="s">
        <v>99</v>
      </c>
      <c r="J125" s="8" t="s">
        <v>420</v>
      </c>
      <c r="L125" t="str">
        <f t="shared" si="3"/>
        <v>.</v>
      </c>
    </row>
    <row r="126" spans="1:13" hidden="1" x14ac:dyDescent="0.45">
      <c r="A126" t="s">
        <v>13</v>
      </c>
      <c r="B126" t="s">
        <v>13</v>
      </c>
      <c r="C126">
        <v>0.20026832853739249</v>
      </c>
      <c r="D126">
        <v>0.8</v>
      </c>
      <c r="E126">
        <v>0.99966459043674005</v>
      </c>
      <c r="G126" t="str">
        <f t="shared" si="2"/>
        <v>.</v>
      </c>
      <c r="H126" s="8" t="s">
        <v>301</v>
      </c>
      <c r="I126" s="8" t="s">
        <v>302</v>
      </c>
      <c r="J126" s="8" t="s">
        <v>420</v>
      </c>
      <c r="L126" t="str">
        <f t="shared" si="3"/>
        <v>.</v>
      </c>
    </row>
    <row r="127" spans="1:13" hidden="1" x14ac:dyDescent="0.45">
      <c r="A127" t="s">
        <v>10</v>
      </c>
      <c r="B127" t="s">
        <v>10</v>
      </c>
      <c r="C127">
        <v>0.99906439203735087</v>
      </c>
      <c r="D127">
        <v>0.8</v>
      </c>
      <c r="E127">
        <v>1.169510307496603E-3</v>
      </c>
      <c r="G127" t="str">
        <f t="shared" si="2"/>
        <v>.</v>
      </c>
      <c r="H127" s="8" t="s">
        <v>303</v>
      </c>
      <c r="I127" s="8" t="s">
        <v>304</v>
      </c>
      <c r="J127" s="8" t="s">
        <v>421</v>
      </c>
      <c r="L127" s="13" t="str">
        <f t="shared" si="3"/>
        <v>NonID</v>
      </c>
      <c r="M127" s="8" t="s">
        <v>515</v>
      </c>
    </row>
    <row r="128" spans="1:13" hidden="1" x14ac:dyDescent="0.45">
      <c r="A128" t="s">
        <v>21</v>
      </c>
      <c r="B128" t="s">
        <v>21</v>
      </c>
      <c r="C128">
        <v>0.20253813958653749</v>
      </c>
      <c r="D128">
        <v>0.8</v>
      </c>
      <c r="E128">
        <v>0.99682732998531542</v>
      </c>
      <c r="G128" t="str">
        <f t="shared" si="2"/>
        <v>.</v>
      </c>
      <c r="H128" s="8" t="s">
        <v>305</v>
      </c>
      <c r="I128" s="8" t="s">
        <v>306</v>
      </c>
      <c r="J128" s="8" t="s">
        <v>434</v>
      </c>
      <c r="L128" t="str">
        <f t="shared" si="3"/>
        <v>.</v>
      </c>
    </row>
    <row r="129" spans="1:12" hidden="1" x14ac:dyDescent="0.45">
      <c r="A129" t="s">
        <v>5</v>
      </c>
      <c r="B129" t="s">
        <v>5</v>
      </c>
      <c r="C129">
        <v>0.21125113084451061</v>
      </c>
      <c r="D129">
        <v>0.8</v>
      </c>
      <c r="E129">
        <v>0.98593608654391374</v>
      </c>
      <c r="G129" t="str">
        <f t="shared" si="2"/>
        <v>.</v>
      </c>
      <c r="H129" s="8" t="s">
        <v>307</v>
      </c>
      <c r="I129" s="8" t="s">
        <v>308</v>
      </c>
      <c r="J129" s="8" t="s">
        <v>416</v>
      </c>
      <c r="L129" t="str">
        <f t="shared" si="3"/>
        <v>.</v>
      </c>
    </row>
    <row r="130" spans="1:12" hidden="1" x14ac:dyDescent="0.45">
      <c r="A130" t="s">
        <v>8</v>
      </c>
      <c r="B130" t="s">
        <v>8</v>
      </c>
      <c r="C130">
        <v>0.2009356376222807</v>
      </c>
      <c r="D130">
        <v>0.8</v>
      </c>
      <c r="E130">
        <v>0.99883045900532441</v>
      </c>
      <c r="G130" t="str">
        <f t="shared" si="2"/>
        <v>.</v>
      </c>
      <c r="H130" s="8" t="s">
        <v>309</v>
      </c>
      <c r="I130" s="8" t="s">
        <v>99</v>
      </c>
      <c r="J130" s="8" t="s">
        <v>427</v>
      </c>
      <c r="L130" t="str">
        <f t="shared" si="3"/>
        <v>.</v>
      </c>
    </row>
    <row r="131" spans="1:12" hidden="1" x14ac:dyDescent="0.45">
      <c r="A131" t="s">
        <v>6</v>
      </c>
      <c r="B131" t="s">
        <v>6</v>
      </c>
      <c r="C131">
        <v>0.2004423038867591</v>
      </c>
      <c r="D131">
        <v>0.8</v>
      </c>
      <c r="E131">
        <v>0.99944712016184645</v>
      </c>
      <c r="G131" t="str">
        <f t="shared" ref="G131:G194" si="4">IF(A131=B131,".","W")</f>
        <v>.</v>
      </c>
      <c r="H131" s="8" t="s">
        <v>310</v>
      </c>
      <c r="I131" s="8" t="s">
        <v>311</v>
      </c>
      <c r="J131" s="8" t="s">
        <v>417</v>
      </c>
      <c r="L131" t="str">
        <f t="shared" ref="L131:L194" si="5">IF(C131&lt;=$L$1,".","NonID")</f>
        <v>.</v>
      </c>
    </row>
    <row r="132" spans="1:12" hidden="1" x14ac:dyDescent="0.45">
      <c r="A132" t="s">
        <v>13</v>
      </c>
      <c r="B132" t="s">
        <v>13</v>
      </c>
      <c r="C132">
        <v>0.31844182337409049</v>
      </c>
      <c r="D132">
        <v>0.8</v>
      </c>
      <c r="E132">
        <v>0.85194962466416435</v>
      </c>
      <c r="G132" t="str">
        <f t="shared" si="4"/>
        <v>.</v>
      </c>
      <c r="H132" s="8" t="s">
        <v>312</v>
      </c>
      <c r="I132" s="8" t="s">
        <v>99</v>
      </c>
      <c r="J132" s="8" t="s">
        <v>420</v>
      </c>
      <c r="L132" t="str">
        <f t="shared" si="5"/>
        <v>.</v>
      </c>
    </row>
    <row r="133" spans="1:12" hidden="1" x14ac:dyDescent="0.45">
      <c r="A133" t="s">
        <v>13</v>
      </c>
      <c r="B133" t="s">
        <v>13</v>
      </c>
      <c r="C133">
        <v>0.32784638526471688</v>
      </c>
      <c r="D133">
        <v>0.8</v>
      </c>
      <c r="E133">
        <v>0.93991304523943053</v>
      </c>
      <c r="G133" t="str">
        <f t="shared" si="4"/>
        <v>.</v>
      </c>
      <c r="H133" s="8" t="s">
        <v>313</v>
      </c>
      <c r="I133" s="8" t="s">
        <v>99</v>
      </c>
      <c r="J133" s="8" t="s">
        <v>420</v>
      </c>
      <c r="L133" t="str">
        <f t="shared" si="5"/>
        <v>.</v>
      </c>
    </row>
    <row r="134" spans="1:12" hidden="1" x14ac:dyDescent="0.45">
      <c r="A134" t="s">
        <v>9</v>
      </c>
      <c r="B134" t="s">
        <v>21</v>
      </c>
      <c r="C134">
        <v>0.2001543314372429</v>
      </c>
      <c r="D134">
        <v>0.8</v>
      </c>
      <c r="E134">
        <v>0.99992506849856422</v>
      </c>
      <c r="G134" t="str">
        <f t="shared" si="4"/>
        <v>W</v>
      </c>
      <c r="H134" s="8" t="s">
        <v>314</v>
      </c>
      <c r="I134" s="8" t="s">
        <v>99</v>
      </c>
      <c r="J134" s="8" t="s">
        <v>434</v>
      </c>
      <c r="L134" t="str">
        <f t="shared" si="5"/>
        <v>.</v>
      </c>
    </row>
    <row r="135" spans="1:12" hidden="1" x14ac:dyDescent="0.45">
      <c r="A135" t="s">
        <v>9</v>
      </c>
      <c r="B135" t="s">
        <v>16</v>
      </c>
      <c r="C135">
        <v>0.20417616808105621</v>
      </c>
      <c r="D135">
        <v>0.8</v>
      </c>
      <c r="E135">
        <v>0.99477978997431815</v>
      </c>
      <c r="G135" t="str">
        <f t="shared" si="4"/>
        <v>W</v>
      </c>
      <c r="H135" s="8" t="s">
        <v>315</v>
      </c>
      <c r="I135" s="8" t="s">
        <v>99</v>
      </c>
      <c r="J135" s="8" t="s">
        <v>428</v>
      </c>
      <c r="L135" t="str">
        <f t="shared" si="5"/>
        <v>.</v>
      </c>
    </row>
    <row r="136" spans="1:12" hidden="1" x14ac:dyDescent="0.45">
      <c r="A136" t="s">
        <v>8</v>
      </c>
      <c r="B136" t="s">
        <v>8</v>
      </c>
      <c r="C136">
        <v>0.20325672581395829</v>
      </c>
      <c r="D136">
        <v>0.8</v>
      </c>
      <c r="E136">
        <v>0.99592990413102933</v>
      </c>
      <c r="G136" t="str">
        <f t="shared" si="4"/>
        <v>.</v>
      </c>
      <c r="H136" s="8" t="s">
        <v>316</v>
      </c>
      <c r="I136" s="8" t="s">
        <v>317</v>
      </c>
      <c r="J136" s="8" t="s">
        <v>427</v>
      </c>
      <c r="L136" t="str">
        <f t="shared" si="5"/>
        <v>.</v>
      </c>
    </row>
    <row r="137" spans="1:12" hidden="1" x14ac:dyDescent="0.45">
      <c r="A137" t="s">
        <v>6</v>
      </c>
      <c r="B137" t="s">
        <v>6</v>
      </c>
      <c r="C137">
        <v>0.20000501839931861</v>
      </c>
      <c r="D137">
        <v>0.8</v>
      </c>
      <c r="E137">
        <v>0.99999372702007638</v>
      </c>
      <c r="G137" t="str">
        <f t="shared" si="4"/>
        <v>.</v>
      </c>
      <c r="H137" s="8" t="s">
        <v>318</v>
      </c>
      <c r="I137" s="8" t="s">
        <v>319</v>
      </c>
      <c r="J137" s="8" t="s">
        <v>417</v>
      </c>
      <c r="L137" t="str">
        <f t="shared" si="5"/>
        <v>.</v>
      </c>
    </row>
    <row r="138" spans="1:12" hidden="1" x14ac:dyDescent="0.45">
      <c r="A138" t="s">
        <v>17</v>
      </c>
      <c r="B138" t="s">
        <v>17</v>
      </c>
      <c r="C138">
        <v>0.20000053965758249</v>
      </c>
      <c r="D138">
        <v>0.8</v>
      </c>
      <c r="E138">
        <v>0.99999932957291282</v>
      </c>
      <c r="G138" t="str">
        <f t="shared" si="4"/>
        <v>.</v>
      </c>
      <c r="H138" s="8" t="s">
        <v>320</v>
      </c>
      <c r="I138" s="8" t="s">
        <v>321</v>
      </c>
      <c r="J138" s="8" t="s">
        <v>429</v>
      </c>
      <c r="L138" t="str">
        <f t="shared" si="5"/>
        <v>.</v>
      </c>
    </row>
    <row r="139" spans="1:12" hidden="1" x14ac:dyDescent="0.45">
      <c r="A139" t="s">
        <v>12</v>
      </c>
      <c r="B139" t="s">
        <v>12</v>
      </c>
      <c r="C139">
        <v>0.20034446277082771</v>
      </c>
      <c r="D139">
        <v>0.8</v>
      </c>
      <c r="E139">
        <v>0.99956942349659961</v>
      </c>
      <c r="G139" t="str">
        <f t="shared" si="4"/>
        <v>.</v>
      </c>
      <c r="H139" s="8" t="s">
        <v>322</v>
      </c>
      <c r="I139" s="8" t="s">
        <v>99</v>
      </c>
      <c r="J139" s="8" t="s">
        <v>424</v>
      </c>
      <c r="L139" t="str">
        <f t="shared" si="5"/>
        <v>.</v>
      </c>
    </row>
    <row r="140" spans="1:12" hidden="1" x14ac:dyDescent="0.45">
      <c r="A140" t="s">
        <v>5</v>
      </c>
      <c r="B140" t="s">
        <v>5</v>
      </c>
      <c r="C140">
        <v>0.20417607319350739</v>
      </c>
      <c r="D140">
        <v>0.8</v>
      </c>
      <c r="E140">
        <v>0.99477990856131726</v>
      </c>
      <c r="G140" t="str">
        <f t="shared" si="4"/>
        <v>.</v>
      </c>
      <c r="H140" s="8" t="s">
        <v>323</v>
      </c>
      <c r="I140" s="8" t="s">
        <v>324</v>
      </c>
      <c r="J140" s="8" t="s">
        <v>416</v>
      </c>
      <c r="L140" t="str">
        <f t="shared" si="5"/>
        <v>.</v>
      </c>
    </row>
    <row r="141" spans="1:12" hidden="1" x14ac:dyDescent="0.45">
      <c r="A141" t="s">
        <v>17</v>
      </c>
      <c r="B141" t="s">
        <v>17</v>
      </c>
      <c r="C141">
        <v>0.20000072790708659</v>
      </c>
      <c r="D141">
        <v>0.8</v>
      </c>
      <c r="E141">
        <v>0.99999909116577701</v>
      </c>
      <c r="G141" t="str">
        <f t="shared" si="4"/>
        <v>.</v>
      </c>
      <c r="H141" s="8" t="s">
        <v>325</v>
      </c>
      <c r="I141" s="8" t="s">
        <v>321</v>
      </c>
      <c r="J141" s="8" t="s">
        <v>429</v>
      </c>
      <c r="L141" t="str">
        <f t="shared" si="5"/>
        <v>.</v>
      </c>
    </row>
    <row r="142" spans="1:12" hidden="1" x14ac:dyDescent="0.45">
      <c r="A142" t="s">
        <v>13</v>
      </c>
      <c r="B142" t="s">
        <v>13</v>
      </c>
      <c r="C142">
        <v>0.2239186310739093</v>
      </c>
      <c r="D142">
        <v>0.8</v>
      </c>
      <c r="E142">
        <v>0.97068691800320162</v>
      </c>
      <c r="G142" t="str">
        <f t="shared" si="4"/>
        <v>.</v>
      </c>
      <c r="H142" s="8" t="s">
        <v>326</v>
      </c>
      <c r="I142" s="8" t="s">
        <v>99</v>
      </c>
      <c r="J142" s="8" t="s">
        <v>420</v>
      </c>
      <c r="L142" t="str">
        <f t="shared" si="5"/>
        <v>.</v>
      </c>
    </row>
    <row r="143" spans="1:12" hidden="1" x14ac:dyDescent="0.45">
      <c r="A143" t="s">
        <v>6</v>
      </c>
      <c r="B143" t="s">
        <v>6</v>
      </c>
      <c r="C143">
        <v>0.20001045404845461</v>
      </c>
      <c r="D143">
        <v>0.8</v>
      </c>
      <c r="E143">
        <v>0.99998693247732917</v>
      </c>
      <c r="G143" t="str">
        <f t="shared" si="4"/>
        <v>.</v>
      </c>
      <c r="H143" s="8" t="s">
        <v>327</v>
      </c>
      <c r="I143" s="8" t="s">
        <v>328</v>
      </c>
      <c r="J143" s="8" t="s">
        <v>417</v>
      </c>
      <c r="L143" t="str">
        <f t="shared" si="5"/>
        <v>.</v>
      </c>
    </row>
    <row r="144" spans="1:12" hidden="1" x14ac:dyDescent="0.45">
      <c r="A144" t="s">
        <v>5</v>
      </c>
      <c r="B144" t="s">
        <v>5</v>
      </c>
      <c r="C144">
        <v>5.5288235470796199E-4</v>
      </c>
      <c r="D144">
        <v>1</v>
      </c>
      <c r="E144">
        <v>0.99944712016184645</v>
      </c>
      <c r="G144" t="str">
        <f t="shared" si="4"/>
        <v>.</v>
      </c>
      <c r="H144" s="8" t="s">
        <v>329</v>
      </c>
      <c r="I144" s="8" t="s">
        <v>330</v>
      </c>
      <c r="J144" s="8" t="s">
        <v>423</v>
      </c>
      <c r="L144" t="str">
        <f t="shared" si="5"/>
        <v>.</v>
      </c>
    </row>
    <row r="145" spans="1:13" hidden="1" x14ac:dyDescent="0.45">
      <c r="A145" t="s">
        <v>13</v>
      </c>
      <c r="B145" t="s">
        <v>13</v>
      </c>
      <c r="C145">
        <v>0.34663314241607762</v>
      </c>
      <c r="D145">
        <v>0.8</v>
      </c>
      <c r="E145">
        <v>0.81757371208747009</v>
      </c>
      <c r="G145" t="str">
        <f t="shared" si="4"/>
        <v>.</v>
      </c>
      <c r="H145" s="8" t="s">
        <v>331</v>
      </c>
      <c r="I145" s="8" t="s">
        <v>332</v>
      </c>
      <c r="J145" s="8" t="s">
        <v>420</v>
      </c>
      <c r="L145" t="str">
        <f t="shared" si="5"/>
        <v>.</v>
      </c>
    </row>
    <row r="146" spans="1:13" x14ac:dyDescent="0.45">
      <c r="A146" t="s">
        <v>5</v>
      </c>
      <c r="B146" t="s">
        <v>18</v>
      </c>
      <c r="C146">
        <v>1</v>
      </c>
      <c r="D146">
        <v>0.8</v>
      </c>
      <c r="E146">
        <v>7.5858117228527283E-2</v>
      </c>
      <c r="G146" t="str">
        <f t="shared" si="4"/>
        <v>W</v>
      </c>
      <c r="H146" s="8" t="s">
        <v>333</v>
      </c>
      <c r="I146" s="8" t="s">
        <v>334</v>
      </c>
      <c r="J146" s="8" t="s">
        <v>435</v>
      </c>
      <c r="K146" s="8" t="s">
        <v>515</v>
      </c>
      <c r="L146" s="13" t="str">
        <f t="shared" si="5"/>
        <v>NonID</v>
      </c>
      <c r="M146" s="8" t="s">
        <v>515</v>
      </c>
    </row>
    <row r="147" spans="1:13" hidden="1" x14ac:dyDescent="0.45">
      <c r="A147" t="s">
        <v>9</v>
      </c>
      <c r="B147" t="s">
        <v>15</v>
      </c>
      <c r="C147">
        <v>0.2298619982419601</v>
      </c>
      <c r="D147">
        <v>0.8</v>
      </c>
      <c r="E147">
        <v>0.96267277897766457</v>
      </c>
      <c r="G147" t="str">
        <f t="shared" si="4"/>
        <v>W</v>
      </c>
      <c r="H147" s="8" t="s">
        <v>335</v>
      </c>
      <c r="I147" s="8" t="s">
        <v>99</v>
      </c>
      <c r="J147" s="8" t="s">
        <v>426</v>
      </c>
      <c r="L147" t="str">
        <f t="shared" si="5"/>
        <v>.</v>
      </c>
    </row>
    <row r="148" spans="1:13" hidden="1" x14ac:dyDescent="0.45">
      <c r="A148" t="s">
        <v>13</v>
      </c>
      <c r="B148" t="s">
        <v>13</v>
      </c>
      <c r="C148">
        <v>0.20535429850035811</v>
      </c>
      <c r="D148">
        <v>0.8</v>
      </c>
      <c r="E148">
        <v>0.99330712690641232</v>
      </c>
      <c r="G148" t="str">
        <f t="shared" si="4"/>
        <v>.</v>
      </c>
      <c r="H148" s="8" t="s">
        <v>336</v>
      </c>
      <c r="I148" s="8" t="s">
        <v>337</v>
      </c>
      <c r="J148" s="8" t="s">
        <v>420</v>
      </c>
      <c r="L148" t="str">
        <f t="shared" si="5"/>
        <v>.</v>
      </c>
    </row>
    <row r="149" spans="1:13" hidden="1" x14ac:dyDescent="0.45">
      <c r="A149" t="s">
        <v>22</v>
      </c>
      <c r="B149" t="s">
        <v>22</v>
      </c>
      <c r="C149">
        <v>0.21175609607688761</v>
      </c>
      <c r="D149">
        <v>0.8</v>
      </c>
      <c r="E149">
        <v>0.99330700849498244</v>
      </c>
      <c r="G149" t="str">
        <f t="shared" si="4"/>
        <v>.</v>
      </c>
      <c r="H149" s="8" t="s">
        <v>338</v>
      </c>
      <c r="I149" s="8" t="s">
        <v>99</v>
      </c>
      <c r="J149" s="8" t="s">
        <v>437</v>
      </c>
      <c r="L149" t="str">
        <f t="shared" si="5"/>
        <v>.</v>
      </c>
    </row>
    <row r="150" spans="1:13" hidden="1" x14ac:dyDescent="0.45">
      <c r="A150" t="s">
        <v>17</v>
      </c>
      <c r="B150" t="s">
        <v>17</v>
      </c>
      <c r="C150">
        <v>0.2000363939416534</v>
      </c>
      <c r="D150">
        <v>0.8</v>
      </c>
      <c r="E150">
        <v>0.99995451003057012</v>
      </c>
      <c r="G150" t="str">
        <f t="shared" si="4"/>
        <v>.</v>
      </c>
      <c r="H150" s="8" t="s">
        <v>339</v>
      </c>
      <c r="I150" s="8" t="s">
        <v>340</v>
      </c>
      <c r="J150" s="8" t="s">
        <v>429</v>
      </c>
      <c r="L150" t="str">
        <f t="shared" si="5"/>
        <v>.</v>
      </c>
    </row>
    <row r="151" spans="1:13" hidden="1" x14ac:dyDescent="0.45">
      <c r="A151" t="s">
        <v>13</v>
      </c>
      <c r="B151" t="s">
        <v>13</v>
      </c>
      <c r="C151">
        <v>0.2331999618347953</v>
      </c>
      <c r="D151">
        <v>0.8</v>
      </c>
      <c r="E151">
        <v>0.98593632069119785</v>
      </c>
      <c r="G151" t="str">
        <f t="shared" si="4"/>
        <v>.</v>
      </c>
      <c r="H151" s="8" t="s">
        <v>341</v>
      </c>
      <c r="I151" s="8" t="s">
        <v>99</v>
      </c>
      <c r="J151" s="8" t="s">
        <v>420</v>
      </c>
      <c r="L151" t="str">
        <f t="shared" si="5"/>
        <v>.</v>
      </c>
    </row>
    <row r="152" spans="1:13" x14ac:dyDescent="0.45">
      <c r="A152" t="s">
        <v>10</v>
      </c>
      <c r="B152" t="s">
        <v>5</v>
      </c>
      <c r="C152">
        <v>0.99313801860082362</v>
      </c>
      <c r="D152">
        <v>0.8</v>
      </c>
      <c r="E152">
        <v>8.5774767503511169E-3</v>
      </c>
      <c r="G152" t="str">
        <f t="shared" si="4"/>
        <v>W</v>
      </c>
      <c r="H152" s="8" t="s">
        <v>342</v>
      </c>
      <c r="I152" s="8" t="s">
        <v>99</v>
      </c>
      <c r="J152" s="8" t="s">
        <v>421</v>
      </c>
      <c r="K152" s="8" t="s">
        <v>514</v>
      </c>
      <c r="L152" s="13" t="str">
        <f t="shared" si="5"/>
        <v>NonID</v>
      </c>
      <c r="M152" s="8" t="s">
        <v>514</v>
      </c>
    </row>
    <row r="153" spans="1:13" hidden="1" x14ac:dyDescent="0.45">
      <c r="A153" t="s">
        <v>23</v>
      </c>
      <c r="B153" t="s">
        <v>23</v>
      </c>
      <c r="C153">
        <v>0.20686215228098601</v>
      </c>
      <c r="D153">
        <v>0.8</v>
      </c>
      <c r="E153">
        <v>0.99142231192149144</v>
      </c>
      <c r="G153" t="str">
        <f t="shared" si="4"/>
        <v>.</v>
      </c>
      <c r="H153" s="8" t="s">
        <v>343</v>
      </c>
      <c r="I153" s="8" t="s">
        <v>344</v>
      </c>
      <c r="J153" s="8" t="s">
        <v>438</v>
      </c>
      <c r="L153" t="str">
        <f t="shared" si="5"/>
        <v>.</v>
      </c>
      <c r="M153" s="8" t="s">
        <v>515</v>
      </c>
    </row>
    <row r="154" spans="1:13" hidden="1" x14ac:dyDescent="0.45">
      <c r="A154" t="s">
        <v>21</v>
      </c>
      <c r="B154" t="s">
        <v>21</v>
      </c>
      <c r="C154">
        <v>0.2000769184248109</v>
      </c>
      <c r="D154">
        <v>0.8</v>
      </c>
      <c r="E154">
        <v>0.99990385206411014</v>
      </c>
      <c r="G154" t="str">
        <f t="shared" si="4"/>
        <v>.</v>
      </c>
      <c r="H154" s="8" t="s">
        <v>345</v>
      </c>
      <c r="I154" s="8" t="s">
        <v>99</v>
      </c>
      <c r="J154" s="8" t="s">
        <v>434</v>
      </c>
      <c r="L154" t="str">
        <f t="shared" si="5"/>
        <v>.</v>
      </c>
      <c r="M154" s="8" t="s">
        <v>515</v>
      </c>
    </row>
    <row r="155" spans="1:13" hidden="1" x14ac:dyDescent="0.45">
      <c r="A155" t="s">
        <v>6</v>
      </c>
      <c r="B155" t="s">
        <v>6</v>
      </c>
      <c r="C155">
        <v>1.2343528338409901E-4</v>
      </c>
      <c r="D155">
        <v>1</v>
      </c>
      <c r="E155">
        <v>0.99987656475506059</v>
      </c>
      <c r="G155" t="str">
        <f t="shared" si="4"/>
        <v>.</v>
      </c>
      <c r="H155" s="8" t="s">
        <v>346</v>
      </c>
      <c r="I155" s="8" t="s">
        <v>347</v>
      </c>
      <c r="J155" s="8" t="s">
        <v>417</v>
      </c>
      <c r="L155" t="str">
        <f t="shared" si="5"/>
        <v>.</v>
      </c>
      <c r="M155" s="8" t="s">
        <v>515</v>
      </c>
    </row>
    <row r="156" spans="1:13" hidden="1" x14ac:dyDescent="0.45">
      <c r="A156" t="s">
        <v>13</v>
      </c>
      <c r="B156" t="s">
        <v>13</v>
      </c>
      <c r="C156">
        <v>0.50911535369630645</v>
      </c>
      <c r="D156">
        <v>0.8</v>
      </c>
      <c r="E156">
        <v>0.97702261672772872</v>
      </c>
      <c r="G156" t="str">
        <f t="shared" si="4"/>
        <v>.</v>
      </c>
      <c r="H156" s="8" t="s">
        <v>348</v>
      </c>
      <c r="I156" s="8" t="s">
        <v>99</v>
      </c>
      <c r="J156" s="8" t="s">
        <v>420</v>
      </c>
      <c r="L156" t="str">
        <f t="shared" si="5"/>
        <v>.</v>
      </c>
    </row>
    <row r="157" spans="1:13" hidden="1" x14ac:dyDescent="0.45">
      <c r="A157" t="s">
        <v>17</v>
      </c>
      <c r="B157" t="s">
        <v>17</v>
      </c>
      <c r="C157">
        <v>0.2007296782982482</v>
      </c>
      <c r="D157">
        <v>0.8</v>
      </c>
      <c r="E157">
        <v>0.99908895173900303</v>
      </c>
      <c r="G157" t="str">
        <f t="shared" si="4"/>
        <v>.</v>
      </c>
      <c r="H157" s="8" t="s">
        <v>349</v>
      </c>
      <c r="I157" s="8" t="s">
        <v>99</v>
      </c>
      <c r="J157" s="8" t="s">
        <v>429</v>
      </c>
      <c r="L157" t="str">
        <f t="shared" si="5"/>
        <v>.</v>
      </c>
    </row>
    <row r="158" spans="1:13" hidden="1" x14ac:dyDescent="0.45">
      <c r="A158" t="s">
        <v>21</v>
      </c>
      <c r="B158" t="s">
        <v>21</v>
      </c>
      <c r="C158">
        <v>0.2000025334270579</v>
      </c>
      <c r="D158">
        <v>0.8</v>
      </c>
      <c r="E158">
        <v>0.99999813753780198</v>
      </c>
      <c r="G158" t="str">
        <f t="shared" si="4"/>
        <v>.</v>
      </c>
      <c r="H158" s="8" t="s">
        <v>350</v>
      </c>
      <c r="I158" s="8" t="s">
        <v>351</v>
      </c>
      <c r="J158" s="8" t="s">
        <v>434</v>
      </c>
      <c r="L158" t="str">
        <f t="shared" si="5"/>
        <v>.</v>
      </c>
    </row>
    <row r="159" spans="1:13" hidden="1" x14ac:dyDescent="0.45">
      <c r="A159" t="s">
        <v>17</v>
      </c>
      <c r="B159" t="s">
        <v>17</v>
      </c>
      <c r="C159">
        <v>0.20002209123020009</v>
      </c>
      <c r="D159">
        <v>0.8</v>
      </c>
      <c r="E159">
        <v>0.99997238992645676</v>
      </c>
      <c r="G159" t="str">
        <f t="shared" si="4"/>
        <v>.</v>
      </c>
      <c r="H159" s="8" t="s">
        <v>352</v>
      </c>
      <c r="I159" s="8" t="s">
        <v>353</v>
      </c>
      <c r="J159" s="8" t="s">
        <v>429</v>
      </c>
      <c r="L159" t="str">
        <f t="shared" si="5"/>
        <v>.</v>
      </c>
    </row>
    <row r="160" spans="1:13" hidden="1" x14ac:dyDescent="0.45">
      <c r="A160" t="s">
        <v>5</v>
      </c>
      <c r="B160" t="s">
        <v>5</v>
      </c>
      <c r="C160">
        <v>4.0700959437798279E-3</v>
      </c>
      <c r="D160">
        <v>1</v>
      </c>
      <c r="E160">
        <v>0.99592990413102933</v>
      </c>
      <c r="G160" t="str">
        <f t="shared" si="4"/>
        <v>.</v>
      </c>
      <c r="H160" s="8" t="s">
        <v>354</v>
      </c>
      <c r="I160" s="8" t="s">
        <v>355</v>
      </c>
      <c r="J160" s="8" t="s">
        <v>423</v>
      </c>
      <c r="L160" t="str">
        <f t="shared" si="5"/>
        <v>.</v>
      </c>
    </row>
    <row r="161" spans="1:13" hidden="1" x14ac:dyDescent="0.45">
      <c r="A161" t="s">
        <v>9</v>
      </c>
      <c r="B161" t="s">
        <v>12</v>
      </c>
      <c r="C161">
        <v>0.20253813605897039</v>
      </c>
      <c r="D161">
        <v>0.8</v>
      </c>
      <c r="E161">
        <v>0.99682732998531542</v>
      </c>
      <c r="G161" t="str">
        <f t="shared" si="4"/>
        <v>W</v>
      </c>
      <c r="H161" s="8" t="s">
        <v>356</v>
      </c>
      <c r="I161" s="8" t="s">
        <v>99</v>
      </c>
      <c r="J161" s="8" t="s">
        <v>424</v>
      </c>
      <c r="L161" t="str">
        <f t="shared" si="5"/>
        <v>.</v>
      </c>
    </row>
    <row r="162" spans="1:13" hidden="1" x14ac:dyDescent="0.45">
      <c r="A162" t="s">
        <v>13</v>
      </c>
      <c r="B162" t="s">
        <v>13</v>
      </c>
      <c r="C162">
        <v>0.21438934956071209</v>
      </c>
      <c r="D162">
        <v>0.8</v>
      </c>
      <c r="E162">
        <v>0.98201331327910268</v>
      </c>
      <c r="G162" t="str">
        <f t="shared" si="4"/>
        <v>.</v>
      </c>
      <c r="H162" s="8" t="s">
        <v>357</v>
      </c>
      <c r="I162" s="8" t="s">
        <v>358</v>
      </c>
      <c r="J162" s="8" t="s">
        <v>420</v>
      </c>
      <c r="L162" t="str">
        <f t="shared" si="5"/>
        <v>.</v>
      </c>
    </row>
    <row r="163" spans="1:13" hidden="1" x14ac:dyDescent="0.45">
      <c r="A163" t="s">
        <v>13</v>
      </c>
      <c r="B163" t="s">
        <v>13</v>
      </c>
      <c r="C163">
        <v>0.2299580038957045</v>
      </c>
      <c r="D163">
        <v>0.8</v>
      </c>
      <c r="E163">
        <v>0.96267288297850162</v>
      </c>
      <c r="G163" t="str">
        <f t="shared" si="4"/>
        <v>.</v>
      </c>
      <c r="H163" s="8" t="s">
        <v>359</v>
      </c>
      <c r="I163" s="8" t="s">
        <v>99</v>
      </c>
      <c r="J163" s="8" t="s">
        <v>420</v>
      </c>
      <c r="L163" t="str">
        <f t="shared" si="5"/>
        <v>.</v>
      </c>
    </row>
    <row r="164" spans="1:13" x14ac:dyDescent="0.45">
      <c r="A164" t="s">
        <v>13</v>
      </c>
      <c r="B164" t="s">
        <v>5</v>
      </c>
      <c r="C164">
        <v>0.88156251563489674</v>
      </c>
      <c r="D164">
        <v>0.8</v>
      </c>
      <c r="E164">
        <v>0.1480468554755256</v>
      </c>
      <c r="G164" t="str">
        <f t="shared" si="4"/>
        <v>W</v>
      </c>
      <c r="H164" s="8" t="s">
        <v>360</v>
      </c>
      <c r="I164" s="8" t="s">
        <v>361</v>
      </c>
      <c r="J164" s="8" t="s">
        <v>420</v>
      </c>
      <c r="K164" s="8" t="s">
        <v>515</v>
      </c>
      <c r="L164" s="13" t="str">
        <f t="shared" si="5"/>
        <v>.</v>
      </c>
      <c r="M164" s="8" t="s">
        <v>515</v>
      </c>
    </row>
    <row r="165" spans="1:13" hidden="1" x14ac:dyDescent="0.45">
      <c r="A165" t="s">
        <v>13</v>
      </c>
      <c r="B165" t="s">
        <v>13</v>
      </c>
      <c r="C165">
        <v>0.29539948866863952</v>
      </c>
      <c r="D165">
        <v>0.8</v>
      </c>
      <c r="E165">
        <v>0.88079431690861987</v>
      </c>
      <c r="G165" t="str">
        <f t="shared" si="4"/>
        <v>.</v>
      </c>
      <c r="H165" s="8" t="s">
        <v>362</v>
      </c>
      <c r="I165" s="8" t="s">
        <v>99</v>
      </c>
      <c r="J165" s="8" t="s">
        <v>420</v>
      </c>
      <c r="L165" t="str">
        <f t="shared" si="5"/>
        <v>.</v>
      </c>
      <c r="M165" s="8" t="s">
        <v>515</v>
      </c>
    </row>
    <row r="166" spans="1:13" hidden="1" x14ac:dyDescent="0.45">
      <c r="A166" t="s">
        <v>9</v>
      </c>
      <c r="B166" t="s">
        <v>5</v>
      </c>
      <c r="C166">
        <v>0.26894595330586307</v>
      </c>
      <c r="D166">
        <v>1</v>
      </c>
      <c r="E166">
        <v>0.73105404672388985</v>
      </c>
      <c r="G166" t="str">
        <f t="shared" si="4"/>
        <v>W</v>
      </c>
      <c r="H166" s="8" t="s">
        <v>363</v>
      </c>
      <c r="I166" s="8" t="s">
        <v>99</v>
      </c>
      <c r="J166" s="8" t="s">
        <v>420</v>
      </c>
      <c r="L166" t="str">
        <f t="shared" si="5"/>
        <v>.</v>
      </c>
      <c r="M166" s="8" t="s">
        <v>515</v>
      </c>
    </row>
    <row r="167" spans="1:13" hidden="1" x14ac:dyDescent="0.45">
      <c r="A167" t="s">
        <v>13</v>
      </c>
      <c r="B167" t="s">
        <v>13</v>
      </c>
      <c r="C167">
        <v>0.25159765831823999</v>
      </c>
      <c r="D167">
        <v>0.8</v>
      </c>
      <c r="E167">
        <v>0.9399108393291814</v>
      </c>
      <c r="G167" t="str">
        <f t="shared" si="4"/>
        <v>.</v>
      </c>
      <c r="H167" s="8" t="s">
        <v>364</v>
      </c>
      <c r="I167" s="8" t="s">
        <v>99</v>
      </c>
      <c r="J167" s="8" t="s">
        <v>420</v>
      </c>
      <c r="L167" t="str">
        <f t="shared" si="5"/>
        <v>.</v>
      </c>
      <c r="M167" s="8" t="s">
        <v>515</v>
      </c>
    </row>
    <row r="168" spans="1:13" hidden="1" x14ac:dyDescent="0.45">
      <c r="A168" t="s">
        <v>17</v>
      </c>
      <c r="B168" t="s">
        <v>17</v>
      </c>
      <c r="C168">
        <v>0.2298623889944903</v>
      </c>
      <c r="D168">
        <v>0.8</v>
      </c>
      <c r="E168">
        <v>0.96267211193808078</v>
      </c>
      <c r="G168" t="str">
        <f t="shared" si="4"/>
        <v>.</v>
      </c>
      <c r="H168" s="8" t="s">
        <v>365</v>
      </c>
      <c r="I168" s="8" t="s">
        <v>366</v>
      </c>
      <c r="J168" s="8" t="s">
        <v>429</v>
      </c>
      <c r="L168" t="str">
        <f t="shared" si="5"/>
        <v>.</v>
      </c>
    </row>
    <row r="169" spans="1:13" hidden="1" x14ac:dyDescent="0.45">
      <c r="A169" t="s">
        <v>13</v>
      </c>
      <c r="B169" t="s">
        <v>13</v>
      </c>
      <c r="C169">
        <v>0.20154144782906599</v>
      </c>
      <c r="D169">
        <v>0.8</v>
      </c>
      <c r="E169">
        <v>0.99807322600355197</v>
      </c>
      <c r="G169" t="str">
        <f t="shared" si="4"/>
        <v>.</v>
      </c>
      <c r="H169" s="8" t="s">
        <v>367</v>
      </c>
      <c r="I169" s="8" t="s">
        <v>368</v>
      </c>
      <c r="J169" s="8" t="s">
        <v>420</v>
      </c>
      <c r="L169" t="str">
        <f t="shared" si="5"/>
        <v>.</v>
      </c>
    </row>
    <row r="170" spans="1:13" hidden="1" x14ac:dyDescent="0.45">
      <c r="A170" t="s">
        <v>12</v>
      </c>
      <c r="B170" t="s">
        <v>12</v>
      </c>
      <c r="C170">
        <v>0.2087897047211387</v>
      </c>
      <c r="D170">
        <v>0.8</v>
      </c>
      <c r="E170">
        <v>0.9890128691951352</v>
      </c>
      <c r="G170" t="str">
        <f t="shared" si="4"/>
        <v>.</v>
      </c>
      <c r="H170" s="8" t="s">
        <v>369</v>
      </c>
      <c r="I170" s="8" t="s">
        <v>99</v>
      </c>
      <c r="J170" s="8" t="s">
        <v>424</v>
      </c>
      <c r="L170" t="str">
        <f t="shared" si="5"/>
        <v>.</v>
      </c>
    </row>
    <row r="171" spans="1:13" hidden="1" x14ac:dyDescent="0.45">
      <c r="A171" t="s">
        <v>12</v>
      </c>
      <c r="B171" t="s">
        <v>12</v>
      </c>
      <c r="C171">
        <v>0.20012678059965061</v>
      </c>
      <c r="D171">
        <v>0.8</v>
      </c>
      <c r="E171">
        <v>0.99984152748927191</v>
      </c>
      <c r="G171" t="str">
        <f t="shared" si="4"/>
        <v>.</v>
      </c>
      <c r="H171" s="8" t="s">
        <v>370</v>
      </c>
      <c r="I171" s="8" t="s">
        <v>371</v>
      </c>
      <c r="J171" s="8" t="s">
        <v>424</v>
      </c>
      <c r="L171" t="str">
        <f t="shared" si="5"/>
        <v>.</v>
      </c>
    </row>
    <row r="172" spans="1:13" hidden="1" x14ac:dyDescent="0.45">
      <c r="A172" t="s">
        <v>15</v>
      </c>
      <c r="B172" t="s">
        <v>15</v>
      </c>
      <c r="C172">
        <v>0.21125139040403271</v>
      </c>
      <c r="D172">
        <v>0.8</v>
      </c>
      <c r="E172">
        <v>0.98593585515135818</v>
      </c>
      <c r="G172" t="str">
        <f t="shared" si="4"/>
        <v>.</v>
      </c>
      <c r="H172" s="8" t="s">
        <v>372</v>
      </c>
      <c r="I172" s="8" t="s">
        <v>99</v>
      </c>
      <c r="J172" s="8" t="s">
        <v>426</v>
      </c>
      <c r="L172" t="str">
        <f t="shared" si="5"/>
        <v>.</v>
      </c>
    </row>
    <row r="173" spans="1:13" hidden="1" x14ac:dyDescent="0.45">
      <c r="A173" t="s">
        <v>13</v>
      </c>
      <c r="B173" t="s">
        <v>13</v>
      </c>
      <c r="C173">
        <v>0.2525911169381716</v>
      </c>
      <c r="D173">
        <v>0.8</v>
      </c>
      <c r="E173">
        <v>0.98593632069119785</v>
      </c>
      <c r="G173" t="str">
        <f t="shared" si="4"/>
        <v>.</v>
      </c>
      <c r="H173" s="8" t="s">
        <v>373</v>
      </c>
      <c r="I173" s="8" t="s">
        <v>99</v>
      </c>
      <c r="J173" s="8" t="s">
        <v>420</v>
      </c>
      <c r="L173" t="str">
        <f t="shared" si="5"/>
        <v>.</v>
      </c>
    </row>
    <row r="174" spans="1:13" x14ac:dyDescent="0.45">
      <c r="A174" t="s">
        <v>13</v>
      </c>
      <c r="B174" t="s">
        <v>18</v>
      </c>
      <c r="C174">
        <v>0.79505122872563994</v>
      </c>
      <c r="D174">
        <v>0.8</v>
      </c>
      <c r="E174">
        <v>0.67917819046514238</v>
      </c>
      <c r="G174" t="str">
        <f t="shared" si="4"/>
        <v>W</v>
      </c>
      <c r="H174" s="8" t="s">
        <v>374</v>
      </c>
      <c r="I174" s="8" t="s">
        <v>99</v>
      </c>
      <c r="J174" s="8" t="s">
        <v>420</v>
      </c>
      <c r="K174" s="8" t="s">
        <v>514</v>
      </c>
      <c r="L174" t="str">
        <f t="shared" si="5"/>
        <v>.</v>
      </c>
    </row>
    <row r="175" spans="1:13" hidden="1" x14ac:dyDescent="0.45">
      <c r="A175" t="s">
        <v>14</v>
      </c>
      <c r="B175" t="s">
        <v>14</v>
      </c>
      <c r="C175">
        <v>0.20154143083544329</v>
      </c>
      <c r="D175">
        <v>0.8</v>
      </c>
      <c r="E175">
        <v>0.99807322600355197</v>
      </c>
      <c r="G175" t="str">
        <f t="shared" si="4"/>
        <v>.</v>
      </c>
      <c r="H175" s="8" t="s">
        <v>375</v>
      </c>
      <c r="I175" s="8" t="s">
        <v>376</v>
      </c>
      <c r="J175" s="8" t="s">
        <v>425</v>
      </c>
      <c r="L175" t="str">
        <f t="shared" si="5"/>
        <v>.</v>
      </c>
    </row>
    <row r="176" spans="1:13" hidden="1" x14ac:dyDescent="0.45">
      <c r="A176" t="s">
        <v>15</v>
      </c>
      <c r="B176" t="s">
        <v>15</v>
      </c>
      <c r="C176">
        <v>0.20016281574053721</v>
      </c>
      <c r="D176">
        <v>0.8</v>
      </c>
      <c r="E176">
        <v>0.99979648032432844</v>
      </c>
      <c r="G176" t="str">
        <f t="shared" si="4"/>
        <v>.</v>
      </c>
      <c r="H176" s="8" t="s">
        <v>377</v>
      </c>
      <c r="I176" s="8" t="s">
        <v>378</v>
      </c>
      <c r="J176" s="8" t="s">
        <v>426</v>
      </c>
      <c r="L176" t="str">
        <f t="shared" si="5"/>
        <v>.</v>
      </c>
    </row>
    <row r="177" spans="1:13" hidden="1" x14ac:dyDescent="0.45">
      <c r="A177" t="s">
        <v>15</v>
      </c>
      <c r="B177" t="s">
        <v>15</v>
      </c>
      <c r="C177">
        <v>0.20001740619397901</v>
      </c>
      <c r="D177">
        <v>0.8</v>
      </c>
      <c r="E177">
        <v>0.99997846916345023</v>
      </c>
      <c r="G177" t="str">
        <f t="shared" si="4"/>
        <v>.</v>
      </c>
      <c r="H177" s="8" t="s">
        <v>379</v>
      </c>
      <c r="I177" s="8" t="s">
        <v>380</v>
      </c>
      <c r="J177" s="8" t="s">
        <v>426</v>
      </c>
      <c r="L177" t="str">
        <f t="shared" si="5"/>
        <v>.</v>
      </c>
    </row>
    <row r="178" spans="1:13" hidden="1" x14ac:dyDescent="0.45">
      <c r="A178" t="s">
        <v>13</v>
      </c>
      <c r="B178" t="s">
        <v>13</v>
      </c>
      <c r="C178">
        <v>0.34594067028981301</v>
      </c>
      <c r="D178">
        <v>0.8</v>
      </c>
      <c r="E178">
        <v>0.81757418721671737</v>
      </c>
      <c r="G178" t="str">
        <f t="shared" si="4"/>
        <v>.</v>
      </c>
      <c r="H178" s="8" t="s">
        <v>381</v>
      </c>
      <c r="I178" s="8" t="s">
        <v>382</v>
      </c>
      <c r="J178" s="8" t="s">
        <v>420</v>
      </c>
      <c r="L178" t="str">
        <f t="shared" si="5"/>
        <v>.</v>
      </c>
    </row>
    <row r="179" spans="1:13" hidden="1" x14ac:dyDescent="0.45">
      <c r="A179" t="s">
        <v>6</v>
      </c>
      <c r="B179" t="s">
        <v>6</v>
      </c>
      <c r="C179">
        <v>0.20026832819565221</v>
      </c>
      <c r="D179">
        <v>0.8</v>
      </c>
      <c r="E179">
        <v>0.99966459043674005</v>
      </c>
      <c r="G179" t="str">
        <f t="shared" si="4"/>
        <v>.</v>
      </c>
      <c r="H179" s="8" t="s">
        <v>383</v>
      </c>
      <c r="I179" s="8" t="s">
        <v>384</v>
      </c>
      <c r="J179" s="8" t="s">
        <v>417</v>
      </c>
      <c r="L179" t="str">
        <f t="shared" si="5"/>
        <v>.</v>
      </c>
    </row>
    <row r="180" spans="1:13" hidden="1" x14ac:dyDescent="0.45">
      <c r="A180" t="s">
        <v>5</v>
      </c>
      <c r="B180" t="s">
        <v>5</v>
      </c>
      <c r="C180">
        <v>4.742697373920135E-2</v>
      </c>
      <c r="D180">
        <v>1</v>
      </c>
      <c r="E180">
        <v>0.95257302631067453</v>
      </c>
      <c r="G180" t="str">
        <f t="shared" si="4"/>
        <v>.</v>
      </c>
      <c r="H180" s="8" t="s">
        <v>385</v>
      </c>
      <c r="I180" s="8" t="s">
        <v>99</v>
      </c>
      <c r="J180" s="8" t="s">
        <v>423</v>
      </c>
      <c r="L180" t="str">
        <f t="shared" si="5"/>
        <v>.</v>
      </c>
    </row>
    <row r="181" spans="1:13" hidden="1" x14ac:dyDescent="0.45">
      <c r="A181" t="s">
        <v>14</v>
      </c>
      <c r="B181" t="s">
        <v>14</v>
      </c>
      <c r="C181">
        <v>0.2005677415454282</v>
      </c>
      <c r="D181">
        <v>0.8</v>
      </c>
      <c r="E181">
        <v>0.99929032330932133</v>
      </c>
      <c r="G181" t="str">
        <f t="shared" si="4"/>
        <v>.</v>
      </c>
      <c r="H181" s="8" t="s">
        <v>386</v>
      </c>
      <c r="I181" s="8" t="s">
        <v>387</v>
      </c>
      <c r="J181" s="8" t="s">
        <v>425</v>
      </c>
      <c r="L181" t="str">
        <f t="shared" si="5"/>
        <v>.</v>
      </c>
    </row>
    <row r="182" spans="1:13" hidden="1" x14ac:dyDescent="0.45">
      <c r="A182" t="s">
        <v>13</v>
      </c>
      <c r="B182" t="s">
        <v>13</v>
      </c>
      <c r="C182">
        <v>0.33188671132101039</v>
      </c>
      <c r="D182">
        <v>0.8</v>
      </c>
      <c r="E182">
        <v>0.92414157141107012</v>
      </c>
      <c r="G182" t="str">
        <f t="shared" si="4"/>
        <v>.</v>
      </c>
      <c r="H182" s="8" t="s">
        <v>388</v>
      </c>
      <c r="I182" s="8" t="s">
        <v>99</v>
      </c>
      <c r="J182" s="8" t="s">
        <v>420</v>
      </c>
      <c r="L182" t="str">
        <f t="shared" si="5"/>
        <v>.</v>
      </c>
    </row>
    <row r="183" spans="1:13" hidden="1" x14ac:dyDescent="0.45">
      <c r="A183" t="s">
        <v>13</v>
      </c>
      <c r="B183" t="s">
        <v>13</v>
      </c>
      <c r="C183">
        <v>0.28552067701428202</v>
      </c>
      <c r="D183">
        <v>0.8</v>
      </c>
      <c r="E183">
        <v>0.9706870301020154</v>
      </c>
      <c r="G183" t="str">
        <f t="shared" si="4"/>
        <v>.</v>
      </c>
      <c r="H183" s="8" t="s">
        <v>389</v>
      </c>
      <c r="I183" s="8" t="s">
        <v>390</v>
      </c>
      <c r="J183" s="8" t="s">
        <v>420</v>
      </c>
      <c r="L183" t="str">
        <f t="shared" si="5"/>
        <v>.</v>
      </c>
    </row>
    <row r="184" spans="1:13" hidden="1" x14ac:dyDescent="0.45">
      <c r="A184" t="s">
        <v>17</v>
      </c>
      <c r="B184" t="s">
        <v>17</v>
      </c>
      <c r="C184">
        <v>0.2009106264196574</v>
      </c>
      <c r="D184">
        <v>0.8</v>
      </c>
      <c r="E184">
        <v>0.99997238992645676</v>
      </c>
      <c r="G184" t="str">
        <f t="shared" si="4"/>
        <v>.</v>
      </c>
      <c r="H184" s="8" t="s">
        <v>391</v>
      </c>
      <c r="I184" s="8" t="s">
        <v>392</v>
      </c>
      <c r="J184" s="8" t="s">
        <v>429</v>
      </c>
      <c r="L184" t="str">
        <f t="shared" si="5"/>
        <v>.</v>
      </c>
    </row>
    <row r="185" spans="1:13" hidden="1" x14ac:dyDescent="0.45">
      <c r="A185" t="s">
        <v>13</v>
      </c>
      <c r="B185" t="s">
        <v>13</v>
      </c>
      <c r="C185">
        <v>0.21838190764429299</v>
      </c>
      <c r="D185">
        <v>0.8</v>
      </c>
      <c r="E185">
        <v>0.97702261672772872</v>
      </c>
      <c r="G185" t="str">
        <f t="shared" si="4"/>
        <v>.</v>
      </c>
      <c r="H185" s="8" t="s">
        <v>393</v>
      </c>
      <c r="I185" s="8" t="s">
        <v>99</v>
      </c>
      <c r="J185" s="8" t="s">
        <v>420</v>
      </c>
      <c r="L185" t="str">
        <f t="shared" si="5"/>
        <v>.</v>
      </c>
    </row>
    <row r="186" spans="1:13" hidden="1" x14ac:dyDescent="0.45">
      <c r="A186" t="s">
        <v>17</v>
      </c>
      <c r="B186" t="s">
        <v>17</v>
      </c>
      <c r="C186">
        <v>0.64974594871190683</v>
      </c>
      <c r="D186">
        <v>0.8</v>
      </c>
      <c r="E186">
        <v>0.43781791584918672</v>
      </c>
      <c r="G186" t="str">
        <f t="shared" si="4"/>
        <v>.</v>
      </c>
      <c r="H186" s="8" t="s">
        <v>394</v>
      </c>
      <c r="I186" s="8" t="s">
        <v>99</v>
      </c>
      <c r="J186" s="8" t="s">
        <v>429</v>
      </c>
      <c r="L186" t="str">
        <f t="shared" si="5"/>
        <v>.</v>
      </c>
    </row>
    <row r="187" spans="1:13" x14ac:dyDescent="0.45">
      <c r="A187" t="s">
        <v>8</v>
      </c>
      <c r="B187" t="s">
        <v>18</v>
      </c>
      <c r="C187">
        <v>1</v>
      </c>
      <c r="D187">
        <v>0.8</v>
      </c>
      <c r="E187">
        <v>0.49999976062915102</v>
      </c>
      <c r="G187" t="str">
        <f t="shared" si="4"/>
        <v>W</v>
      </c>
      <c r="H187" s="8" t="s">
        <v>65</v>
      </c>
      <c r="I187" s="8" t="s">
        <v>395</v>
      </c>
      <c r="J187" s="8" t="s">
        <v>427</v>
      </c>
      <c r="K187" s="8" t="s">
        <v>515</v>
      </c>
      <c r="L187" s="13" t="str">
        <f t="shared" si="5"/>
        <v>NonID</v>
      </c>
      <c r="M187" s="8" t="s">
        <v>515</v>
      </c>
    </row>
    <row r="188" spans="1:13" hidden="1" x14ac:dyDescent="0.45">
      <c r="A188" t="s">
        <v>7</v>
      </c>
      <c r="B188" t="s">
        <v>7</v>
      </c>
      <c r="C188">
        <v>0.20002208807626171</v>
      </c>
      <c r="D188">
        <v>0.8</v>
      </c>
      <c r="E188">
        <v>0.99997238992645676</v>
      </c>
      <c r="G188" t="str">
        <f t="shared" si="4"/>
        <v>.</v>
      </c>
      <c r="H188" s="8" t="s">
        <v>396</v>
      </c>
      <c r="I188" s="8" t="s">
        <v>397</v>
      </c>
      <c r="J188" s="8" t="s">
        <v>418</v>
      </c>
      <c r="L188" t="str">
        <f t="shared" si="5"/>
        <v>.</v>
      </c>
      <c r="M188" s="8" t="s">
        <v>515</v>
      </c>
    </row>
    <row r="189" spans="1:13" hidden="1" x14ac:dyDescent="0.45">
      <c r="A189" t="s">
        <v>20</v>
      </c>
      <c r="B189" t="s">
        <v>20</v>
      </c>
      <c r="C189">
        <v>0.26072018280878451</v>
      </c>
      <c r="D189">
        <v>0.8</v>
      </c>
      <c r="E189">
        <v>0.92413881725866975</v>
      </c>
      <c r="G189" t="str">
        <f t="shared" si="4"/>
        <v>.</v>
      </c>
      <c r="H189" s="8" t="s">
        <v>398</v>
      </c>
      <c r="I189" s="8" t="s">
        <v>399</v>
      </c>
      <c r="J189" s="8" t="s">
        <v>433</v>
      </c>
      <c r="L189" t="str">
        <f t="shared" si="5"/>
        <v>.</v>
      </c>
      <c r="M189" s="8" t="s">
        <v>515</v>
      </c>
    </row>
    <row r="190" spans="1:13" hidden="1" x14ac:dyDescent="0.45">
      <c r="A190" t="s">
        <v>23</v>
      </c>
      <c r="B190" t="s">
        <v>23</v>
      </c>
      <c r="C190">
        <v>0.2000987526139496</v>
      </c>
      <c r="D190">
        <v>0.8</v>
      </c>
      <c r="E190">
        <v>0.99987656475506059</v>
      </c>
      <c r="G190" t="str">
        <f t="shared" si="4"/>
        <v>.</v>
      </c>
      <c r="H190" s="8" t="s">
        <v>400</v>
      </c>
      <c r="I190" s="8" t="s">
        <v>401</v>
      </c>
      <c r="J190" s="8" t="s">
        <v>438</v>
      </c>
      <c r="L190" t="str">
        <f t="shared" si="5"/>
        <v>.</v>
      </c>
      <c r="M190" s="8" t="s">
        <v>515</v>
      </c>
    </row>
    <row r="191" spans="1:13" x14ac:dyDescent="0.45">
      <c r="A191" t="s">
        <v>10</v>
      </c>
      <c r="B191" t="s">
        <v>18</v>
      </c>
      <c r="C191">
        <v>1</v>
      </c>
      <c r="D191">
        <v>0.8</v>
      </c>
      <c r="E191">
        <v>1.798620273753547E-2</v>
      </c>
      <c r="G191" t="str">
        <f t="shared" si="4"/>
        <v>W</v>
      </c>
      <c r="H191" s="8" t="s">
        <v>402</v>
      </c>
      <c r="I191" s="8" t="s">
        <v>99</v>
      </c>
      <c r="J191" s="8" t="s">
        <v>421</v>
      </c>
      <c r="K191" s="8" t="s">
        <v>514</v>
      </c>
      <c r="L191" s="13" t="str">
        <f t="shared" si="5"/>
        <v>NonID</v>
      </c>
      <c r="M191" s="8" t="s">
        <v>514</v>
      </c>
    </row>
    <row r="192" spans="1:13" hidden="1" x14ac:dyDescent="0.45">
      <c r="A192" t="s">
        <v>13</v>
      </c>
      <c r="B192" t="s">
        <v>13</v>
      </c>
      <c r="C192">
        <v>0.2301022086328687</v>
      </c>
      <c r="D192">
        <v>0.8</v>
      </c>
      <c r="E192">
        <v>0.96267211193808078</v>
      </c>
      <c r="G192" t="str">
        <f t="shared" si="4"/>
        <v>.</v>
      </c>
      <c r="H192" s="8" t="s">
        <v>403</v>
      </c>
      <c r="I192" s="8" t="s">
        <v>99</v>
      </c>
      <c r="J192" s="8" t="s">
        <v>420</v>
      </c>
      <c r="L192" t="str">
        <f t="shared" si="5"/>
        <v>.</v>
      </c>
      <c r="M192" s="8" t="s">
        <v>515</v>
      </c>
    </row>
    <row r="193" spans="1:13" hidden="1" x14ac:dyDescent="0.45">
      <c r="A193" t="s">
        <v>6</v>
      </c>
      <c r="B193" t="s">
        <v>6</v>
      </c>
      <c r="C193">
        <v>0.2000023483993687</v>
      </c>
      <c r="D193">
        <v>0.8</v>
      </c>
      <c r="E193">
        <v>0.99999706470747396</v>
      </c>
      <c r="G193" t="str">
        <f t="shared" si="4"/>
        <v>.</v>
      </c>
      <c r="H193" s="8" t="s">
        <v>404</v>
      </c>
      <c r="I193" s="8" t="s">
        <v>405</v>
      </c>
      <c r="J193" s="8" t="s">
        <v>417</v>
      </c>
      <c r="L193" t="str">
        <f t="shared" si="5"/>
        <v>.</v>
      </c>
      <c r="M193" s="8" t="s">
        <v>515</v>
      </c>
    </row>
    <row r="194" spans="1:13" hidden="1" x14ac:dyDescent="0.45">
      <c r="A194" t="s">
        <v>17</v>
      </c>
      <c r="B194" t="s">
        <v>17</v>
      </c>
      <c r="C194">
        <v>0.2015416563992852</v>
      </c>
      <c r="D194">
        <v>0.8</v>
      </c>
      <c r="E194">
        <v>0.99807322600355197</v>
      </c>
      <c r="G194" t="str">
        <f t="shared" si="4"/>
        <v>.</v>
      </c>
      <c r="H194" s="8" t="s">
        <v>406</v>
      </c>
      <c r="I194" s="8" t="s">
        <v>407</v>
      </c>
      <c r="J194" s="8" t="s">
        <v>429</v>
      </c>
      <c r="L194" t="str">
        <f t="shared" si="5"/>
        <v>.</v>
      </c>
      <c r="M194" s="8" t="s">
        <v>515</v>
      </c>
    </row>
    <row r="195" spans="1:13" hidden="1" x14ac:dyDescent="0.45">
      <c r="A195" t="s">
        <v>13</v>
      </c>
      <c r="B195" t="s">
        <v>13</v>
      </c>
      <c r="C195">
        <v>0.22412405431506571</v>
      </c>
      <c r="D195">
        <v>0.8</v>
      </c>
      <c r="E195">
        <v>0.97068748030544638</v>
      </c>
      <c r="G195" t="str">
        <f t="shared" ref="G195:G258" si="6">IF(A195=B195,".","W")</f>
        <v>.</v>
      </c>
      <c r="H195" s="8" t="s">
        <v>408</v>
      </c>
      <c r="I195" s="8" t="s">
        <v>99</v>
      </c>
      <c r="J195" s="8" t="s">
        <v>420</v>
      </c>
      <c r="L195" t="str">
        <f t="shared" ref="L195:L258" si="7">IF(C195&lt;=$L$1,".","NonID")</f>
        <v>.</v>
      </c>
    </row>
    <row r="196" spans="1:13" hidden="1" x14ac:dyDescent="0.45">
      <c r="A196" t="s">
        <v>13</v>
      </c>
      <c r="B196" t="s">
        <v>13</v>
      </c>
      <c r="C196">
        <v>0.2234503805521596</v>
      </c>
      <c r="D196">
        <v>0.8</v>
      </c>
      <c r="E196">
        <v>0.9706870301020154</v>
      </c>
      <c r="G196" t="str">
        <f t="shared" si="6"/>
        <v>.</v>
      </c>
      <c r="H196" s="8" t="s">
        <v>409</v>
      </c>
      <c r="I196" s="8" t="s">
        <v>390</v>
      </c>
      <c r="J196" s="8" t="s">
        <v>420</v>
      </c>
      <c r="L196" t="str">
        <f t="shared" si="7"/>
        <v>.</v>
      </c>
    </row>
    <row r="197" spans="1:13" hidden="1" x14ac:dyDescent="0.45">
      <c r="A197" t="s">
        <v>14</v>
      </c>
      <c r="B197" t="s">
        <v>14</v>
      </c>
      <c r="C197">
        <v>0.20197810884635589</v>
      </c>
      <c r="D197">
        <v>0.8</v>
      </c>
      <c r="E197">
        <v>0.99752740325115785</v>
      </c>
      <c r="G197" t="str">
        <f t="shared" si="6"/>
        <v>.</v>
      </c>
      <c r="H197" s="8" t="s">
        <v>410</v>
      </c>
      <c r="I197" s="8" t="s">
        <v>411</v>
      </c>
      <c r="J197" s="8" t="s">
        <v>425</v>
      </c>
      <c r="L197" t="str">
        <f t="shared" si="7"/>
        <v>.</v>
      </c>
    </row>
    <row r="198" spans="1:13" hidden="1" x14ac:dyDescent="0.45">
      <c r="A198" t="s">
        <v>17</v>
      </c>
      <c r="B198" t="s">
        <v>17</v>
      </c>
      <c r="C198">
        <v>0.20072933588367869</v>
      </c>
      <c r="D198">
        <v>0.8</v>
      </c>
      <c r="E198">
        <v>0.99908895173900303</v>
      </c>
      <c r="G198" t="str">
        <f t="shared" si="6"/>
        <v>.</v>
      </c>
      <c r="H198" s="8" t="s">
        <v>412</v>
      </c>
      <c r="I198" s="8" t="s">
        <v>413</v>
      </c>
      <c r="J198" s="8" t="s">
        <v>429</v>
      </c>
      <c r="L198" t="str">
        <f t="shared" si="7"/>
        <v>.</v>
      </c>
    </row>
    <row r="199" spans="1:13" hidden="1" x14ac:dyDescent="0.45">
      <c r="A199" t="s">
        <v>13</v>
      </c>
      <c r="B199" t="s">
        <v>13</v>
      </c>
      <c r="C199">
        <v>0.22180144496132301</v>
      </c>
      <c r="D199">
        <v>0.8</v>
      </c>
      <c r="E199">
        <v>0.97702261672772872</v>
      </c>
      <c r="G199" t="str">
        <f t="shared" si="6"/>
        <v>.</v>
      </c>
      <c r="H199" s="8" t="s">
        <v>414</v>
      </c>
      <c r="I199" s="8" t="s">
        <v>99</v>
      </c>
      <c r="J199" s="8" t="s">
        <v>420</v>
      </c>
      <c r="L199" t="str">
        <f t="shared" si="7"/>
        <v>.</v>
      </c>
    </row>
    <row r="200" spans="1:13" hidden="1" x14ac:dyDescent="0.45">
      <c r="A200" t="s">
        <v>7</v>
      </c>
      <c r="B200" t="s">
        <v>7</v>
      </c>
      <c r="C200">
        <v>0.29536255412063461</v>
      </c>
      <c r="D200">
        <v>0.8</v>
      </c>
      <c r="E200">
        <v>0.880796810635188</v>
      </c>
      <c r="G200" t="str">
        <f t="shared" si="6"/>
        <v>.</v>
      </c>
      <c r="H200" s="8" t="s">
        <v>98</v>
      </c>
      <c r="I200" s="8" t="s">
        <v>99</v>
      </c>
      <c r="J200" s="8" t="s">
        <v>418</v>
      </c>
      <c r="L200" t="str">
        <f t="shared" si="7"/>
        <v>.</v>
      </c>
    </row>
    <row r="201" spans="1:13" hidden="1" x14ac:dyDescent="0.45">
      <c r="A201" t="s">
        <v>13</v>
      </c>
      <c r="B201" t="s">
        <v>13</v>
      </c>
      <c r="C201">
        <v>0.20926680305366319</v>
      </c>
      <c r="D201">
        <v>0.8</v>
      </c>
      <c r="E201">
        <v>0.98901275129562083</v>
      </c>
      <c r="G201" t="str">
        <f t="shared" si="6"/>
        <v>.</v>
      </c>
      <c r="H201" s="8" t="s">
        <v>440</v>
      </c>
      <c r="I201" s="8" t="s">
        <v>99</v>
      </c>
      <c r="J201" s="8" t="s">
        <v>420</v>
      </c>
      <c r="L201" t="str">
        <f t="shared" si="7"/>
        <v>.</v>
      </c>
    </row>
    <row r="202" spans="1:13" x14ac:dyDescent="0.45">
      <c r="A202" t="s">
        <v>13</v>
      </c>
      <c r="B202" t="s">
        <v>18</v>
      </c>
      <c r="C202">
        <v>0.55210792297218969</v>
      </c>
      <c r="D202">
        <v>0.8</v>
      </c>
      <c r="E202">
        <v>0.92413881725866975</v>
      </c>
      <c r="G202" t="str">
        <f t="shared" si="6"/>
        <v>W</v>
      </c>
      <c r="H202" s="8" t="s">
        <v>441</v>
      </c>
      <c r="I202" s="8" t="s">
        <v>99</v>
      </c>
      <c r="J202" s="8" t="s">
        <v>420</v>
      </c>
      <c r="K202" s="8" t="s">
        <v>514</v>
      </c>
      <c r="L202" t="str">
        <f t="shared" si="7"/>
        <v>.</v>
      </c>
    </row>
    <row r="203" spans="1:13" hidden="1" x14ac:dyDescent="0.45">
      <c r="A203" t="s">
        <v>5</v>
      </c>
      <c r="B203" t="s">
        <v>5</v>
      </c>
      <c r="C203">
        <v>6.2729819498841266E-6</v>
      </c>
      <c r="D203">
        <v>1</v>
      </c>
      <c r="E203">
        <v>0.99999372702007638</v>
      </c>
      <c r="G203" t="str">
        <f t="shared" si="6"/>
        <v>.</v>
      </c>
      <c r="H203" s="8" t="s">
        <v>176</v>
      </c>
      <c r="I203" s="8" t="s">
        <v>177</v>
      </c>
      <c r="J203" s="8" t="s">
        <v>423</v>
      </c>
      <c r="L203" t="str">
        <f t="shared" si="7"/>
        <v>.</v>
      </c>
    </row>
    <row r="204" spans="1:13" hidden="1" x14ac:dyDescent="0.45">
      <c r="A204" t="s">
        <v>13</v>
      </c>
      <c r="B204" t="s">
        <v>13</v>
      </c>
      <c r="C204">
        <v>0.33104840136553398</v>
      </c>
      <c r="D204">
        <v>0.8</v>
      </c>
      <c r="E204">
        <v>0.85195032289157824</v>
      </c>
      <c r="G204" t="str">
        <f t="shared" si="6"/>
        <v>.</v>
      </c>
      <c r="H204" s="8" t="s">
        <v>271</v>
      </c>
      <c r="I204" s="8" t="s">
        <v>99</v>
      </c>
      <c r="J204" s="8" t="s">
        <v>420</v>
      </c>
      <c r="L204" t="str">
        <f t="shared" si="7"/>
        <v>.</v>
      </c>
    </row>
    <row r="205" spans="1:13" hidden="1" x14ac:dyDescent="0.45">
      <c r="A205" t="s">
        <v>15</v>
      </c>
      <c r="B205" t="s">
        <v>15</v>
      </c>
      <c r="C205">
        <v>0.20535439359608329</v>
      </c>
      <c r="D205">
        <v>0.8</v>
      </c>
      <c r="E205">
        <v>0.99330700849498244</v>
      </c>
      <c r="G205" t="str">
        <f t="shared" si="6"/>
        <v>.</v>
      </c>
      <c r="H205" s="8" t="s">
        <v>219</v>
      </c>
      <c r="I205" s="8" t="s">
        <v>220</v>
      </c>
      <c r="J205" s="8" t="s">
        <v>426</v>
      </c>
      <c r="L205" t="str">
        <f t="shared" si="7"/>
        <v>.</v>
      </c>
    </row>
    <row r="206" spans="1:13" hidden="1" x14ac:dyDescent="0.45">
      <c r="A206" t="s">
        <v>15</v>
      </c>
      <c r="B206" t="s">
        <v>15</v>
      </c>
      <c r="C206">
        <v>0.20093563283749821</v>
      </c>
      <c r="D206">
        <v>0.8</v>
      </c>
      <c r="E206">
        <v>0.99883045900532441</v>
      </c>
      <c r="G206" t="str">
        <f t="shared" si="6"/>
        <v>.</v>
      </c>
      <c r="H206" s="8" t="s">
        <v>379</v>
      </c>
      <c r="I206" s="8" t="s">
        <v>380</v>
      </c>
      <c r="J206" s="8" t="s">
        <v>426</v>
      </c>
      <c r="L206" t="str">
        <f t="shared" si="7"/>
        <v>.</v>
      </c>
    </row>
    <row r="207" spans="1:13" hidden="1" x14ac:dyDescent="0.45">
      <c r="A207" t="s">
        <v>5</v>
      </c>
      <c r="B207" t="s">
        <v>5</v>
      </c>
      <c r="C207">
        <v>0.73105907568824835</v>
      </c>
      <c r="D207">
        <v>1</v>
      </c>
      <c r="E207">
        <v>0.26894092437172351</v>
      </c>
      <c r="G207" t="str">
        <f t="shared" si="6"/>
        <v>.</v>
      </c>
      <c r="H207" s="8" t="s">
        <v>354</v>
      </c>
      <c r="I207" s="8" t="s">
        <v>355</v>
      </c>
      <c r="J207" s="8" t="s">
        <v>423</v>
      </c>
      <c r="L207" t="str">
        <f t="shared" si="7"/>
        <v>.</v>
      </c>
    </row>
    <row r="208" spans="1:13" hidden="1" x14ac:dyDescent="0.45">
      <c r="A208" t="s">
        <v>5</v>
      </c>
      <c r="B208" t="s">
        <v>5</v>
      </c>
      <c r="C208">
        <v>0.99845861259892077</v>
      </c>
      <c r="D208">
        <v>0.8</v>
      </c>
      <c r="E208">
        <v>1.9267342527389899E-3</v>
      </c>
      <c r="G208" t="str">
        <f t="shared" si="6"/>
        <v>.</v>
      </c>
      <c r="H208" s="8" t="s">
        <v>238</v>
      </c>
      <c r="I208" s="8" t="s">
        <v>239</v>
      </c>
      <c r="J208" s="8" t="s">
        <v>435</v>
      </c>
      <c r="L208" s="13" t="str">
        <f t="shared" si="7"/>
        <v>NonID</v>
      </c>
      <c r="M208" s="8" t="s">
        <v>515</v>
      </c>
    </row>
    <row r="209" spans="1:12" hidden="1" x14ac:dyDescent="0.45">
      <c r="A209" t="s">
        <v>10</v>
      </c>
      <c r="B209" t="s">
        <v>10</v>
      </c>
      <c r="C209">
        <v>0.2480709256830114</v>
      </c>
      <c r="D209">
        <v>0.8</v>
      </c>
      <c r="E209">
        <v>0.93991199480533294</v>
      </c>
      <c r="G209" t="str">
        <f t="shared" si="6"/>
        <v>.</v>
      </c>
      <c r="H209" s="8" t="s">
        <v>115</v>
      </c>
      <c r="I209" s="8" t="s">
        <v>116</v>
      </c>
      <c r="J209" s="8" t="s">
        <v>421</v>
      </c>
      <c r="L209" t="str">
        <f t="shared" si="7"/>
        <v>.</v>
      </c>
    </row>
    <row r="210" spans="1:12" hidden="1" x14ac:dyDescent="0.45">
      <c r="A210" t="s">
        <v>5</v>
      </c>
      <c r="B210" t="s">
        <v>5</v>
      </c>
      <c r="C210">
        <v>0.3459407769313857</v>
      </c>
      <c r="D210">
        <v>0.8</v>
      </c>
      <c r="E210">
        <v>0.81757402884027097</v>
      </c>
      <c r="G210" t="str">
        <f t="shared" si="6"/>
        <v>.</v>
      </c>
      <c r="H210" s="8" t="s">
        <v>94</v>
      </c>
      <c r="I210" s="8" t="s">
        <v>95</v>
      </c>
      <c r="J210" s="8" t="s">
        <v>416</v>
      </c>
      <c r="L210" t="str">
        <f t="shared" si="7"/>
        <v>.</v>
      </c>
    </row>
    <row r="211" spans="1:12" hidden="1" x14ac:dyDescent="0.45">
      <c r="A211" t="s">
        <v>8</v>
      </c>
      <c r="B211" t="s">
        <v>8</v>
      </c>
      <c r="C211">
        <v>0.20072883891742779</v>
      </c>
      <c r="D211">
        <v>0.8</v>
      </c>
      <c r="E211">
        <v>0.99908895173900303</v>
      </c>
      <c r="G211" t="str">
        <f t="shared" si="6"/>
        <v>.</v>
      </c>
      <c r="H211" s="8" t="s">
        <v>65</v>
      </c>
      <c r="I211" s="8" t="s">
        <v>395</v>
      </c>
      <c r="J211" s="8" t="s">
        <v>427</v>
      </c>
      <c r="L211" t="str">
        <f t="shared" si="7"/>
        <v>.</v>
      </c>
    </row>
    <row r="212" spans="1:12" hidden="1" x14ac:dyDescent="0.45">
      <c r="A212" t="s">
        <v>7</v>
      </c>
      <c r="B212" t="s">
        <v>7</v>
      </c>
      <c r="C212">
        <v>0.20016320269439369</v>
      </c>
      <c r="D212">
        <v>0.8</v>
      </c>
      <c r="E212">
        <v>0.99979648032432844</v>
      </c>
      <c r="G212" t="str">
        <f t="shared" si="6"/>
        <v>.</v>
      </c>
      <c r="H212" s="8" t="s">
        <v>291</v>
      </c>
      <c r="I212" s="8" t="s">
        <v>292</v>
      </c>
      <c r="J212" s="8" t="s">
        <v>436</v>
      </c>
      <c r="L212" t="str">
        <f t="shared" si="7"/>
        <v>.</v>
      </c>
    </row>
    <row r="213" spans="1:12" hidden="1" x14ac:dyDescent="0.45">
      <c r="A213" t="s">
        <v>15</v>
      </c>
      <c r="B213" t="s">
        <v>15</v>
      </c>
      <c r="C213">
        <v>0.20325617169180471</v>
      </c>
      <c r="D213">
        <v>0.8</v>
      </c>
      <c r="E213">
        <v>0.99592978540693999</v>
      </c>
      <c r="G213" t="str">
        <f t="shared" si="6"/>
        <v>.</v>
      </c>
      <c r="H213" s="8" t="s">
        <v>275</v>
      </c>
      <c r="I213" s="8" t="s">
        <v>276</v>
      </c>
      <c r="J213" s="8" t="s">
        <v>426</v>
      </c>
      <c r="L213" t="str">
        <f t="shared" si="7"/>
        <v>.</v>
      </c>
    </row>
    <row r="214" spans="1:12" hidden="1" x14ac:dyDescent="0.45">
      <c r="A214" t="s">
        <v>10</v>
      </c>
      <c r="B214" t="s">
        <v>10</v>
      </c>
      <c r="C214">
        <v>0.34594337963067773</v>
      </c>
      <c r="D214">
        <v>0.8</v>
      </c>
      <c r="E214">
        <v>0.81757131207985145</v>
      </c>
      <c r="G214" t="str">
        <f t="shared" si="6"/>
        <v>.</v>
      </c>
      <c r="H214" s="8" t="s">
        <v>111</v>
      </c>
      <c r="I214" s="8" t="s">
        <v>112</v>
      </c>
      <c r="J214" s="8" t="s">
        <v>421</v>
      </c>
      <c r="L214" t="str">
        <f t="shared" si="7"/>
        <v>.</v>
      </c>
    </row>
    <row r="215" spans="1:12" hidden="1" x14ac:dyDescent="0.45">
      <c r="A215" t="s">
        <v>11</v>
      </c>
      <c r="B215" t="s">
        <v>11</v>
      </c>
      <c r="C215">
        <v>0.20012677873136139</v>
      </c>
      <c r="D215">
        <v>0.8</v>
      </c>
      <c r="E215">
        <v>0.99984152748927191</v>
      </c>
      <c r="G215" t="str">
        <f t="shared" si="6"/>
        <v>.</v>
      </c>
      <c r="H215" s="8" t="s">
        <v>104</v>
      </c>
      <c r="I215" s="8" t="s">
        <v>105</v>
      </c>
      <c r="J215" s="8" t="s">
        <v>422</v>
      </c>
      <c r="L215" t="str">
        <f t="shared" si="7"/>
        <v>.</v>
      </c>
    </row>
    <row r="216" spans="1:12" hidden="1" x14ac:dyDescent="0.45">
      <c r="A216" t="s">
        <v>20</v>
      </c>
      <c r="B216" t="s">
        <v>20</v>
      </c>
      <c r="C216">
        <v>0.20120105328811461</v>
      </c>
      <c r="D216">
        <v>0.8</v>
      </c>
      <c r="E216">
        <v>0.99849876799337189</v>
      </c>
      <c r="G216" t="str">
        <f t="shared" si="6"/>
        <v>.</v>
      </c>
      <c r="H216" s="9" t="s">
        <v>398</v>
      </c>
      <c r="I216" s="8" t="s">
        <v>399</v>
      </c>
      <c r="J216" s="8" t="s">
        <v>433</v>
      </c>
      <c r="L216" t="str">
        <f t="shared" si="7"/>
        <v>.</v>
      </c>
    </row>
    <row r="217" spans="1:12" hidden="1" x14ac:dyDescent="0.45">
      <c r="A217" t="s">
        <v>7</v>
      </c>
      <c r="B217" t="s">
        <v>7</v>
      </c>
      <c r="C217">
        <v>0.20253814098101569</v>
      </c>
      <c r="D217">
        <v>0.8</v>
      </c>
      <c r="E217">
        <v>0.99682732998531542</v>
      </c>
      <c r="G217" t="str">
        <f t="shared" si="6"/>
        <v>.</v>
      </c>
      <c r="H217" s="8" t="s">
        <v>261</v>
      </c>
      <c r="I217" s="8" t="s">
        <v>262</v>
      </c>
      <c r="J217" s="8" t="s">
        <v>436</v>
      </c>
      <c r="L217" t="str">
        <f t="shared" si="7"/>
        <v>.</v>
      </c>
    </row>
    <row r="218" spans="1:12" hidden="1" x14ac:dyDescent="0.45">
      <c r="A218" t="s">
        <v>5</v>
      </c>
      <c r="B218" t="s">
        <v>5</v>
      </c>
      <c r="C218">
        <v>0.78484723486257801</v>
      </c>
      <c r="D218">
        <v>0.8</v>
      </c>
      <c r="E218">
        <v>0.26894095643198179</v>
      </c>
      <c r="G218" t="str">
        <f t="shared" si="6"/>
        <v>.</v>
      </c>
      <c r="H218" s="8" t="s">
        <v>333</v>
      </c>
      <c r="I218" s="8" t="s">
        <v>334</v>
      </c>
      <c r="J218" s="8" t="s">
        <v>435</v>
      </c>
      <c r="L218" t="str">
        <f t="shared" si="7"/>
        <v>.</v>
      </c>
    </row>
    <row r="219" spans="1:12" hidden="1" x14ac:dyDescent="0.45">
      <c r="A219" t="s">
        <v>5</v>
      </c>
      <c r="B219" t="s">
        <v>5</v>
      </c>
      <c r="C219">
        <v>0.21125131594687149</v>
      </c>
      <c r="D219">
        <v>0.8</v>
      </c>
      <c r="E219">
        <v>0.98593585515135818</v>
      </c>
      <c r="G219" t="str">
        <f t="shared" si="6"/>
        <v>.</v>
      </c>
      <c r="H219" s="8" t="s">
        <v>269</v>
      </c>
      <c r="I219" s="8" t="s">
        <v>270</v>
      </c>
      <c r="J219" s="8" t="s">
        <v>416</v>
      </c>
      <c r="L219" t="str">
        <f t="shared" si="7"/>
        <v>.</v>
      </c>
    </row>
    <row r="220" spans="1:12" hidden="1" x14ac:dyDescent="0.45">
      <c r="A220" t="s">
        <v>15</v>
      </c>
      <c r="B220" t="s">
        <v>15</v>
      </c>
      <c r="C220">
        <v>0.20325621452586851</v>
      </c>
      <c r="D220">
        <v>0.8</v>
      </c>
      <c r="E220">
        <v>0.99592978540693999</v>
      </c>
      <c r="G220" t="str">
        <f t="shared" si="6"/>
        <v>.</v>
      </c>
      <c r="H220" s="8" t="s">
        <v>372</v>
      </c>
      <c r="I220" s="8" t="s">
        <v>99</v>
      </c>
      <c r="J220" s="8" t="s">
        <v>426</v>
      </c>
      <c r="L220" t="str">
        <f t="shared" si="7"/>
        <v>.</v>
      </c>
    </row>
    <row r="221" spans="1:12" hidden="1" x14ac:dyDescent="0.45">
      <c r="A221" t="s">
        <v>15</v>
      </c>
      <c r="B221" t="s">
        <v>15</v>
      </c>
      <c r="C221">
        <v>0.20007691847845521</v>
      </c>
      <c r="D221">
        <v>0.8</v>
      </c>
      <c r="E221">
        <v>0.99990385206411014</v>
      </c>
      <c r="G221" t="str">
        <f t="shared" si="6"/>
        <v>.</v>
      </c>
      <c r="H221" s="8" t="s">
        <v>178</v>
      </c>
      <c r="I221" s="8" t="s">
        <v>179</v>
      </c>
      <c r="J221" s="8" t="s">
        <v>426</v>
      </c>
      <c r="L221" t="str">
        <f t="shared" si="7"/>
        <v>.</v>
      </c>
    </row>
    <row r="222" spans="1:12" hidden="1" x14ac:dyDescent="0.45">
      <c r="A222" t="s">
        <v>15</v>
      </c>
      <c r="B222" t="s">
        <v>15</v>
      </c>
      <c r="C222">
        <v>0.20072883863413141</v>
      </c>
      <c r="D222">
        <v>0.8</v>
      </c>
      <c r="E222">
        <v>0.99908895173900303</v>
      </c>
      <c r="G222" t="str">
        <f t="shared" si="6"/>
        <v>.</v>
      </c>
      <c r="H222" s="8" t="s">
        <v>138</v>
      </c>
      <c r="I222" s="8" t="s">
        <v>139</v>
      </c>
      <c r="J222" s="8" t="s">
        <v>426</v>
      </c>
      <c r="L222" t="str">
        <f t="shared" si="7"/>
        <v>.</v>
      </c>
    </row>
    <row r="223" spans="1:12" hidden="1" x14ac:dyDescent="0.45">
      <c r="A223" t="s">
        <v>13</v>
      </c>
      <c r="B223" t="s">
        <v>13</v>
      </c>
      <c r="C223">
        <v>0.32414821210938111</v>
      </c>
      <c r="D223">
        <v>0.8</v>
      </c>
      <c r="E223">
        <v>0.97068770450321673</v>
      </c>
      <c r="G223" t="str">
        <f t="shared" si="6"/>
        <v>.</v>
      </c>
      <c r="H223" s="8" t="s">
        <v>159</v>
      </c>
      <c r="I223" s="8" t="s">
        <v>99</v>
      </c>
      <c r="J223" s="8" t="s">
        <v>420</v>
      </c>
      <c r="L223" t="str">
        <f t="shared" si="7"/>
        <v>.</v>
      </c>
    </row>
    <row r="224" spans="1:12" hidden="1" x14ac:dyDescent="0.45">
      <c r="A224" t="s">
        <v>17</v>
      </c>
      <c r="B224" t="s">
        <v>17</v>
      </c>
      <c r="C224">
        <v>0.2001035652209521</v>
      </c>
      <c r="D224">
        <v>0.8</v>
      </c>
      <c r="E224">
        <v>0.99987656475506059</v>
      </c>
      <c r="G224" t="str">
        <f t="shared" si="6"/>
        <v>.</v>
      </c>
      <c r="H224" s="8" t="s">
        <v>155</v>
      </c>
      <c r="I224" s="8" t="s">
        <v>156</v>
      </c>
      <c r="J224" s="8" t="s">
        <v>429</v>
      </c>
      <c r="L224" t="str">
        <f t="shared" si="7"/>
        <v>.</v>
      </c>
    </row>
    <row r="225" spans="1:13" hidden="1" x14ac:dyDescent="0.45">
      <c r="A225" t="s">
        <v>19</v>
      </c>
      <c r="B225" t="s">
        <v>18</v>
      </c>
      <c r="C225">
        <v>1</v>
      </c>
      <c r="D225">
        <v>0.8</v>
      </c>
      <c r="E225">
        <v>6.6928512642157227E-3</v>
      </c>
      <c r="G225" t="str">
        <f t="shared" si="6"/>
        <v>W</v>
      </c>
      <c r="H225" s="9" t="s">
        <v>157</v>
      </c>
      <c r="I225" s="8" t="s">
        <v>158</v>
      </c>
      <c r="J225" s="8" t="s">
        <v>430</v>
      </c>
      <c r="K225" t="s">
        <v>513</v>
      </c>
      <c r="L225" s="13" t="str">
        <f t="shared" si="7"/>
        <v>NonID</v>
      </c>
      <c r="M225" t="s">
        <v>513</v>
      </c>
    </row>
    <row r="226" spans="1:13" hidden="1" x14ac:dyDescent="0.45">
      <c r="A226" t="s">
        <v>13</v>
      </c>
      <c r="B226" t="s">
        <v>13</v>
      </c>
      <c r="C226">
        <v>0.22986276049844781</v>
      </c>
      <c r="D226">
        <v>0.8</v>
      </c>
      <c r="E226">
        <v>0.96267155965834494</v>
      </c>
      <c r="G226" t="str">
        <f t="shared" si="6"/>
        <v>.</v>
      </c>
      <c r="H226" s="8" t="s">
        <v>442</v>
      </c>
      <c r="I226" s="8" t="s">
        <v>443</v>
      </c>
      <c r="J226" s="8" t="s">
        <v>420</v>
      </c>
      <c r="L226" t="str">
        <f t="shared" si="7"/>
        <v>.</v>
      </c>
    </row>
    <row r="227" spans="1:13" hidden="1" x14ac:dyDescent="0.45">
      <c r="A227" t="s">
        <v>19</v>
      </c>
      <c r="B227" t="s">
        <v>8</v>
      </c>
      <c r="C227">
        <v>0.21125094558976179</v>
      </c>
      <c r="D227">
        <v>0.8</v>
      </c>
      <c r="E227">
        <v>0.98593632069119785</v>
      </c>
      <c r="G227" t="str">
        <f t="shared" si="6"/>
        <v>W</v>
      </c>
      <c r="H227" s="8" t="s">
        <v>444</v>
      </c>
      <c r="I227" s="8" t="s">
        <v>99</v>
      </c>
      <c r="J227" s="8" t="s">
        <v>432</v>
      </c>
      <c r="L227" s="13" t="str">
        <f t="shared" si="7"/>
        <v>.</v>
      </c>
      <c r="M227" s="8" t="s">
        <v>514</v>
      </c>
    </row>
    <row r="228" spans="1:13" hidden="1" x14ac:dyDescent="0.45">
      <c r="A228" t="s">
        <v>13</v>
      </c>
      <c r="B228" t="s">
        <v>13</v>
      </c>
      <c r="C228">
        <v>0.22643932525900179</v>
      </c>
      <c r="D228">
        <v>0.8</v>
      </c>
      <c r="E228">
        <v>0.97068669018952314</v>
      </c>
      <c r="G228" t="str">
        <f t="shared" si="6"/>
        <v>.</v>
      </c>
      <c r="H228" s="8" t="s">
        <v>359</v>
      </c>
      <c r="I228" s="8" t="s">
        <v>99</v>
      </c>
      <c r="J228" s="8" t="s">
        <v>420</v>
      </c>
      <c r="L228" t="str">
        <f t="shared" si="7"/>
        <v>.</v>
      </c>
    </row>
    <row r="229" spans="1:13" hidden="1" x14ac:dyDescent="0.45">
      <c r="A229" t="s">
        <v>5</v>
      </c>
      <c r="B229" t="s">
        <v>5</v>
      </c>
      <c r="C229">
        <v>0.22344992903024249</v>
      </c>
      <c r="D229">
        <v>0.8</v>
      </c>
      <c r="E229">
        <v>0.97068758878823203</v>
      </c>
      <c r="G229" t="str">
        <f t="shared" si="6"/>
        <v>.</v>
      </c>
      <c r="H229" s="8" t="s">
        <v>213</v>
      </c>
      <c r="I229" s="8" t="s">
        <v>214</v>
      </c>
      <c r="J229" s="8" t="s">
        <v>416</v>
      </c>
      <c r="L229" t="str">
        <f t="shared" si="7"/>
        <v>.</v>
      </c>
    </row>
    <row r="230" spans="1:13" hidden="1" x14ac:dyDescent="0.45">
      <c r="A230" t="s">
        <v>8</v>
      </c>
      <c r="B230" t="s">
        <v>8</v>
      </c>
      <c r="C230">
        <v>0.20002218619359291</v>
      </c>
      <c r="D230">
        <v>0.8</v>
      </c>
      <c r="E230">
        <v>0.99997238992645676</v>
      </c>
      <c r="G230" t="str">
        <f t="shared" si="6"/>
        <v>.</v>
      </c>
      <c r="H230" s="8" t="s">
        <v>191</v>
      </c>
      <c r="I230" s="8" t="s">
        <v>192</v>
      </c>
      <c r="J230" s="8" t="s">
        <v>427</v>
      </c>
      <c r="L230" t="str">
        <f t="shared" si="7"/>
        <v>.</v>
      </c>
    </row>
    <row r="231" spans="1:13" hidden="1" x14ac:dyDescent="0.45">
      <c r="A231" t="s">
        <v>14</v>
      </c>
      <c r="B231" t="s">
        <v>14</v>
      </c>
      <c r="C231">
        <v>0.20120098708515879</v>
      </c>
      <c r="D231">
        <v>0.8</v>
      </c>
      <c r="E231">
        <v>0.99849876799337189</v>
      </c>
      <c r="G231" t="str">
        <f t="shared" si="6"/>
        <v>.</v>
      </c>
      <c r="H231" s="8" t="s">
        <v>162</v>
      </c>
      <c r="I231" s="8" t="s">
        <v>163</v>
      </c>
      <c r="J231" s="8" t="s">
        <v>425</v>
      </c>
      <c r="L231" t="str">
        <f t="shared" si="7"/>
        <v>.</v>
      </c>
    </row>
    <row r="232" spans="1:13" hidden="1" x14ac:dyDescent="0.45">
      <c r="A232" t="s">
        <v>17</v>
      </c>
      <c r="B232" t="s">
        <v>17</v>
      </c>
      <c r="C232">
        <v>0.20000234833748251</v>
      </c>
      <c r="D232">
        <v>0.8</v>
      </c>
      <c r="E232">
        <v>0.99999706470747396</v>
      </c>
      <c r="G232" t="str">
        <f t="shared" si="6"/>
        <v>.</v>
      </c>
      <c r="H232" s="8" t="s">
        <v>445</v>
      </c>
      <c r="I232" s="8" t="s">
        <v>446</v>
      </c>
      <c r="J232" s="8" t="s">
        <v>429</v>
      </c>
      <c r="L232" t="str">
        <f t="shared" si="7"/>
        <v>.</v>
      </c>
    </row>
    <row r="233" spans="1:13" hidden="1" x14ac:dyDescent="0.45">
      <c r="A233" t="s">
        <v>13</v>
      </c>
      <c r="B233" t="s">
        <v>13</v>
      </c>
      <c r="C233">
        <v>0.21838240857921809</v>
      </c>
      <c r="D233">
        <v>0.8</v>
      </c>
      <c r="E233">
        <v>0.97702227641650419</v>
      </c>
      <c r="G233" t="str">
        <f t="shared" si="6"/>
        <v>.</v>
      </c>
      <c r="H233" s="8" t="s">
        <v>127</v>
      </c>
      <c r="I233" s="8" t="s">
        <v>128</v>
      </c>
      <c r="J233" s="8" t="s">
        <v>420</v>
      </c>
      <c r="L233" t="str">
        <f t="shared" si="7"/>
        <v>.</v>
      </c>
    </row>
    <row r="234" spans="1:13" x14ac:dyDescent="0.45">
      <c r="A234" t="s">
        <v>13</v>
      </c>
      <c r="B234" t="s">
        <v>5</v>
      </c>
      <c r="C234">
        <v>0.97688801387725299</v>
      </c>
      <c r="D234">
        <v>0.8</v>
      </c>
      <c r="E234">
        <v>2.931221187075168E-2</v>
      </c>
      <c r="G234" t="str">
        <f t="shared" si="6"/>
        <v>W</v>
      </c>
      <c r="H234" s="8" t="s">
        <v>360</v>
      </c>
      <c r="I234" s="8" t="s">
        <v>361</v>
      </c>
      <c r="J234" s="8" t="s">
        <v>420</v>
      </c>
      <c r="K234" s="8" t="s">
        <v>515</v>
      </c>
      <c r="L234" s="13" t="str">
        <f t="shared" si="7"/>
        <v>.</v>
      </c>
      <c r="M234" s="8" t="s">
        <v>515</v>
      </c>
    </row>
    <row r="235" spans="1:13" hidden="1" x14ac:dyDescent="0.45">
      <c r="A235" t="s">
        <v>14</v>
      </c>
      <c r="B235" t="s">
        <v>14</v>
      </c>
      <c r="C235">
        <v>0.2002683871527644</v>
      </c>
      <c r="D235">
        <v>0.8</v>
      </c>
      <c r="E235">
        <v>0.99966459043674005</v>
      </c>
      <c r="G235" t="str">
        <f t="shared" si="6"/>
        <v>.</v>
      </c>
      <c r="H235" s="8" t="s">
        <v>233</v>
      </c>
      <c r="I235" s="8" t="s">
        <v>234</v>
      </c>
      <c r="J235" s="8" t="s">
        <v>425</v>
      </c>
      <c r="L235" t="str">
        <f t="shared" si="7"/>
        <v>.</v>
      </c>
    </row>
    <row r="236" spans="1:13" hidden="1" x14ac:dyDescent="0.45">
      <c r="A236" t="s">
        <v>17</v>
      </c>
      <c r="B236" t="s">
        <v>17</v>
      </c>
      <c r="C236">
        <v>0.20021129443247759</v>
      </c>
      <c r="D236">
        <v>0.8</v>
      </c>
      <c r="E236">
        <v>0.99973869830781348</v>
      </c>
      <c r="G236" t="str">
        <f t="shared" si="6"/>
        <v>.</v>
      </c>
      <c r="H236" s="8" t="s">
        <v>412</v>
      </c>
      <c r="I236" s="8" t="s">
        <v>413</v>
      </c>
      <c r="J236" s="8" t="s">
        <v>429</v>
      </c>
      <c r="L236" t="str">
        <f t="shared" si="7"/>
        <v>.</v>
      </c>
    </row>
    <row r="237" spans="1:13" hidden="1" x14ac:dyDescent="0.45">
      <c r="A237" t="s">
        <v>13</v>
      </c>
      <c r="B237" t="s">
        <v>13</v>
      </c>
      <c r="C237">
        <v>0.23794514502688</v>
      </c>
      <c r="D237">
        <v>0.8</v>
      </c>
      <c r="E237">
        <v>0.95257291630373819</v>
      </c>
      <c r="G237" t="str">
        <f t="shared" si="6"/>
        <v>.</v>
      </c>
      <c r="H237" s="8" t="s">
        <v>447</v>
      </c>
      <c r="I237" s="8" t="s">
        <v>448</v>
      </c>
      <c r="J237" s="8" t="s">
        <v>420</v>
      </c>
      <c r="L237" t="str">
        <f t="shared" si="7"/>
        <v>.</v>
      </c>
    </row>
    <row r="238" spans="1:13" hidden="1" x14ac:dyDescent="0.45">
      <c r="A238" t="s">
        <v>13</v>
      </c>
      <c r="B238" t="s">
        <v>13</v>
      </c>
      <c r="C238">
        <v>0.20253813619190239</v>
      </c>
      <c r="D238">
        <v>0.8</v>
      </c>
      <c r="E238">
        <v>0.99682732998531542</v>
      </c>
      <c r="G238" t="str">
        <f t="shared" si="6"/>
        <v>.</v>
      </c>
      <c r="H238" s="8" t="s">
        <v>449</v>
      </c>
      <c r="I238" s="8" t="s">
        <v>450</v>
      </c>
      <c r="J238" s="8" t="s">
        <v>420</v>
      </c>
      <c r="L238" t="str">
        <f t="shared" si="7"/>
        <v>.</v>
      </c>
    </row>
    <row r="239" spans="1:13" hidden="1" x14ac:dyDescent="0.45">
      <c r="A239" t="s">
        <v>17</v>
      </c>
      <c r="B239" t="s">
        <v>17</v>
      </c>
      <c r="C239">
        <v>0.20000301746488511</v>
      </c>
      <c r="D239">
        <v>0.8</v>
      </c>
      <c r="E239">
        <v>0.99999623028458018</v>
      </c>
      <c r="G239" t="str">
        <f t="shared" si="6"/>
        <v>.</v>
      </c>
      <c r="H239" s="8" t="s">
        <v>286</v>
      </c>
      <c r="I239" s="8" t="s">
        <v>287</v>
      </c>
      <c r="J239" s="8" t="s">
        <v>429</v>
      </c>
      <c r="L239" t="str">
        <f t="shared" si="7"/>
        <v>.</v>
      </c>
    </row>
    <row r="240" spans="1:13" hidden="1" x14ac:dyDescent="0.45">
      <c r="A240" t="s">
        <v>14</v>
      </c>
      <c r="B240" t="s">
        <v>14</v>
      </c>
      <c r="C240">
        <v>0.2000987482177535</v>
      </c>
      <c r="D240">
        <v>0.8</v>
      </c>
      <c r="E240">
        <v>0.99987656475506059</v>
      </c>
      <c r="G240" t="str">
        <f t="shared" si="6"/>
        <v>.</v>
      </c>
      <c r="H240" s="8" t="s">
        <v>185</v>
      </c>
      <c r="I240" s="8" t="s">
        <v>186</v>
      </c>
      <c r="J240" s="8" t="s">
        <v>425</v>
      </c>
      <c r="L240" t="str">
        <f t="shared" si="7"/>
        <v>.</v>
      </c>
    </row>
    <row r="241" spans="1:13" hidden="1" x14ac:dyDescent="0.45">
      <c r="A241" t="s">
        <v>23</v>
      </c>
      <c r="B241" t="s">
        <v>23</v>
      </c>
      <c r="C241">
        <v>0.2068621514384397</v>
      </c>
      <c r="D241">
        <v>0.8</v>
      </c>
      <c r="E241">
        <v>0.99142231192149144</v>
      </c>
      <c r="G241" t="str">
        <f t="shared" si="6"/>
        <v>.</v>
      </c>
      <c r="H241" s="8" t="s">
        <v>343</v>
      </c>
      <c r="I241" s="8" t="s">
        <v>344</v>
      </c>
      <c r="J241" s="8" t="s">
        <v>438</v>
      </c>
      <c r="L241" t="str">
        <f t="shared" si="7"/>
        <v>.</v>
      </c>
    </row>
    <row r="242" spans="1:13" hidden="1" x14ac:dyDescent="0.45">
      <c r="A242" t="s">
        <v>11</v>
      </c>
      <c r="B242" t="s">
        <v>11</v>
      </c>
      <c r="C242">
        <v>0.20000950517056321</v>
      </c>
      <c r="D242">
        <v>0.8</v>
      </c>
      <c r="E242">
        <v>0.99998979333147131</v>
      </c>
      <c r="G242" t="str">
        <f t="shared" si="6"/>
        <v>.</v>
      </c>
      <c r="H242" s="8" t="s">
        <v>236</v>
      </c>
      <c r="I242" s="8" t="s">
        <v>237</v>
      </c>
      <c r="J242" s="8" t="s">
        <v>422</v>
      </c>
      <c r="L242" t="str">
        <f t="shared" si="7"/>
        <v>.</v>
      </c>
    </row>
    <row r="243" spans="1:13" hidden="1" x14ac:dyDescent="0.45">
      <c r="A243" t="s">
        <v>14</v>
      </c>
      <c r="B243" t="s">
        <v>14</v>
      </c>
      <c r="C243">
        <v>0.2001628920662214</v>
      </c>
      <c r="D243">
        <v>0.8</v>
      </c>
      <c r="E243">
        <v>0.99979648032432844</v>
      </c>
      <c r="G243" t="str">
        <f t="shared" si="6"/>
        <v>.</v>
      </c>
      <c r="H243" s="8" t="s">
        <v>122</v>
      </c>
      <c r="I243" s="8" t="s">
        <v>123</v>
      </c>
      <c r="J243" s="8" t="s">
        <v>425</v>
      </c>
      <c r="L243" t="str">
        <f t="shared" si="7"/>
        <v>.</v>
      </c>
    </row>
    <row r="244" spans="1:13" hidden="1" x14ac:dyDescent="0.45">
      <c r="A244" t="s">
        <v>11</v>
      </c>
      <c r="B244" t="s">
        <v>11</v>
      </c>
      <c r="C244">
        <v>0.20001826827136221</v>
      </c>
      <c r="D244">
        <v>0.8</v>
      </c>
      <c r="E244">
        <v>0.99997846916345023</v>
      </c>
      <c r="G244" t="str">
        <f t="shared" si="6"/>
        <v>.</v>
      </c>
      <c r="H244" s="8" t="s">
        <v>451</v>
      </c>
      <c r="I244" s="8" t="s">
        <v>237</v>
      </c>
      <c r="J244" s="8" t="s">
        <v>422</v>
      </c>
      <c r="L244" t="str">
        <f t="shared" si="7"/>
        <v>.</v>
      </c>
    </row>
    <row r="245" spans="1:13" hidden="1" x14ac:dyDescent="0.45">
      <c r="A245" t="s">
        <v>15</v>
      </c>
      <c r="B245" t="s">
        <v>15</v>
      </c>
      <c r="C245">
        <v>0.21125122263402399</v>
      </c>
      <c r="D245">
        <v>0.8</v>
      </c>
      <c r="E245">
        <v>0.98593597176585357</v>
      </c>
      <c r="G245" t="str">
        <f t="shared" si="6"/>
        <v>.</v>
      </c>
      <c r="H245" s="8" t="s">
        <v>201</v>
      </c>
      <c r="I245" s="8" t="s">
        <v>202</v>
      </c>
      <c r="J245" s="8" t="s">
        <v>426</v>
      </c>
      <c r="L245" t="str">
        <f t="shared" si="7"/>
        <v>.</v>
      </c>
    </row>
    <row r="246" spans="1:13" hidden="1" x14ac:dyDescent="0.45">
      <c r="A246" t="s">
        <v>13</v>
      </c>
      <c r="B246" t="s">
        <v>13</v>
      </c>
      <c r="C246">
        <v>0.26068873433978917</v>
      </c>
      <c r="D246">
        <v>0.8</v>
      </c>
      <c r="E246">
        <v>0.92413943005686894</v>
      </c>
      <c r="G246" t="str">
        <f t="shared" si="6"/>
        <v>.</v>
      </c>
      <c r="H246" s="8" t="s">
        <v>452</v>
      </c>
      <c r="I246" s="8" t="s">
        <v>453</v>
      </c>
      <c r="J246" s="8" t="s">
        <v>420</v>
      </c>
      <c r="L246" t="str">
        <f t="shared" si="7"/>
        <v>.</v>
      </c>
    </row>
    <row r="247" spans="1:13" hidden="1" x14ac:dyDescent="0.45">
      <c r="A247" t="s">
        <v>15</v>
      </c>
      <c r="B247" t="s">
        <v>15</v>
      </c>
      <c r="C247">
        <v>0.20009875120455761</v>
      </c>
      <c r="D247">
        <v>0.8</v>
      </c>
      <c r="E247">
        <v>0.99987656475506059</v>
      </c>
      <c r="G247" t="str">
        <f t="shared" si="6"/>
        <v>.</v>
      </c>
      <c r="H247" s="8" t="s">
        <v>197</v>
      </c>
      <c r="I247" s="8" t="s">
        <v>198</v>
      </c>
      <c r="J247" s="8" t="s">
        <v>426</v>
      </c>
      <c r="L247" t="str">
        <f t="shared" si="7"/>
        <v>.</v>
      </c>
    </row>
    <row r="248" spans="1:13" hidden="1" x14ac:dyDescent="0.45">
      <c r="A248" t="s">
        <v>17</v>
      </c>
      <c r="B248" t="s">
        <v>17</v>
      </c>
      <c r="C248">
        <v>0.2007106933202287</v>
      </c>
      <c r="D248">
        <v>0.8</v>
      </c>
      <c r="E248">
        <v>0.99999849514812922</v>
      </c>
      <c r="G248" t="str">
        <f t="shared" si="6"/>
        <v>.</v>
      </c>
      <c r="H248" s="8" t="s">
        <v>454</v>
      </c>
      <c r="I248" s="8" t="s">
        <v>455</v>
      </c>
      <c r="J248" s="8" t="s">
        <v>429</v>
      </c>
      <c r="L248" t="str">
        <f t="shared" si="7"/>
        <v>.</v>
      </c>
    </row>
    <row r="249" spans="1:13" hidden="1" x14ac:dyDescent="0.45">
      <c r="A249" t="s">
        <v>13</v>
      </c>
      <c r="B249" t="s">
        <v>13</v>
      </c>
      <c r="C249">
        <v>0.20417608795744999</v>
      </c>
      <c r="D249">
        <v>0.8</v>
      </c>
      <c r="E249">
        <v>0.99477990856131726</v>
      </c>
      <c r="G249" t="str">
        <f t="shared" si="6"/>
        <v>.</v>
      </c>
      <c r="H249" s="8" t="s">
        <v>263</v>
      </c>
      <c r="I249" s="8" t="s">
        <v>264</v>
      </c>
      <c r="J249" s="8" t="s">
        <v>420</v>
      </c>
      <c r="L249" t="str">
        <f t="shared" si="7"/>
        <v>.</v>
      </c>
    </row>
    <row r="250" spans="1:13" hidden="1" x14ac:dyDescent="0.45">
      <c r="A250" t="s">
        <v>13</v>
      </c>
      <c r="B250" t="s">
        <v>13</v>
      </c>
      <c r="C250">
        <v>0.20647683997769661</v>
      </c>
      <c r="D250">
        <v>0.8</v>
      </c>
      <c r="E250">
        <v>0.99592990413102933</v>
      </c>
      <c r="G250" t="str">
        <f t="shared" si="6"/>
        <v>.</v>
      </c>
      <c r="H250" s="8" t="s">
        <v>120</v>
      </c>
      <c r="I250" s="8" t="s">
        <v>121</v>
      </c>
      <c r="J250" s="8" t="s">
        <v>420</v>
      </c>
      <c r="L250" t="str">
        <f t="shared" si="7"/>
        <v>.</v>
      </c>
    </row>
    <row r="251" spans="1:13" hidden="1" x14ac:dyDescent="0.45">
      <c r="A251" t="s">
        <v>13</v>
      </c>
      <c r="B251" t="s">
        <v>13</v>
      </c>
      <c r="C251">
        <v>0.23825440384004781</v>
      </c>
      <c r="D251">
        <v>0.8</v>
      </c>
      <c r="E251">
        <v>0.95257216044997095</v>
      </c>
      <c r="G251" t="str">
        <f t="shared" si="6"/>
        <v>.</v>
      </c>
      <c r="H251" s="8" t="s">
        <v>414</v>
      </c>
      <c r="I251" s="8" t="s">
        <v>99</v>
      </c>
      <c r="J251" s="8" t="s">
        <v>420</v>
      </c>
      <c r="L251" t="str">
        <f t="shared" si="7"/>
        <v>.</v>
      </c>
    </row>
    <row r="252" spans="1:13" hidden="1" x14ac:dyDescent="0.45">
      <c r="A252" t="s">
        <v>13</v>
      </c>
      <c r="B252" t="s">
        <v>13</v>
      </c>
      <c r="C252">
        <v>0.248069587570342</v>
      </c>
      <c r="D252">
        <v>0.8</v>
      </c>
      <c r="E252">
        <v>0.93991304523943053</v>
      </c>
      <c r="G252" t="str">
        <f t="shared" si="6"/>
        <v>.</v>
      </c>
      <c r="H252" s="8" t="s">
        <v>456</v>
      </c>
      <c r="I252" s="8" t="s">
        <v>457</v>
      </c>
      <c r="J252" s="10" t="s">
        <v>420</v>
      </c>
      <c r="L252" t="str">
        <f t="shared" si="7"/>
        <v>.</v>
      </c>
    </row>
    <row r="253" spans="1:13" hidden="1" x14ac:dyDescent="0.45">
      <c r="A253" t="s">
        <v>13</v>
      </c>
      <c r="B253" t="s">
        <v>13</v>
      </c>
      <c r="C253">
        <v>0.2143893803198117</v>
      </c>
      <c r="D253">
        <v>0.8</v>
      </c>
      <c r="E253">
        <v>0.98201331327910268</v>
      </c>
      <c r="G253" t="str">
        <f t="shared" si="6"/>
        <v>.</v>
      </c>
      <c r="H253" s="8" t="s">
        <v>357</v>
      </c>
      <c r="I253" s="8" t="s">
        <v>358</v>
      </c>
      <c r="J253" s="8" t="s">
        <v>420</v>
      </c>
      <c r="L253" t="str">
        <f t="shared" si="7"/>
        <v>.</v>
      </c>
    </row>
    <row r="254" spans="1:13" hidden="1" x14ac:dyDescent="0.45">
      <c r="A254" t="s">
        <v>19</v>
      </c>
      <c r="B254" t="s">
        <v>8</v>
      </c>
      <c r="C254">
        <v>0.93931364161533948</v>
      </c>
      <c r="D254">
        <v>0.8</v>
      </c>
      <c r="E254">
        <v>7.5857954454841225E-2</v>
      </c>
      <c r="G254" t="str">
        <f t="shared" si="6"/>
        <v>W</v>
      </c>
      <c r="H254" s="8" t="s">
        <v>204</v>
      </c>
      <c r="I254" s="8" t="s">
        <v>205</v>
      </c>
      <c r="J254" s="8" t="s">
        <v>432</v>
      </c>
      <c r="L254" t="str">
        <f t="shared" si="7"/>
        <v>.</v>
      </c>
      <c r="M254" t="s">
        <v>524</v>
      </c>
    </row>
    <row r="255" spans="1:13" hidden="1" x14ac:dyDescent="0.45">
      <c r="A255" t="s">
        <v>9</v>
      </c>
      <c r="B255" t="s">
        <v>13</v>
      </c>
      <c r="C255">
        <v>0.20449984068426849</v>
      </c>
      <c r="D255">
        <v>0.8</v>
      </c>
      <c r="E255">
        <v>0.99908895173900303</v>
      </c>
      <c r="G255" t="str">
        <f t="shared" si="6"/>
        <v>W</v>
      </c>
      <c r="H255" s="8" t="s">
        <v>288</v>
      </c>
      <c r="I255" s="8" t="s">
        <v>289</v>
      </c>
      <c r="J255" s="8" t="s">
        <v>420</v>
      </c>
      <c r="L255" t="str">
        <f t="shared" si="7"/>
        <v>.</v>
      </c>
    </row>
    <row r="256" spans="1:13" hidden="1" x14ac:dyDescent="0.45">
      <c r="A256" t="s">
        <v>17</v>
      </c>
      <c r="B256" t="s">
        <v>17</v>
      </c>
      <c r="C256">
        <v>0.2000014900348763</v>
      </c>
      <c r="D256">
        <v>0.8</v>
      </c>
      <c r="E256">
        <v>0.99999813753780198</v>
      </c>
      <c r="G256" t="str">
        <f t="shared" si="6"/>
        <v>.</v>
      </c>
      <c r="H256" s="8" t="s">
        <v>458</v>
      </c>
      <c r="I256" s="8" t="s">
        <v>459</v>
      </c>
      <c r="J256" s="8" t="s">
        <v>429</v>
      </c>
      <c r="L256" t="str">
        <f t="shared" si="7"/>
        <v>.</v>
      </c>
    </row>
    <row r="257" spans="1:12" hidden="1" x14ac:dyDescent="0.45">
      <c r="A257" t="s">
        <v>5</v>
      </c>
      <c r="B257" t="s">
        <v>5</v>
      </c>
      <c r="C257">
        <v>0.37816057012691129</v>
      </c>
      <c r="D257">
        <v>0.8</v>
      </c>
      <c r="E257">
        <v>0.77729928734220388</v>
      </c>
      <c r="G257" t="str">
        <f t="shared" si="6"/>
        <v>.</v>
      </c>
      <c r="H257" s="8" t="s">
        <v>247</v>
      </c>
      <c r="I257" s="8" t="s">
        <v>248</v>
      </c>
      <c r="J257" s="8" t="s">
        <v>416</v>
      </c>
      <c r="L257" t="str">
        <f t="shared" si="7"/>
        <v>.</v>
      </c>
    </row>
    <row r="258" spans="1:12" hidden="1" x14ac:dyDescent="0.45">
      <c r="A258" t="s">
        <v>14</v>
      </c>
      <c r="B258" t="s">
        <v>14</v>
      </c>
      <c r="C258">
        <v>0.20044234725412241</v>
      </c>
      <c r="D258">
        <v>0.8</v>
      </c>
      <c r="E258">
        <v>0.99944712016184645</v>
      </c>
      <c r="G258" t="str">
        <f t="shared" si="6"/>
        <v>.</v>
      </c>
      <c r="H258" s="8" t="s">
        <v>410</v>
      </c>
      <c r="I258" s="8" t="s">
        <v>411</v>
      </c>
      <c r="J258" s="8" t="s">
        <v>425</v>
      </c>
      <c r="L258" t="str">
        <f t="shared" si="7"/>
        <v>.</v>
      </c>
    </row>
    <row r="259" spans="1:12" hidden="1" x14ac:dyDescent="0.45">
      <c r="A259" t="s">
        <v>13</v>
      </c>
      <c r="B259" t="s">
        <v>13</v>
      </c>
      <c r="C259">
        <v>0.2151396685902944</v>
      </c>
      <c r="D259">
        <v>0.8</v>
      </c>
      <c r="E259">
        <v>0.98593632069119785</v>
      </c>
      <c r="G259" t="str">
        <f t="shared" ref="G259:G322" si="8">IF(A259=B259,".","W")</f>
        <v>.</v>
      </c>
      <c r="H259" s="8" t="s">
        <v>389</v>
      </c>
      <c r="I259" s="8" t="s">
        <v>390</v>
      </c>
      <c r="J259" s="8" t="s">
        <v>420</v>
      </c>
      <c r="L259" t="str">
        <f t="shared" ref="L259:L322" si="9">IF(C259&lt;=$L$1,".","NonID")</f>
        <v>.</v>
      </c>
    </row>
    <row r="260" spans="1:12" hidden="1" x14ac:dyDescent="0.45">
      <c r="A260" t="s">
        <v>22</v>
      </c>
      <c r="B260" t="s">
        <v>22</v>
      </c>
      <c r="C260">
        <v>0.2087897049494094</v>
      </c>
      <c r="D260">
        <v>0.8</v>
      </c>
      <c r="E260">
        <v>0.9890128691951352</v>
      </c>
      <c r="G260" t="str">
        <f t="shared" si="8"/>
        <v>.</v>
      </c>
      <c r="H260" s="8" t="s">
        <v>277</v>
      </c>
      <c r="I260" s="8" t="s">
        <v>278</v>
      </c>
      <c r="J260" s="8" t="s">
        <v>437</v>
      </c>
      <c r="L260" t="str">
        <f t="shared" si="9"/>
        <v>.</v>
      </c>
    </row>
    <row r="261" spans="1:12" hidden="1" x14ac:dyDescent="0.45">
      <c r="A261" t="s">
        <v>16</v>
      </c>
      <c r="B261" t="s">
        <v>16</v>
      </c>
      <c r="C261">
        <v>0.20072883891369209</v>
      </c>
      <c r="D261">
        <v>0.8</v>
      </c>
      <c r="E261">
        <v>0.99908895173900303</v>
      </c>
      <c r="G261" t="str">
        <f t="shared" si="8"/>
        <v>.</v>
      </c>
      <c r="H261" s="8" t="s">
        <v>133</v>
      </c>
      <c r="I261" s="8" t="s">
        <v>134</v>
      </c>
      <c r="J261" s="8" t="s">
        <v>428</v>
      </c>
      <c r="L261" t="str">
        <f t="shared" si="9"/>
        <v>.</v>
      </c>
    </row>
    <row r="262" spans="1:12" hidden="1" x14ac:dyDescent="0.45">
      <c r="A262" t="s">
        <v>13</v>
      </c>
      <c r="B262" t="s">
        <v>13</v>
      </c>
      <c r="C262">
        <v>0.80929766800157577</v>
      </c>
      <c r="D262">
        <v>0.8</v>
      </c>
      <c r="E262">
        <v>0.26894114879361269</v>
      </c>
      <c r="G262" t="str">
        <f t="shared" si="8"/>
        <v>.</v>
      </c>
      <c r="H262" s="8" t="s">
        <v>460</v>
      </c>
      <c r="I262" s="8" t="s">
        <v>461</v>
      </c>
      <c r="J262" s="8" t="s">
        <v>420</v>
      </c>
      <c r="L262" t="str">
        <f t="shared" si="9"/>
        <v>.</v>
      </c>
    </row>
    <row r="263" spans="1:12" hidden="1" x14ac:dyDescent="0.45">
      <c r="A263" t="s">
        <v>12</v>
      </c>
      <c r="B263" t="s">
        <v>12</v>
      </c>
      <c r="C263">
        <v>0.20005994524525819</v>
      </c>
      <c r="D263">
        <v>0.8</v>
      </c>
      <c r="E263">
        <v>0.99992506849856422</v>
      </c>
      <c r="G263" t="str">
        <f t="shared" si="8"/>
        <v>.</v>
      </c>
      <c r="H263" s="8" t="s">
        <v>165</v>
      </c>
      <c r="I263" s="8" t="s">
        <v>166</v>
      </c>
      <c r="J263" s="8" t="s">
        <v>424</v>
      </c>
      <c r="L263" t="str">
        <f t="shared" si="9"/>
        <v>.</v>
      </c>
    </row>
    <row r="264" spans="1:12" hidden="1" x14ac:dyDescent="0.45">
      <c r="A264" t="s">
        <v>17</v>
      </c>
      <c r="B264" t="s">
        <v>17</v>
      </c>
      <c r="C264">
        <v>0.20000120395055701</v>
      </c>
      <c r="D264">
        <v>0.8</v>
      </c>
      <c r="E264">
        <v>0.99999849514812922</v>
      </c>
      <c r="G264" t="str">
        <f t="shared" si="8"/>
        <v>.</v>
      </c>
      <c r="H264" s="8" t="s">
        <v>325</v>
      </c>
      <c r="I264" s="8" t="s">
        <v>321</v>
      </c>
      <c r="J264" s="8" t="s">
        <v>429</v>
      </c>
      <c r="L264" t="str">
        <f t="shared" si="9"/>
        <v>.</v>
      </c>
    </row>
    <row r="265" spans="1:12" hidden="1" x14ac:dyDescent="0.45">
      <c r="A265" t="s">
        <v>8</v>
      </c>
      <c r="B265" t="s">
        <v>8</v>
      </c>
      <c r="C265">
        <v>0.2025381552081241</v>
      </c>
      <c r="D265">
        <v>0.8</v>
      </c>
      <c r="E265">
        <v>0.99682732998531542</v>
      </c>
      <c r="G265" t="str">
        <f t="shared" si="8"/>
        <v>.</v>
      </c>
      <c r="H265" s="8" t="s">
        <v>316</v>
      </c>
      <c r="I265" s="8" t="s">
        <v>317</v>
      </c>
      <c r="J265" s="8" t="s">
        <v>427</v>
      </c>
      <c r="L265" t="str">
        <f t="shared" si="9"/>
        <v>.</v>
      </c>
    </row>
    <row r="266" spans="1:12" hidden="1" x14ac:dyDescent="0.45">
      <c r="A266" t="s">
        <v>20</v>
      </c>
      <c r="B266" t="s">
        <v>20</v>
      </c>
      <c r="C266">
        <v>0.20158640251089549</v>
      </c>
      <c r="D266">
        <v>0.8</v>
      </c>
      <c r="E266">
        <v>0.99807322600355197</v>
      </c>
      <c r="G266" t="str">
        <f t="shared" si="8"/>
        <v>.</v>
      </c>
      <c r="H266" s="8" t="s">
        <v>206</v>
      </c>
      <c r="I266" s="8" t="s">
        <v>207</v>
      </c>
      <c r="J266" s="8" t="s">
        <v>433</v>
      </c>
      <c r="L266" t="str">
        <f t="shared" si="9"/>
        <v>.</v>
      </c>
    </row>
    <row r="267" spans="1:12" hidden="1" x14ac:dyDescent="0.45">
      <c r="A267" t="s">
        <v>14</v>
      </c>
      <c r="B267" t="s">
        <v>14</v>
      </c>
      <c r="C267">
        <v>0.20020904301037579</v>
      </c>
      <c r="D267">
        <v>0.8</v>
      </c>
      <c r="E267">
        <v>0.99973869830781348</v>
      </c>
      <c r="G267" t="str">
        <f t="shared" si="8"/>
        <v>.</v>
      </c>
      <c r="H267" s="8" t="s">
        <v>375</v>
      </c>
      <c r="I267" s="8" t="s">
        <v>376</v>
      </c>
      <c r="J267" s="8" t="s">
        <v>425</v>
      </c>
      <c r="L267" t="str">
        <f t="shared" si="9"/>
        <v>.</v>
      </c>
    </row>
    <row r="268" spans="1:12" hidden="1" x14ac:dyDescent="0.45">
      <c r="A268" t="s">
        <v>24</v>
      </c>
      <c r="B268" t="s">
        <v>24</v>
      </c>
      <c r="C268">
        <v>0.31876840344418678</v>
      </c>
      <c r="D268">
        <v>0.8</v>
      </c>
      <c r="E268">
        <v>0.97068646418394267</v>
      </c>
      <c r="G268" t="str">
        <f t="shared" si="8"/>
        <v>.</v>
      </c>
      <c r="H268" s="8" t="s">
        <v>129</v>
      </c>
      <c r="I268" s="8" t="s">
        <v>130</v>
      </c>
      <c r="J268" s="8" t="s">
        <v>426</v>
      </c>
      <c r="L268" t="str">
        <f t="shared" si="9"/>
        <v>.</v>
      </c>
    </row>
    <row r="269" spans="1:12" hidden="1" x14ac:dyDescent="0.45">
      <c r="A269" t="s">
        <v>7</v>
      </c>
      <c r="B269" t="s">
        <v>7</v>
      </c>
      <c r="C269">
        <v>0.50204520412230957</v>
      </c>
      <c r="D269">
        <v>0.8</v>
      </c>
      <c r="E269">
        <v>0.62245888465685084</v>
      </c>
      <c r="G269" t="str">
        <f t="shared" si="8"/>
        <v>.</v>
      </c>
      <c r="H269" s="8" t="s">
        <v>462</v>
      </c>
      <c r="I269" s="8" t="s">
        <v>99</v>
      </c>
      <c r="J269" s="8" t="s">
        <v>418</v>
      </c>
      <c r="L269" t="str">
        <f t="shared" si="9"/>
        <v>.</v>
      </c>
    </row>
    <row r="270" spans="1:12" hidden="1" x14ac:dyDescent="0.45">
      <c r="A270" t="s">
        <v>13</v>
      </c>
      <c r="B270" t="s">
        <v>13</v>
      </c>
      <c r="C270">
        <v>0.29533648750467928</v>
      </c>
      <c r="D270">
        <v>0.8</v>
      </c>
      <c r="E270">
        <v>0.96267277897766457</v>
      </c>
      <c r="G270" t="str">
        <f t="shared" si="8"/>
        <v>.</v>
      </c>
      <c r="H270" s="8" t="s">
        <v>313</v>
      </c>
      <c r="I270" s="8" t="s">
        <v>99</v>
      </c>
      <c r="J270" s="8" t="s">
        <v>420</v>
      </c>
      <c r="L270" t="str">
        <f t="shared" si="9"/>
        <v>.</v>
      </c>
    </row>
    <row r="271" spans="1:12" hidden="1" x14ac:dyDescent="0.45">
      <c r="A271" t="s">
        <v>6</v>
      </c>
      <c r="B271" t="s">
        <v>6</v>
      </c>
      <c r="C271">
        <v>0.20000091785386989</v>
      </c>
      <c r="D271">
        <v>0.8</v>
      </c>
      <c r="E271">
        <v>0.99999885275869793</v>
      </c>
      <c r="G271" t="str">
        <f t="shared" si="8"/>
        <v>.</v>
      </c>
      <c r="H271" s="8" t="s">
        <v>145</v>
      </c>
      <c r="I271" s="8" t="s">
        <v>146</v>
      </c>
      <c r="J271" s="8" t="s">
        <v>417</v>
      </c>
      <c r="L271" t="str">
        <f t="shared" si="9"/>
        <v>.</v>
      </c>
    </row>
    <row r="272" spans="1:12" hidden="1" x14ac:dyDescent="0.45">
      <c r="A272" t="s">
        <v>8</v>
      </c>
      <c r="B272" t="s">
        <v>8</v>
      </c>
      <c r="C272">
        <v>0.20093563395820591</v>
      </c>
      <c r="D272">
        <v>0.8</v>
      </c>
      <c r="E272">
        <v>0.99883045900532441</v>
      </c>
      <c r="G272" t="str">
        <f t="shared" si="8"/>
        <v>.</v>
      </c>
      <c r="H272" s="8" t="s">
        <v>211</v>
      </c>
      <c r="I272" s="8" t="s">
        <v>212</v>
      </c>
      <c r="J272" s="8" t="s">
        <v>427</v>
      </c>
      <c r="L272" t="str">
        <f t="shared" si="9"/>
        <v>.</v>
      </c>
    </row>
    <row r="273" spans="1:12" hidden="1" x14ac:dyDescent="0.45">
      <c r="A273" t="s">
        <v>15</v>
      </c>
      <c r="B273" t="s">
        <v>15</v>
      </c>
      <c r="C273">
        <v>0.20020904145401189</v>
      </c>
      <c r="D273">
        <v>0.8</v>
      </c>
      <c r="E273">
        <v>0.99973869830781348</v>
      </c>
      <c r="G273" t="str">
        <f t="shared" si="8"/>
        <v>.</v>
      </c>
      <c r="H273" s="8" t="s">
        <v>377</v>
      </c>
      <c r="I273" s="8" t="s">
        <v>378</v>
      </c>
      <c r="J273" s="8" t="s">
        <v>426</v>
      </c>
      <c r="L273" t="str">
        <f t="shared" si="9"/>
        <v>.</v>
      </c>
    </row>
    <row r="274" spans="1:12" hidden="1" x14ac:dyDescent="0.45">
      <c r="A274" t="s">
        <v>17</v>
      </c>
      <c r="B274" t="s">
        <v>17</v>
      </c>
      <c r="C274">
        <v>0.20009577409011711</v>
      </c>
      <c r="D274">
        <v>0.8</v>
      </c>
      <c r="E274">
        <v>0.99999813753780198</v>
      </c>
      <c r="G274" t="str">
        <f t="shared" si="8"/>
        <v>.</v>
      </c>
      <c r="H274" s="8" t="s">
        <v>391</v>
      </c>
      <c r="I274" s="8" t="s">
        <v>392</v>
      </c>
      <c r="J274" s="8" t="s">
        <v>429</v>
      </c>
      <c r="L274" t="str">
        <f t="shared" si="9"/>
        <v>.</v>
      </c>
    </row>
    <row r="275" spans="1:12" hidden="1" x14ac:dyDescent="0.45">
      <c r="A275" t="s">
        <v>16</v>
      </c>
      <c r="B275" t="s">
        <v>16</v>
      </c>
      <c r="C275">
        <v>0.2000466906820767</v>
      </c>
      <c r="D275">
        <v>0.8</v>
      </c>
      <c r="E275">
        <v>0.99994163670334457</v>
      </c>
      <c r="G275" t="str">
        <f t="shared" si="8"/>
        <v>.</v>
      </c>
      <c r="H275" s="8" t="s">
        <v>172</v>
      </c>
      <c r="I275" s="8" t="s">
        <v>173</v>
      </c>
      <c r="J275" s="8" t="s">
        <v>428</v>
      </c>
      <c r="L275" t="str">
        <f t="shared" si="9"/>
        <v>.</v>
      </c>
    </row>
    <row r="276" spans="1:12" hidden="1" x14ac:dyDescent="0.45">
      <c r="A276" t="s">
        <v>13</v>
      </c>
      <c r="B276" t="s">
        <v>13</v>
      </c>
      <c r="C276">
        <v>0.41567470545562379</v>
      </c>
      <c r="D276">
        <v>0.8</v>
      </c>
      <c r="E276">
        <v>0.97702261672772872</v>
      </c>
      <c r="G276" t="str">
        <f t="shared" si="8"/>
        <v>.</v>
      </c>
      <c r="H276" s="8" t="s">
        <v>312</v>
      </c>
      <c r="I276" s="8" t="s">
        <v>99</v>
      </c>
      <c r="J276" s="8" t="s">
        <v>420</v>
      </c>
      <c r="L276" t="str">
        <f t="shared" si="9"/>
        <v>.</v>
      </c>
    </row>
    <row r="277" spans="1:12" hidden="1" x14ac:dyDescent="0.45">
      <c r="A277" t="s">
        <v>23</v>
      </c>
      <c r="B277" t="s">
        <v>23</v>
      </c>
      <c r="C277">
        <v>0.20253813784440691</v>
      </c>
      <c r="D277">
        <v>0.8</v>
      </c>
      <c r="E277">
        <v>0.99682732998531542</v>
      </c>
      <c r="G277" t="str">
        <f t="shared" si="8"/>
        <v>.</v>
      </c>
      <c r="H277" s="8" t="s">
        <v>400</v>
      </c>
      <c r="I277" s="8" t="s">
        <v>401</v>
      </c>
      <c r="J277" s="8" t="s">
        <v>438</v>
      </c>
      <c r="L277" t="str">
        <f t="shared" si="9"/>
        <v>.</v>
      </c>
    </row>
    <row r="278" spans="1:12" hidden="1" x14ac:dyDescent="0.45">
      <c r="A278" t="s">
        <v>21</v>
      </c>
      <c r="B278" t="s">
        <v>21</v>
      </c>
      <c r="C278">
        <v>0.20197807742773591</v>
      </c>
      <c r="D278">
        <v>0.8</v>
      </c>
      <c r="E278">
        <v>0.99752740325115785</v>
      </c>
      <c r="G278" t="str">
        <f t="shared" si="8"/>
        <v>.</v>
      </c>
      <c r="H278" s="8" t="s">
        <v>217</v>
      </c>
      <c r="I278" s="8" t="s">
        <v>218</v>
      </c>
      <c r="J278" s="8" t="s">
        <v>434</v>
      </c>
      <c r="L278" t="str">
        <f t="shared" si="9"/>
        <v>.</v>
      </c>
    </row>
    <row r="279" spans="1:12" hidden="1" x14ac:dyDescent="0.45">
      <c r="A279" t="s">
        <v>10</v>
      </c>
      <c r="B279" t="s">
        <v>10</v>
      </c>
      <c r="C279">
        <v>0.2025382318867632</v>
      </c>
      <c r="D279">
        <v>0.8</v>
      </c>
      <c r="E279">
        <v>0.99682721092215276</v>
      </c>
      <c r="G279" t="str">
        <f t="shared" si="8"/>
        <v>.</v>
      </c>
      <c r="H279" s="8" t="s">
        <v>118</v>
      </c>
      <c r="I279" s="8" t="s">
        <v>119</v>
      </c>
      <c r="J279" s="8" t="s">
        <v>421</v>
      </c>
      <c r="L279" t="str">
        <f t="shared" si="9"/>
        <v>.</v>
      </c>
    </row>
    <row r="280" spans="1:12" hidden="1" x14ac:dyDescent="0.45">
      <c r="A280" t="s">
        <v>13</v>
      </c>
      <c r="B280" t="s">
        <v>13</v>
      </c>
      <c r="C280">
        <v>0.21439535978606181</v>
      </c>
      <c r="D280">
        <v>0.8</v>
      </c>
      <c r="E280">
        <v>0.9820137760522224</v>
      </c>
      <c r="G280" t="str">
        <f t="shared" si="8"/>
        <v>.</v>
      </c>
      <c r="H280" s="8" t="s">
        <v>154</v>
      </c>
      <c r="I280" s="8" t="s">
        <v>99</v>
      </c>
      <c r="J280" s="8" t="s">
        <v>420</v>
      </c>
      <c r="L280" t="str">
        <f t="shared" si="9"/>
        <v>.</v>
      </c>
    </row>
    <row r="281" spans="1:12" hidden="1" x14ac:dyDescent="0.45">
      <c r="A281" t="s">
        <v>23</v>
      </c>
      <c r="B281" t="s">
        <v>23</v>
      </c>
      <c r="C281">
        <v>0.20056774136995811</v>
      </c>
      <c r="D281">
        <v>0.8</v>
      </c>
      <c r="E281">
        <v>0.99929032330932133</v>
      </c>
      <c r="G281" t="str">
        <f t="shared" si="8"/>
        <v>.</v>
      </c>
      <c r="H281" s="8" t="s">
        <v>294</v>
      </c>
      <c r="I281" s="8" t="s">
        <v>295</v>
      </c>
      <c r="J281" s="8" t="s">
        <v>438</v>
      </c>
      <c r="L281" t="str">
        <f t="shared" si="9"/>
        <v>.</v>
      </c>
    </row>
    <row r="282" spans="1:12" hidden="1" x14ac:dyDescent="0.45">
      <c r="A282" t="s">
        <v>7</v>
      </c>
      <c r="B282" t="s">
        <v>7</v>
      </c>
      <c r="C282">
        <v>0.2000104541043207</v>
      </c>
      <c r="D282">
        <v>0.8</v>
      </c>
      <c r="E282">
        <v>0.99998693247732917</v>
      </c>
      <c r="G282" t="str">
        <f t="shared" si="8"/>
        <v>.</v>
      </c>
      <c r="H282" s="8" t="s">
        <v>463</v>
      </c>
      <c r="I282" s="8" t="s">
        <v>464</v>
      </c>
      <c r="J282" s="8" t="s">
        <v>436</v>
      </c>
      <c r="L282" t="str">
        <f t="shared" si="9"/>
        <v>.</v>
      </c>
    </row>
    <row r="283" spans="1:12" hidden="1" x14ac:dyDescent="0.45">
      <c r="A283" t="s">
        <v>15</v>
      </c>
      <c r="B283" t="s">
        <v>15</v>
      </c>
      <c r="C283">
        <v>0.20879004235290111</v>
      </c>
      <c r="D283">
        <v>0.8</v>
      </c>
      <c r="E283">
        <v>0.98901298801575388</v>
      </c>
      <c r="G283" t="str">
        <f t="shared" si="8"/>
        <v>.</v>
      </c>
      <c r="H283" s="8" t="s">
        <v>182</v>
      </c>
      <c r="I283" s="8" t="s">
        <v>99</v>
      </c>
      <c r="J283" s="8" t="s">
        <v>426</v>
      </c>
      <c r="L283" t="str">
        <f t="shared" si="9"/>
        <v>.</v>
      </c>
    </row>
    <row r="284" spans="1:12" hidden="1" x14ac:dyDescent="0.45">
      <c r="A284" t="s">
        <v>21</v>
      </c>
      <c r="B284" t="s">
        <v>21</v>
      </c>
      <c r="C284">
        <v>0.20000072750722489</v>
      </c>
      <c r="D284">
        <v>0.8</v>
      </c>
      <c r="E284">
        <v>0.99999909116577701</v>
      </c>
      <c r="G284" t="str">
        <f t="shared" si="8"/>
        <v>.</v>
      </c>
      <c r="H284" s="8" t="s">
        <v>350</v>
      </c>
      <c r="I284" s="8" t="s">
        <v>351</v>
      </c>
      <c r="J284" s="8" t="s">
        <v>434</v>
      </c>
      <c r="L284" t="str">
        <f t="shared" si="9"/>
        <v>.</v>
      </c>
    </row>
    <row r="285" spans="1:12" hidden="1" x14ac:dyDescent="0.45">
      <c r="A285" t="s">
        <v>14</v>
      </c>
      <c r="B285" t="s">
        <v>14</v>
      </c>
      <c r="C285">
        <v>0.20001722479184539</v>
      </c>
      <c r="D285">
        <v>0.8</v>
      </c>
      <c r="E285">
        <v>0.99997846916345023</v>
      </c>
      <c r="G285" t="str">
        <f t="shared" si="8"/>
        <v>.</v>
      </c>
      <c r="H285" s="8" t="s">
        <v>386</v>
      </c>
      <c r="I285" s="8" t="s">
        <v>387</v>
      </c>
      <c r="J285" s="8" t="s">
        <v>425</v>
      </c>
      <c r="L285" t="str">
        <f t="shared" si="9"/>
        <v>.</v>
      </c>
    </row>
    <row r="286" spans="1:12" hidden="1" x14ac:dyDescent="0.45">
      <c r="A286" t="s">
        <v>10</v>
      </c>
      <c r="B286" t="s">
        <v>10</v>
      </c>
      <c r="C286">
        <v>0.82184358328971152</v>
      </c>
      <c r="D286">
        <v>0.8</v>
      </c>
      <c r="E286">
        <v>0.2226999080497942</v>
      </c>
      <c r="G286" t="str">
        <f t="shared" si="8"/>
        <v>.</v>
      </c>
      <c r="H286" s="8" t="s">
        <v>303</v>
      </c>
      <c r="I286" s="8" t="s">
        <v>304</v>
      </c>
      <c r="J286" s="8" t="s">
        <v>421</v>
      </c>
      <c r="L286" t="str">
        <f t="shared" si="9"/>
        <v>.</v>
      </c>
    </row>
    <row r="287" spans="1:12" hidden="1" x14ac:dyDescent="0.45">
      <c r="A287" t="s">
        <v>5</v>
      </c>
      <c r="B287" t="s">
        <v>5</v>
      </c>
      <c r="C287">
        <v>5.5287990534680365E-4</v>
      </c>
      <c r="D287">
        <v>1</v>
      </c>
      <c r="E287">
        <v>0.99944712016184645</v>
      </c>
      <c r="G287" t="str">
        <f t="shared" si="8"/>
        <v>.</v>
      </c>
      <c r="H287" s="8" t="s">
        <v>329</v>
      </c>
      <c r="I287" s="8" t="s">
        <v>330</v>
      </c>
      <c r="J287" s="8" t="s">
        <v>423</v>
      </c>
      <c r="L287" t="str">
        <f t="shared" si="9"/>
        <v>.</v>
      </c>
    </row>
    <row r="288" spans="1:12" hidden="1" x14ac:dyDescent="0.45">
      <c r="A288" t="s">
        <v>7</v>
      </c>
      <c r="B288" t="s">
        <v>7</v>
      </c>
      <c r="C288">
        <v>0.27627994829211638</v>
      </c>
      <c r="D288">
        <v>0.8</v>
      </c>
      <c r="E288">
        <v>0.9046501419366757</v>
      </c>
      <c r="G288" t="str">
        <f t="shared" si="8"/>
        <v>.</v>
      </c>
      <c r="H288" s="8" t="s">
        <v>187</v>
      </c>
      <c r="I288" s="8" t="s">
        <v>99</v>
      </c>
      <c r="J288" s="8" t="s">
        <v>431</v>
      </c>
      <c r="L288" t="str">
        <f t="shared" si="9"/>
        <v>.</v>
      </c>
    </row>
    <row r="289" spans="1:12" hidden="1" x14ac:dyDescent="0.45">
      <c r="A289" t="s">
        <v>7</v>
      </c>
      <c r="B289" t="s">
        <v>7</v>
      </c>
      <c r="C289">
        <v>0.2009356411923717</v>
      </c>
      <c r="D289">
        <v>0.8</v>
      </c>
      <c r="E289">
        <v>0.99883045900532441</v>
      </c>
      <c r="G289" t="str">
        <f t="shared" si="8"/>
        <v>.</v>
      </c>
      <c r="H289" s="8" t="s">
        <v>199</v>
      </c>
      <c r="I289" s="8" t="s">
        <v>200</v>
      </c>
      <c r="J289" s="8" t="s">
        <v>418</v>
      </c>
      <c r="L289" t="str">
        <f t="shared" si="9"/>
        <v>.</v>
      </c>
    </row>
    <row r="290" spans="1:12" hidden="1" x14ac:dyDescent="0.45">
      <c r="A290" t="s">
        <v>12</v>
      </c>
      <c r="B290" t="s">
        <v>12</v>
      </c>
      <c r="C290">
        <v>0.2000063534616032</v>
      </c>
      <c r="D290">
        <v>0.8</v>
      </c>
      <c r="E290">
        <v>0.99999205818100989</v>
      </c>
      <c r="G290" t="str">
        <f t="shared" si="8"/>
        <v>.</v>
      </c>
      <c r="H290" s="8" t="s">
        <v>370</v>
      </c>
      <c r="I290" s="8" t="s">
        <v>371</v>
      </c>
      <c r="J290" s="8" t="s">
        <v>424</v>
      </c>
      <c r="L290" t="str">
        <f t="shared" si="9"/>
        <v>.</v>
      </c>
    </row>
    <row r="291" spans="1:12" hidden="1" x14ac:dyDescent="0.45">
      <c r="A291" t="s">
        <v>5</v>
      </c>
      <c r="B291" t="s">
        <v>5</v>
      </c>
      <c r="C291">
        <v>0.27627988645517643</v>
      </c>
      <c r="D291">
        <v>0.8</v>
      </c>
      <c r="E291">
        <v>0.9046501419366757</v>
      </c>
      <c r="G291" t="str">
        <f t="shared" si="8"/>
        <v>.</v>
      </c>
      <c r="H291" s="8" t="s">
        <v>323</v>
      </c>
      <c r="I291" s="8" t="s">
        <v>324</v>
      </c>
      <c r="J291" s="8" t="s">
        <v>416</v>
      </c>
      <c r="L291" t="str">
        <f t="shared" si="9"/>
        <v>.</v>
      </c>
    </row>
    <row r="292" spans="1:12" hidden="1" x14ac:dyDescent="0.45">
      <c r="A292" t="s">
        <v>5</v>
      </c>
      <c r="B292" t="s">
        <v>5</v>
      </c>
      <c r="C292">
        <v>7.0967680123090737E-4</v>
      </c>
      <c r="D292">
        <v>1</v>
      </c>
      <c r="E292">
        <v>0.99929032330932133</v>
      </c>
      <c r="G292" t="str">
        <f t="shared" si="8"/>
        <v>.</v>
      </c>
      <c r="H292" s="8" t="s">
        <v>152</v>
      </c>
      <c r="I292" s="8" t="s">
        <v>153</v>
      </c>
      <c r="J292" s="8" t="s">
        <v>423</v>
      </c>
      <c r="L292" t="str">
        <f t="shared" si="9"/>
        <v>.</v>
      </c>
    </row>
    <row r="293" spans="1:12" hidden="1" x14ac:dyDescent="0.45">
      <c r="A293" t="s">
        <v>13</v>
      </c>
      <c r="B293" t="s">
        <v>13</v>
      </c>
      <c r="C293">
        <v>0.2953645495893551</v>
      </c>
      <c r="D293">
        <v>0.8</v>
      </c>
      <c r="E293">
        <v>0.88079431690861987</v>
      </c>
      <c r="G293" t="str">
        <f t="shared" si="8"/>
        <v>.</v>
      </c>
      <c r="H293" s="8" t="s">
        <v>465</v>
      </c>
      <c r="I293" s="8" t="s">
        <v>466</v>
      </c>
      <c r="J293" s="8" t="s">
        <v>420</v>
      </c>
      <c r="L293" t="str">
        <f t="shared" si="9"/>
        <v>.</v>
      </c>
    </row>
    <row r="294" spans="1:12" hidden="1" x14ac:dyDescent="0.45">
      <c r="A294" t="s">
        <v>19</v>
      </c>
      <c r="B294" t="s">
        <v>8</v>
      </c>
      <c r="C294">
        <v>0.9816181120696702</v>
      </c>
      <c r="D294">
        <v>0.8</v>
      </c>
      <c r="E294">
        <v>2.2977367413042831E-2</v>
      </c>
      <c r="G294" t="str">
        <f t="shared" si="8"/>
        <v>W</v>
      </c>
      <c r="H294" s="8" t="s">
        <v>467</v>
      </c>
      <c r="I294" s="8" t="s">
        <v>468</v>
      </c>
      <c r="J294" s="8" t="s">
        <v>432</v>
      </c>
      <c r="L294" t="str">
        <f t="shared" si="9"/>
        <v>NonID</v>
      </c>
    </row>
    <row r="295" spans="1:12" hidden="1" x14ac:dyDescent="0.45">
      <c r="A295" t="s">
        <v>12</v>
      </c>
      <c r="B295" t="s">
        <v>12</v>
      </c>
      <c r="C295">
        <v>0.20026838673951769</v>
      </c>
      <c r="D295">
        <v>0.8</v>
      </c>
      <c r="E295">
        <v>0.99966459043674005</v>
      </c>
      <c r="G295" t="str">
        <f t="shared" si="8"/>
        <v>.</v>
      </c>
      <c r="H295" s="8" t="s">
        <v>469</v>
      </c>
      <c r="I295" s="8" t="s">
        <v>99</v>
      </c>
      <c r="J295" s="8" t="s">
        <v>424</v>
      </c>
      <c r="L295" t="str">
        <f t="shared" si="9"/>
        <v>.</v>
      </c>
    </row>
    <row r="296" spans="1:12" hidden="1" x14ac:dyDescent="0.45">
      <c r="A296" t="s">
        <v>12</v>
      </c>
      <c r="B296" t="s">
        <v>12</v>
      </c>
      <c r="C296">
        <v>0.21838228494570069</v>
      </c>
      <c r="D296">
        <v>0.8</v>
      </c>
      <c r="E296">
        <v>0.97702216176622525</v>
      </c>
      <c r="G296" t="str">
        <f t="shared" si="8"/>
        <v>.</v>
      </c>
      <c r="H296" s="8" t="s">
        <v>470</v>
      </c>
      <c r="I296" s="8" t="s">
        <v>99</v>
      </c>
      <c r="J296" s="8" t="s">
        <v>424</v>
      </c>
      <c r="L296" t="str">
        <f t="shared" si="9"/>
        <v>.</v>
      </c>
    </row>
    <row r="297" spans="1:12" hidden="1" x14ac:dyDescent="0.45">
      <c r="A297" t="s">
        <v>11</v>
      </c>
      <c r="B297" t="s">
        <v>11</v>
      </c>
      <c r="C297">
        <v>0.82184011715874983</v>
      </c>
      <c r="D297">
        <v>0.8</v>
      </c>
      <c r="E297">
        <v>0.22269985495400491</v>
      </c>
      <c r="G297" t="str">
        <f t="shared" si="8"/>
        <v>.</v>
      </c>
      <c r="H297" s="8" t="s">
        <v>471</v>
      </c>
      <c r="I297" s="8" t="s">
        <v>99</v>
      </c>
      <c r="J297" s="8" t="s">
        <v>422</v>
      </c>
      <c r="L297" t="str">
        <f t="shared" si="9"/>
        <v>.</v>
      </c>
    </row>
    <row r="298" spans="1:12" hidden="1" x14ac:dyDescent="0.45">
      <c r="A298" t="s">
        <v>7</v>
      </c>
      <c r="B298" t="s">
        <v>7</v>
      </c>
      <c r="C298">
        <v>0.22527366055723291</v>
      </c>
      <c r="D298">
        <v>0.8</v>
      </c>
      <c r="E298">
        <v>0.97068680228831061</v>
      </c>
      <c r="G298" t="str">
        <f t="shared" si="8"/>
        <v>.</v>
      </c>
      <c r="H298" s="8" t="s">
        <v>472</v>
      </c>
      <c r="I298" s="8" t="s">
        <v>99</v>
      </c>
      <c r="J298" s="8" t="s">
        <v>418</v>
      </c>
      <c r="L298" t="str">
        <f t="shared" si="9"/>
        <v>.</v>
      </c>
    </row>
    <row r="299" spans="1:12" hidden="1" x14ac:dyDescent="0.45">
      <c r="A299" t="s">
        <v>9</v>
      </c>
      <c r="B299" t="s">
        <v>13</v>
      </c>
      <c r="C299">
        <v>0.20960440936538191</v>
      </c>
      <c r="D299">
        <v>0.8</v>
      </c>
      <c r="E299">
        <v>0.99142231192149144</v>
      </c>
      <c r="G299" t="str">
        <f t="shared" si="8"/>
        <v>W</v>
      </c>
      <c r="H299" s="8" t="s">
        <v>288</v>
      </c>
      <c r="I299" s="8" t="s">
        <v>289</v>
      </c>
      <c r="J299" s="8" t="s">
        <v>420</v>
      </c>
      <c r="L299" t="str">
        <f t="shared" si="9"/>
        <v>.</v>
      </c>
    </row>
    <row r="300" spans="1:12" hidden="1" x14ac:dyDescent="0.45">
      <c r="A300" t="s">
        <v>17</v>
      </c>
      <c r="B300" t="s">
        <v>17</v>
      </c>
      <c r="C300">
        <v>0.20006359119082101</v>
      </c>
      <c r="D300">
        <v>0.8</v>
      </c>
      <c r="E300">
        <v>0.99992506849856422</v>
      </c>
      <c r="G300" t="str">
        <f t="shared" si="8"/>
        <v>.</v>
      </c>
      <c r="H300" s="8" t="s">
        <v>454</v>
      </c>
      <c r="I300" s="8" t="s">
        <v>455</v>
      </c>
      <c r="J300" s="8" t="s">
        <v>429</v>
      </c>
      <c r="L300" t="str">
        <f t="shared" si="9"/>
        <v>.</v>
      </c>
    </row>
    <row r="301" spans="1:12" hidden="1" x14ac:dyDescent="0.45">
      <c r="A301" t="s">
        <v>7</v>
      </c>
      <c r="B301" t="s">
        <v>7</v>
      </c>
      <c r="C301">
        <v>0.20003677604999909</v>
      </c>
      <c r="D301">
        <v>0.8</v>
      </c>
      <c r="E301">
        <v>0.99995451003057012</v>
      </c>
      <c r="G301" t="str">
        <f t="shared" si="8"/>
        <v>.</v>
      </c>
      <c r="H301" s="8" t="s">
        <v>291</v>
      </c>
      <c r="I301" s="8" t="s">
        <v>292</v>
      </c>
      <c r="J301" s="8" t="s">
        <v>436</v>
      </c>
      <c r="L301" t="str">
        <f t="shared" si="9"/>
        <v>.</v>
      </c>
    </row>
    <row r="302" spans="1:12" hidden="1" x14ac:dyDescent="0.45">
      <c r="A302" t="s">
        <v>12</v>
      </c>
      <c r="B302" t="s">
        <v>12</v>
      </c>
      <c r="C302">
        <v>0.20044231817495359</v>
      </c>
      <c r="D302">
        <v>0.8</v>
      </c>
      <c r="E302">
        <v>0.99944712016184645</v>
      </c>
      <c r="G302" t="str">
        <f t="shared" si="8"/>
        <v>.</v>
      </c>
      <c r="H302" s="8" t="s">
        <v>470</v>
      </c>
      <c r="I302" s="8" t="s">
        <v>99</v>
      </c>
      <c r="J302" s="8" t="s">
        <v>424</v>
      </c>
      <c r="L302" t="str">
        <f t="shared" si="9"/>
        <v>.</v>
      </c>
    </row>
    <row r="303" spans="1:12" hidden="1" x14ac:dyDescent="0.45">
      <c r="A303" t="s">
        <v>7</v>
      </c>
      <c r="B303" t="s">
        <v>7</v>
      </c>
      <c r="C303">
        <v>0.20535439320401411</v>
      </c>
      <c r="D303">
        <v>0.8</v>
      </c>
      <c r="E303">
        <v>0.99330700849498244</v>
      </c>
      <c r="G303" t="str">
        <f t="shared" si="8"/>
        <v>.</v>
      </c>
      <c r="H303" s="8" t="s">
        <v>261</v>
      </c>
      <c r="I303" s="8" t="s">
        <v>262</v>
      </c>
      <c r="J303" s="8" t="s">
        <v>436</v>
      </c>
      <c r="L303" t="str">
        <f t="shared" si="9"/>
        <v>.</v>
      </c>
    </row>
    <row r="304" spans="1:12" hidden="1" x14ac:dyDescent="0.45">
      <c r="A304" t="s">
        <v>20</v>
      </c>
      <c r="B304" t="s">
        <v>20</v>
      </c>
      <c r="C304">
        <v>0.31956087191981991</v>
      </c>
      <c r="D304">
        <v>0.8</v>
      </c>
      <c r="E304">
        <v>0.85195246835757599</v>
      </c>
      <c r="G304" t="str">
        <f t="shared" si="8"/>
        <v>.</v>
      </c>
      <c r="H304" s="8" t="s">
        <v>398</v>
      </c>
      <c r="I304" s="8" t="s">
        <v>399</v>
      </c>
      <c r="J304" s="8" t="s">
        <v>433</v>
      </c>
      <c r="L304" t="str">
        <f t="shared" si="9"/>
        <v>.</v>
      </c>
    </row>
    <row r="305" spans="1:12" hidden="1" x14ac:dyDescent="0.45">
      <c r="A305" t="s">
        <v>15</v>
      </c>
      <c r="B305" t="s">
        <v>15</v>
      </c>
      <c r="C305">
        <v>0.2002683276874897</v>
      </c>
      <c r="D305">
        <v>0.8</v>
      </c>
      <c r="E305">
        <v>0.99966459043674005</v>
      </c>
      <c r="G305" t="str">
        <f t="shared" si="8"/>
        <v>.</v>
      </c>
      <c r="H305" s="8" t="s">
        <v>377</v>
      </c>
      <c r="I305" s="8" t="s">
        <v>378</v>
      </c>
      <c r="J305" s="8" t="s">
        <v>426</v>
      </c>
      <c r="L305" t="str">
        <f t="shared" si="9"/>
        <v>.</v>
      </c>
    </row>
    <row r="306" spans="1:12" hidden="1" x14ac:dyDescent="0.45">
      <c r="A306" t="s">
        <v>19</v>
      </c>
      <c r="B306" t="s">
        <v>18</v>
      </c>
      <c r="C306">
        <v>1</v>
      </c>
      <c r="D306">
        <v>0.8</v>
      </c>
      <c r="E306">
        <v>1.798621131402731E-2</v>
      </c>
      <c r="G306" t="str">
        <f t="shared" si="8"/>
        <v>W</v>
      </c>
      <c r="H306" s="8" t="s">
        <v>473</v>
      </c>
      <c r="I306" s="8" t="s">
        <v>474</v>
      </c>
      <c r="J306" s="8" t="s">
        <v>497</v>
      </c>
      <c r="L306" t="str">
        <f t="shared" si="9"/>
        <v>NonID</v>
      </c>
    </row>
    <row r="307" spans="1:12" hidden="1" x14ac:dyDescent="0.45">
      <c r="A307" t="s">
        <v>13</v>
      </c>
      <c r="B307" t="s">
        <v>13</v>
      </c>
      <c r="C307">
        <v>0.2994457365774158</v>
      </c>
      <c r="D307">
        <v>0.8</v>
      </c>
      <c r="E307">
        <v>0.92414157141107012</v>
      </c>
      <c r="G307" t="str">
        <f t="shared" si="8"/>
        <v>.</v>
      </c>
      <c r="H307" s="8" t="s">
        <v>159</v>
      </c>
      <c r="I307" s="8" t="s">
        <v>99</v>
      </c>
      <c r="J307" s="8" t="s">
        <v>420</v>
      </c>
      <c r="L307" t="str">
        <f t="shared" si="9"/>
        <v>.</v>
      </c>
    </row>
    <row r="308" spans="1:12" hidden="1" x14ac:dyDescent="0.45">
      <c r="A308" t="s">
        <v>19</v>
      </c>
      <c r="B308" t="s">
        <v>8</v>
      </c>
      <c r="C308">
        <v>0.98561103801181449</v>
      </c>
      <c r="D308">
        <v>0.8</v>
      </c>
      <c r="E308">
        <v>1.798620273753547E-2</v>
      </c>
      <c r="G308" t="str">
        <f t="shared" si="8"/>
        <v>W</v>
      </c>
      <c r="H308" s="8" t="s">
        <v>467</v>
      </c>
      <c r="I308" s="8" t="s">
        <v>468</v>
      </c>
      <c r="J308" s="8" t="s">
        <v>432</v>
      </c>
      <c r="L308" t="str">
        <f t="shared" si="9"/>
        <v>NonID</v>
      </c>
    </row>
    <row r="309" spans="1:12" hidden="1" x14ac:dyDescent="0.45">
      <c r="A309" t="s">
        <v>13</v>
      </c>
      <c r="B309" t="s">
        <v>13</v>
      </c>
      <c r="C309">
        <v>0.4158739778696543</v>
      </c>
      <c r="D309">
        <v>0.8</v>
      </c>
      <c r="E309">
        <v>0.73105552824876119</v>
      </c>
      <c r="G309" t="str">
        <f t="shared" si="8"/>
        <v>.</v>
      </c>
      <c r="H309" s="8" t="s">
        <v>271</v>
      </c>
      <c r="I309" s="8" t="s">
        <v>99</v>
      </c>
      <c r="J309" s="8" t="s">
        <v>420</v>
      </c>
      <c r="L309" t="str">
        <f t="shared" si="9"/>
        <v>.</v>
      </c>
    </row>
    <row r="310" spans="1:12" hidden="1" x14ac:dyDescent="0.45">
      <c r="A310" t="s">
        <v>12</v>
      </c>
      <c r="B310" t="s">
        <v>12</v>
      </c>
      <c r="C310">
        <v>0.218381906905317</v>
      </c>
      <c r="D310">
        <v>0.8</v>
      </c>
      <c r="E310">
        <v>0.97702261672772872</v>
      </c>
      <c r="G310" t="str">
        <f t="shared" si="8"/>
        <v>.</v>
      </c>
      <c r="H310" s="8" t="s">
        <v>475</v>
      </c>
      <c r="I310" s="8" t="s">
        <v>476</v>
      </c>
      <c r="J310" s="8" t="s">
        <v>424</v>
      </c>
      <c r="L310" t="str">
        <f t="shared" si="9"/>
        <v>.</v>
      </c>
    </row>
    <row r="311" spans="1:12" hidden="1" x14ac:dyDescent="0.45">
      <c r="A311" t="s">
        <v>13</v>
      </c>
      <c r="B311" t="s">
        <v>13</v>
      </c>
      <c r="C311">
        <v>0.52759468216153116</v>
      </c>
      <c r="D311">
        <v>0.8</v>
      </c>
      <c r="E311">
        <v>0.95257237691507302</v>
      </c>
      <c r="G311" t="str">
        <f t="shared" si="8"/>
        <v>.</v>
      </c>
      <c r="H311" s="8" t="s">
        <v>154</v>
      </c>
      <c r="I311" s="8" t="s">
        <v>99</v>
      </c>
      <c r="J311" s="8" t="s">
        <v>420</v>
      </c>
      <c r="L311" t="str">
        <f t="shared" si="9"/>
        <v>.</v>
      </c>
    </row>
    <row r="312" spans="1:12" hidden="1" x14ac:dyDescent="0.45">
      <c r="A312" t="s">
        <v>14</v>
      </c>
      <c r="B312" t="s">
        <v>14</v>
      </c>
      <c r="C312">
        <v>0.2009356748715648</v>
      </c>
      <c r="D312">
        <v>0.8</v>
      </c>
      <c r="E312">
        <v>0.99883045900532441</v>
      </c>
      <c r="G312" t="str">
        <f t="shared" si="8"/>
        <v>.</v>
      </c>
      <c r="H312" s="8" t="s">
        <v>185</v>
      </c>
      <c r="I312" s="8" t="s">
        <v>186</v>
      </c>
      <c r="J312" s="8" t="s">
        <v>425</v>
      </c>
      <c r="L312" t="str">
        <f t="shared" si="9"/>
        <v>.</v>
      </c>
    </row>
    <row r="313" spans="1:12" hidden="1" x14ac:dyDescent="0.45">
      <c r="A313" t="s">
        <v>5</v>
      </c>
      <c r="B313" t="s">
        <v>5</v>
      </c>
      <c r="C313">
        <v>6.2730209325900788E-6</v>
      </c>
      <c r="D313">
        <v>1</v>
      </c>
      <c r="E313">
        <v>0.99999372702007638</v>
      </c>
      <c r="G313" t="str">
        <f t="shared" si="8"/>
        <v>.</v>
      </c>
      <c r="H313" s="8" t="s">
        <v>176</v>
      </c>
      <c r="I313" s="8" t="s">
        <v>177</v>
      </c>
      <c r="J313" s="8" t="s">
        <v>423</v>
      </c>
      <c r="L313" t="str">
        <f t="shared" si="9"/>
        <v>.</v>
      </c>
    </row>
    <row r="314" spans="1:12" x14ac:dyDescent="0.45">
      <c r="A314" t="s">
        <v>13</v>
      </c>
      <c r="B314" t="s">
        <v>18</v>
      </c>
      <c r="C314">
        <v>0.67088391660781421</v>
      </c>
      <c r="D314">
        <v>0.8</v>
      </c>
      <c r="E314">
        <v>0.6791779678132176</v>
      </c>
      <c r="G314" t="str">
        <f t="shared" si="8"/>
        <v>W</v>
      </c>
      <c r="H314" s="8" t="s">
        <v>313</v>
      </c>
      <c r="I314" s="8" t="s">
        <v>99</v>
      </c>
      <c r="J314" s="8" t="s">
        <v>420</v>
      </c>
      <c r="K314" s="8" t="s">
        <v>514</v>
      </c>
      <c r="L314" t="str">
        <f t="shared" si="9"/>
        <v>.</v>
      </c>
    </row>
    <row r="315" spans="1:12" hidden="1" x14ac:dyDescent="0.45">
      <c r="A315" t="s">
        <v>5</v>
      </c>
      <c r="B315" t="s">
        <v>5</v>
      </c>
      <c r="C315">
        <v>0.77730038398311962</v>
      </c>
      <c r="D315">
        <v>1</v>
      </c>
      <c r="E315">
        <v>0.22269961602310959</v>
      </c>
      <c r="G315" t="str">
        <f t="shared" si="8"/>
        <v>.</v>
      </c>
      <c r="H315" s="8" t="s">
        <v>477</v>
      </c>
      <c r="I315" s="8" t="s">
        <v>478</v>
      </c>
      <c r="J315" s="8" t="s">
        <v>423</v>
      </c>
      <c r="L315" t="str">
        <f t="shared" si="9"/>
        <v>.</v>
      </c>
    </row>
    <row r="316" spans="1:12" hidden="1" x14ac:dyDescent="0.45">
      <c r="A316" t="s">
        <v>25</v>
      </c>
      <c r="B316" t="s">
        <v>25</v>
      </c>
      <c r="C316">
        <v>0.2003444806149618</v>
      </c>
      <c r="D316">
        <v>0.8</v>
      </c>
      <c r="E316">
        <v>0.99956942349659961</v>
      </c>
      <c r="G316" t="str">
        <f t="shared" si="8"/>
        <v>.</v>
      </c>
      <c r="H316" s="8" t="s">
        <v>479</v>
      </c>
      <c r="I316" s="8" t="s">
        <v>480</v>
      </c>
      <c r="J316" s="8" t="s">
        <v>498</v>
      </c>
      <c r="L316" t="str">
        <f t="shared" si="9"/>
        <v>.</v>
      </c>
    </row>
    <row r="317" spans="1:12" hidden="1" x14ac:dyDescent="0.45">
      <c r="A317" t="s">
        <v>15</v>
      </c>
      <c r="B317" t="s">
        <v>15</v>
      </c>
      <c r="C317">
        <v>0.20000187224866861</v>
      </c>
      <c r="D317">
        <v>0.8</v>
      </c>
      <c r="E317">
        <v>0.99999766072415552</v>
      </c>
      <c r="G317" t="str">
        <f t="shared" si="8"/>
        <v>.</v>
      </c>
      <c r="H317" s="8" t="s">
        <v>178</v>
      </c>
      <c r="I317" s="8" t="s">
        <v>179</v>
      </c>
      <c r="J317" s="8" t="s">
        <v>426</v>
      </c>
      <c r="L317" t="str">
        <f t="shared" si="9"/>
        <v>.</v>
      </c>
    </row>
    <row r="318" spans="1:12" hidden="1" x14ac:dyDescent="0.45">
      <c r="A318" t="s">
        <v>17</v>
      </c>
      <c r="B318" t="s">
        <v>17</v>
      </c>
      <c r="C318">
        <v>0.20020904839015449</v>
      </c>
      <c r="D318">
        <v>0.8</v>
      </c>
      <c r="E318">
        <v>0.99973869830781348</v>
      </c>
      <c r="G318" t="str">
        <f t="shared" si="8"/>
        <v>.</v>
      </c>
      <c r="H318" s="8" t="s">
        <v>412</v>
      </c>
      <c r="I318" s="8" t="s">
        <v>413</v>
      </c>
      <c r="J318" s="8" t="s">
        <v>429</v>
      </c>
      <c r="L318" t="str">
        <f t="shared" si="9"/>
        <v>.</v>
      </c>
    </row>
    <row r="319" spans="1:12" hidden="1" x14ac:dyDescent="0.45">
      <c r="A319" t="s">
        <v>12</v>
      </c>
      <c r="B319" t="s">
        <v>12</v>
      </c>
      <c r="C319">
        <v>0.20000635390608279</v>
      </c>
      <c r="D319">
        <v>0.8</v>
      </c>
      <c r="E319">
        <v>0.99999205818100989</v>
      </c>
      <c r="G319" t="str">
        <f t="shared" si="8"/>
        <v>.</v>
      </c>
      <c r="H319" s="8" t="s">
        <v>370</v>
      </c>
      <c r="I319" s="8" t="s">
        <v>371</v>
      </c>
      <c r="J319" s="8" t="s">
        <v>424</v>
      </c>
      <c r="L319" t="str">
        <f t="shared" si="9"/>
        <v>.</v>
      </c>
    </row>
    <row r="320" spans="1:12" hidden="1" x14ac:dyDescent="0.45">
      <c r="A320" t="s">
        <v>14</v>
      </c>
      <c r="B320" t="s">
        <v>14</v>
      </c>
      <c r="C320">
        <v>0.20056774225244109</v>
      </c>
      <c r="D320">
        <v>0.8</v>
      </c>
      <c r="E320">
        <v>0.99929032330932133</v>
      </c>
      <c r="G320" t="str">
        <f t="shared" si="8"/>
        <v>.</v>
      </c>
      <c r="H320" s="8" t="s">
        <v>386</v>
      </c>
      <c r="I320" s="8" t="s">
        <v>387</v>
      </c>
      <c r="J320" s="8" t="s">
        <v>425</v>
      </c>
      <c r="L320" t="str">
        <f t="shared" si="9"/>
        <v>.</v>
      </c>
    </row>
    <row r="321" spans="1:12" hidden="1" x14ac:dyDescent="0.45">
      <c r="A321" t="s">
        <v>16</v>
      </c>
      <c r="B321" t="s">
        <v>16</v>
      </c>
      <c r="C321">
        <v>0.20072883912954601</v>
      </c>
      <c r="D321">
        <v>0.8</v>
      </c>
      <c r="E321">
        <v>0.99908895173900303</v>
      </c>
      <c r="G321" t="str">
        <f t="shared" si="8"/>
        <v>.</v>
      </c>
      <c r="H321" s="8" t="s">
        <v>133</v>
      </c>
      <c r="I321" s="8" t="s">
        <v>134</v>
      </c>
      <c r="J321" s="8" t="s">
        <v>428</v>
      </c>
      <c r="L321" t="str">
        <f t="shared" si="9"/>
        <v>.</v>
      </c>
    </row>
    <row r="322" spans="1:12" hidden="1" x14ac:dyDescent="0.45">
      <c r="A322" t="s">
        <v>19</v>
      </c>
      <c r="B322" t="s">
        <v>18</v>
      </c>
      <c r="C322">
        <v>1</v>
      </c>
      <c r="D322">
        <v>0.8</v>
      </c>
      <c r="E322">
        <v>4.0701379399835057E-3</v>
      </c>
      <c r="G322" t="str">
        <f t="shared" si="8"/>
        <v>W</v>
      </c>
      <c r="H322" s="8" t="s">
        <v>481</v>
      </c>
      <c r="I322" s="8" t="s">
        <v>482</v>
      </c>
      <c r="J322" s="8" t="s">
        <v>497</v>
      </c>
      <c r="L322" t="str">
        <f t="shared" si="9"/>
        <v>NonID</v>
      </c>
    </row>
    <row r="323" spans="1:12" hidden="1" x14ac:dyDescent="0.45">
      <c r="A323" t="s">
        <v>23</v>
      </c>
      <c r="B323" t="s">
        <v>23</v>
      </c>
      <c r="C323">
        <v>0.20686215057259119</v>
      </c>
      <c r="D323">
        <v>0.8</v>
      </c>
      <c r="E323">
        <v>0.99142231192149144</v>
      </c>
      <c r="G323" t="str">
        <f t="shared" ref="G323:G386" si="10">IF(A323=B323,".","W")</f>
        <v>.</v>
      </c>
      <c r="H323" s="8" t="s">
        <v>343</v>
      </c>
      <c r="I323" s="8" t="s">
        <v>344</v>
      </c>
      <c r="J323" s="8" t="s">
        <v>438</v>
      </c>
      <c r="L323" t="str">
        <f t="shared" ref="L323:L386" si="11">IF(C323&lt;=$L$1,".","NonID")</f>
        <v>.</v>
      </c>
    </row>
    <row r="324" spans="1:12" hidden="1" x14ac:dyDescent="0.45">
      <c r="A324" t="s">
        <v>13</v>
      </c>
      <c r="B324" t="s">
        <v>13</v>
      </c>
      <c r="C324">
        <v>0.20535453350841221</v>
      </c>
      <c r="D324">
        <v>0.8</v>
      </c>
      <c r="E324">
        <v>0.99330700849498244</v>
      </c>
      <c r="G324" t="str">
        <f t="shared" si="10"/>
        <v>.</v>
      </c>
      <c r="H324" s="8" t="s">
        <v>360</v>
      </c>
      <c r="I324" s="8" t="s">
        <v>361</v>
      </c>
      <c r="J324" s="8" t="s">
        <v>420</v>
      </c>
      <c r="L324" t="str">
        <f t="shared" si="11"/>
        <v>.</v>
      </c>
    </row>
    <row r="325" spans="1:12" hidden="1" x14ac:dyDescent="0.45">
      <c r="A325" t="s">
        <v>13</v>
      </c>
      <c r="B325" t="s">
        <v>13</v>
      </c>
      <c r="C325">
        <v>0.21350026075440129</v>
      </c>
      <c r="D325">
        <v>0.8</v>
      </c>
      <c r="E325">
        <v>0.98593597176585357</v>
      </c>
      <c r="G325" t="str">
        <f t="shared" si="10"/>
        <v>.</v>
      </c>
      <c r="H325" s="8" t="s">
        <v>440</v>
      </c>
      <c r="I325" s="8" t="s">
        <v>99</v>
      </c>
      <c r="J325" s="8" t="s">
        <v>420</v>
      </c>
      <c r="L325" t="str">
        <f t="shared" si="11"/>
        <v>.</v>
      </c>
    </row>
    <row r="326" spans="1:12" hidden="1" x14ac:dyDescent="0.45">
      <c r="A326" t="s">
        <v>14</v>
      </c>
      <c r="B326" t="s">
        <v>14</v>
      </c>
      <c r="C326">
        <v>0.20120098833038419</v>
      </c>
      <c r="D326">
        <v>0.8</v>
      </c>
      <c r="E326">
        <v>0.99849876799337189</v>
      </c>
      <c r="G326" t="str">
        <f t="shared" si="10"/>
        <v>.</v>
      </c>
      <c r="H326" s="8" t="s">
        <v>162</v>
      </c>
      <c r="I326" s="8" t="s">
        <v>163</v>
      </c>
      <c r="J326" s="8" t="s">
        <v>425</v>
      </c>
      <c r="L326" t="str">
        <f t="shared" si="11"/>
        <v>.</v>
      </c>
    </row>
    <row r="327" spans="1:12" hidden="1" x14ac:dyDescent="0.45">
      <c r="A327" t="s">
        <v>14</v>
      </c>
      <c r="B327" t="s">
        <v>14</v>
      </c>
      <c r="C327">
        <v>0.20154142153603741</v>
      </c>
      <c r="D327">
        <v>0.8</v>
      </c>
      <c r="E327">
        <v>0.99807322600355197</v>
      </c>
      <c r="G327" t="str">
        <f t="shared" si="10"/>
        <v>.</v>
      </c>
      <c r="H327" s="8" t="s">
        <v>375</v>
      </c>
      <c r="I327" s="8" t="s">
        <v>376</v>
      </c>
      <c r="J327" s="8" t="s">
        <v>425</v>
      </c>
      <c r="L327" t="str">
        <f t="shared" si="11"/>
        <v>.</v>
      </c>
    </row>
    <row r="328" spans="1:12" hidden="1" x14ac:dyDescent="0.45">
      <c r="A328" t="s">
        <v>15</v>
      </c>
      <c r="B328" t="s">
        <v>15</v>
      </c>
      <c r="C328">
        <v>0.20878980262616301</v>
      </c>
      <c r="D328">
        <v>0.8</v>
      </c>
      <c r="E328">
        <v>0.98901275129562083</v>
      </c>
      <c r="G328" t="str">
        <f t="shared" si="10"/>
        <v>.</v>
      </c>
      <c r="H328" s="8" t="s">
        <v>372</v>
      </c>
      <c r="I328" s="8" t="s">
        <v>99</v>
      </c>
      <c r="J328" s="8" t="s">
        <v>426</v>
      </c>
      <c r="L328" t="str">
        <f t="shared" si="11"/>
        <v>.</v>
      </c>
    </row>
    <row r="329" spans="1:12" hidden="1" x14ac:dyDescent="0.45">
      <c r="A329" t="s">
        <v>17</v>
      </c>
      <c r="B329" t="s">
        <v>17</v>
      </c>
      <c r="C329">
        <v>0.20013414944058169</v>
      </c>
      <c r="D329">
        <v>0.8</v>
      </c>
      <c r="E329">
        <v>0.99998323721818272</v>
      </c>
      <c r="G329" t="str">
        <f t="shared" si="10"/>
        <v>.</v>
      </c>
      <c r="H329" s="8" t="s">
        <v>391</v>
      </c>
      <c r="I329" s="8" t="s">
        <v>392</v>
      </c>
      <c r="J329" s="8" t="s">
        <v>429</v>
      </c>
      <c r="L329" t="str">
        <f t="shared" si="11"/>
        <v>.</v>
      </c>
    </row>
    <row r="330" spans="1:12" hidden="1" x14ac:dyDescent="0.45">
      <c r="A330" t="s">
        <v>13</v>
      </c>
      <c r="B330" t="s">
        <v>13</v>
      </c>
      <c r="C330">
        <v>0.21125096917518621</v>
      </c>
      <c r="D330">
        <v>0.8</v>
      </c>
      <c r="E330">
        <v>0.98593632069119785</v>
      </c>
      <c r="G330" t="str">
        <f t="shared" si="10"/>
        <v>.</v>
      </c>
      <c r="H330" s="8" t="s">
        <v>263</v>
      </c>
      <c r="I330" s="8" t="s">
        <v>264</v>
      </c>
      <c r="J330" s="8" t="s">
        <v>420</v>
      </c>
      <c r="L330" t="str">
        <f t="shared" si="11"/>
        <v>.</v>
      </c>
    </row>
    <row r="331" spans="1:12" hidden="1" x14ac:dyDescent="0.45">
      <c r="A331" t="s">
        <v>10</v>
      </c>
      <c r="B331" t="s">
        <v>10</v>
      </c>
      <c r="C331">
        <v>0.78484723324102901</v>
      </c>
      <c r="D331">
        <v>0.8</v>
      </c>
      <c r="E331">
        <v>0.26894108467305378</v>
      </c>
      <c r="G331" t="str">
        <f t="shared" si="10"/>
        <v>.</v>
      </c>
      <c r="H331" s="8" t="s">
        <v>111</v>
      </c>
      <c r="I331" s="8" t="s">
        <v>112</v>
      </c>
      <c r="J331" s="8" t="s">
        <v>421</v>
      </c>
      <c r="L331" t="str">
        <f t="shared" si="11"/>
        <v>.</v>
      </c>
    </row>
    <row r="332" spans="1:12" hidden="1" x14ac:dyDescent="0.45">
      <c r="A332" t="s">
        <v>14</v>
      </c>
      <c r="B332" t="s">
        <v>14</v>
      </c>
      <c r="C332">
        <v>0.20154142204752759</v>
      </c>
      <c r="D332">
        <v>0.8</v>
      </c>
      <c r="E332">
        <v>0.99807322600355197</v>
      </c>
      <c r="G332" t="str">
        <f t="shared" si="10"/>
        <v>.</v>
      </c>
      <c r="H332" s="8" t="s">
        <v>233</v>
      </c>
      <c r="I332" s="8" t="s">
        <v>234</v>
      </c>
      <c r="J332" s="8" t="s">
        <v>425</v>
      </c>
      <c r="L332" t="str">
        <f t="shared" si="11"/>
        <v>.</v>
      </c>
    </row>
    <row r="333" spans="1:12" hidden="1" x14ac:dyDescent="0.45">
      <c r="A333" t="s">
        <v>17</v>
      </c>
      <c r="B333" t="s">
        <v>17</v>
      </c>
      <c r="C333">
        <v>0.20000149046603341</v>
      </c>
      <c r="D333">
        <v>0.8</v>
      </c>
      <c r="E333">
        <v>0.99999813753780198</v>
      </c>
      <c r="G333" t="str">
        <f t="shared" si="10"/>
        <v>.</v>
      </c>
      <c r="H333" s="8" t="s">
        <v>458</v>
      </c>
      <c r="I333" s="8" t="s">
        <v>459</v>
      </c>
      <c r="J333" s="8" t="s">
        <v>429</v>
      </c>
      <c r="L333" t="str">
        <f t="shared" si="11"/>
        <v>.</v>
      </c>
    </row>
    <row r="334" spans="1:12" hidden="1" x14ac:dyDescent="0.45">
      <c r="A334" t="s">
        <v>11</v>
      </c>
      <c r="B334" t="s">
        <v>11</v>
      </c>
      <c r="C334">
        <v>0.20000187208398221</v>
      </c>
      <c r="D334">
        <v>0.8</v>
      </c>
      <c r="E334">
        <v>0.99999766072415552</v>
      </c>
      <c r="G334" t="str">
        <f t="shared" si="10"/>
        <v>.</v>
      </c>
      <c r="H334" s="8" t="s">
        <v>451</v>
      </c>
      <c r="I334" s="8" t="s">
        <v>237</v>
      </c>
      <c r="J334" s="8" t="s">
        <v>422</v>
      </c>
      <c r="L334" t="str">
        <f t="shared" si="11"/>
        <v>.</v>
      </c>
    </row>
    <row r="335" spans="1:12" hidden="1" x14ac:dyDescent="0.45">
      <c r="A335" t="s">
        <v>7</v>
      </c>
      <c r="B335" t="s">
        <v>7</v>
      </c>
      <c r="C335">
        <v>0.27337250662050611</v>
      </c>
      <c r="D335">
        <v>0.8</v>
      </c>
      <c r="E335">
        <v>0.93991051719668928</v>
      </c>
      <c r="G335" t="str">
        <f t="shared" si="10"/>
        <v>.</v>
      </c>
      <c r="H335" s="8" t="s">
        <v>472</v>
      </c>
      <c r="I335" s="8" t="s">
        <v>99</v>
      </c>
      <c r="J335" s="8" t="s">
        <v>418</v>
      </c>
      <c r="L335" t="str">
        <f t="shared" si="11"/>
        <v>.</v>
      </c>
    </row>
    <row r="336" spans="1:12" hidden="1" x14ac:dyDescent="0.45">
      <c r="A336" t="s">
        <v>14</v>
      </c>
      <c r="B336" t="s">
        <v>14</v>
      </c>
      <c r="C336">
        <v>0.20072887951609941</v>
      </c>
      <c r="D336">
        <v>0.8</v>
      </c>
      <c r="E336">
        <v>0.99908895173900303</v>
      </c>
      <c r="G336" t="str">
        <f t="shared" si="10"/>
        <v>.</v>
      </c>
      <c r="H336" s="8" t="s">
        <v>122</v>
      </c>
      <c r="I336" s="8" t="s">
        <v>123</v>
      </c>
      <c r="J336" s="8" t="s">
        <v>425</v>
      </c>
      <c r="L336" t="str">
        <f t="shared" si="11"/>
        <v>.</v>
      </c>
    </row>
    <row r="337" spans="1:13" hidden="1" x14ac:dyDescent="0.45">
      <c r="A337" t="s">
        <v>19</v>
      </c>
      <c r="B337" t="s">
        <v>18</v>
      </c>
      <c r="C337">
        <v>1</v>
      </c>
      <c r="D337">
        <v>0.8</v>
      </c>
      <c r="E337">
        <v>6.6928512642157227E-3</v>
      </c>
      <c r="G337" t="str">
        <f t="shared" si="10"/>
        <v>W</v>
      </c>
      <c r="H337" s="8" t="s">
        <v>157</v>
      </c>
      <c r="I337" s="8" t="s">
        <v>158</v>
      </c>
      <c r="J337" s="8" t="s">
        <v>430</v>
      </c>
      <c r="K337" s="8" t="s">
        <v>513</v>
      </c>
      <c r="L337" s="13" t="str">
        <f t="shared" si="11"/>
        <v>NonID</v>
      </c>
      <c r="M337" s="8" t="s">
        <v>513</v>
      </c>
    </row>
    <row r="338" spans="1:13" hidden="1" x14ac:dyDescent="0.45">
      <c r="A338" t="s">
        <v>6</v>
      </c>
      <c r="B338" t="s">
        <v>6</v>
      </c>
      <c r="C338">
        <v>0.2000009178263622</v>
      </c>
      <c r="D338">
        <v>0.8</v>
      </c>
      <c r="E338">
        <v>0.99999885275869793</v>
      </c>
      <c r="G338" t="str">
        <f t="shared" si="10"/>
        <v>.</v>
      </c>
      <c r="H338" s="8" t="s">
        <v>145</v>
      </c>
      <c r="I338" s="8" t="s">
        <v>146</v>
      </c>
      <c r="J338" s="8" t="s">
        <v>417</v>
      </c>
      <c r="L338" t="str">
        <f t="shared" si="11"/>
        <v>.</v>
      </c>
      <c r="M338" s="8" t="s">
        <v>513</v>
      </c>
    </row>
    <row r="339" spans="1:13" hidden="1" x14ac:dyDescent="0.45">
      <c r="A339" t="s">
        <v>13</v>
      </c>
      <c r="B339" t="s">
        <v>13</v>
      </c>
      <c r="C339">
        <v>0.50621887107212715</v>
      </c>
      <c r="D339">
        <v>0.8</v>
      </c>
      <c r="E339">
        <v>0.9706870301020154</v>
      </c>
      <c r="G339" t="str">
        <f t="shared" si="10"/>
        <v>.</v>
      </c>
      <c r="H339" s="8" t="s">
        <v>389</v>
      </c>
      <c r="I339" s="8" t="s">
        <v>390</v>
      </c>
      <c r="J339" s="8" t="s">
        <v>420</v>
      </c>
      <c r="L339" t="str">
        <f t="shared" si="11"/>
        <v>.</v>
      </c>
    </row>
    <row r="340" spans="1:13" hidden="1" x14ac:dyDescent="0.45">
      <c r="A340" t="s">
        <v>13</v>
      </c>
      <c r="B340" t="s">
        <v>13</v>
      </c>
      <c r="C340">
        <v>0.20417616841512529</v>
      </c>
      <c r="D340">
        <v>0.8</v>
      </c>
      <c r="E340">
        <v>0.99477978997431815</v>
      </c>
      <c r="G340" t="str">
        <f t="shared" si="10"/>
        <v>.</v>
      </c>
      <c r="H340" s="8" t="s">
        <v>449</v>
      </c>
      <c r="I340" s="8" t="s">
        <v>450</v>
      </c>
      <c r="J340" s="8" t="s">
        <v>420</v>
      </c>
      <c r="L340" t="str">
        <f t="shared" si="11"/>
        <v>.</v>
      </c>
    </row>
    <row r="341" spans="1:13" hidden="1" x14ac:dyDescent="0.45">
      <c r="A341" t="s">
        <v>5</v>
      </c>
      <c r="B341" t="s">
        <v>5</v>
      </c>
      <c r="C341">
        <v>2.4727154832423488E-3</v>
      </c>
      <c r="D341">
        <v>1</v>
      </c>
      <c r="E341">
        <v>0.99752728456888673</v>
      </c>
      <c r="G341" t="str">
        <f t="shared" si="10"/>
        <v>.</v>
      </c>
      <c r="H341" s="8" t="s">
        <v>152</v>
      </c>
      <c r="I341" s="8" t="s">
        <v>153</v>
      </c>
      <c r="J341" s="8" t="s">
        <v>423</v>
      </c>
      <c r="L341" t="str">
        <f t="shared" si="11"/>
        <v>.</v>
      </c>
    </row>
    <row r="342" spans="1:13" hidden="1" x14ac:dyDescent="0.45">
      <c r="A342" t="s">
        <v>15</v>
      </c>
      <c r="B342" t="s">
        <v>15</v>
      </c>
      <c r="C342">
        <v>0.20026832783127549</v>
      </c>
      <c r="D342">
        <v>0.8</v>
      </c>
      <c r="E342">
        <v>0.99966459043674005</v>
      </c>
      <c r="G342" t="str">
        <f t="shared" si="10"/>
        <v>.</v>
      </c>
      <c r="H342" s="8" t="s">
        <v>219</v>
      </c>
      <c r="I342" s="8" t="s">
        <v>220</v>
      </c>
      <c r="J342" s="8" t="s">
        <v>426</v>
      </c>
      <c r="L342" t="str">
        <f t="shared" si="11"/>
        <v>.</v>
      </c>
    </row>
    <row r="343" spans="1:13" hidden="1" x14ac:dyDescent="0.45">
      <c r="A343" t="s">
        <v>21</v>
      </c>
      <c r="B343" t="s">
        <v>21</v>
      </c>
      <c r="C343">
        <v>0.200098748536779</v>
      </c>
      <c r="D343">
        <v>0.8</v>
      </c>
      <c r="E343">
        <v>0.99987656475506059</v>
      </c>
      <c r="G343" t="str">
        <f t="shared" si="10"/>
        <v>.</v>
      </c>
      <c r="H343" s="8" t="s">
        <v>350</v>
      </c>
      <c r="I343" s="8" t="s">
        <v>351</v>
      </c>
      <c r="J343" s="8" t="s">
        <v>434</v>
      </c>
      <c r="L343" t="str">
        <f t="shared" si="11"/>
        <v>.</v>
      </c>
    </row>
    <row r="344" spans="1:13" hidden="1" x14ac:dyDescent="0.45">
      <c r="A344" t="s">
        <v>23</v>
      </c>
      <c r="B344" t="s">
        <v>23</v>
      </c>
      <c r="C344">
        <v>0.20056774148220671</v>
      </c>
      <c r="D344">
        <v>0.8</v>
      </c>
      <c r="E344">
        <v>0.99929032330932133</v>
      </c>
      <c r="G344" t="str">
        <f t="shared" si="10"/>
        <v>.</v>
      </c>
      <c r="H344" s="8" t="s">
        <v>294</v>
      </c>
      <c r="I344" s="8" t="s">
        <v>295</v>
      </c>
      <c r="J344" s="8" t="s">
        <v>438</v>
      </c>
      <c r="L344" t="str">
        <f t="shared" si="11"/>
        <v>.</v>
      </c>
    </row>
    <row r="345" spans="1:13" hidden="1" x14ac:dyDescent="0.45">
      <c r="A345" t="s">
        <v>7</v>
      </c>
      <c r="B345" t="s">
        <v>7</v>
      </c>
      <c r="C345">
        <v>0.29536257604518312</v>
      </c>
      <c r="D345">
        <v>0.8</v>
      </c>
      <c r="E345">
        <v>0.880796810635188</v>
      </c>
      <c r="G345" t="str">
        <f t="shared" si="10"/>
        <v>.</v>
      </c>
      <c r="H345" s="8" t="s">
        <v>98</v>
      </c>
      <c r="I345" s="8" t="s">
        <v>99</v>
      </c>
      <c r="J345" s="8" t="s">
        <v>418</v>
      </c>
      <c r="L345" t="str">
        <f t="shared" si="11"/>
        <v>.</v>
      </c>
    </row>
    <row r="346" spans="1:13" hidden="1" x14ac:dyDescent="0.45">
      <c r="A346" t="s">
        <v>11</v>
      </c>
      <c r="B346" t="s">
        <v>11</v>
      </c>
      <c r="C346">
        <v>0.2032560899888215</v>
      </c>
      <c r="D346">
        <v>0.8</v>
      </c>
      <c r="E346">
        <v>0.99592990413102933</v>
      </c>
      <c r="G346" t="str">
        <f t="shared" si="10"/>
        <v>.</v>
      </c>
      <c r="H346" s="8" t="s">
        <v>471</v>
      </c>
      <c r="I346" s="8" t="s">
        <v>99</v>
      </c>
      <c r="J346" s="8" t="s">
        <v>422</v>
      </c>
      <c r="L346" t="str">
        <f t="shared" si="11"/>
        <v>.</v>
      </c>
    </row>
    <row r="347" spans="1:13" hidden="1" x14ac:dyDescent="0.45">
      <c r="A347" t="s">
        <v>13</v>
      </c>
      <c r="B347" t="s">
        <v>13</v>
      </c>
      <c r="C347">
        <v>0.22214248250852431</v>
      </c>
      <c r="D347">
        <v>0.8</v>
      </c>
      <c r="E347">
        <v>0.99330700849498244</v>
      </c>
      <c r="G347" t="str">
        <f t="shared" si="10"/>
        <v>.</v>
      </c>
      <c r="H347" s="8" t="s">
        <v>120</v>
      </c>
      <c r="I347" s="8" t="s">
        <v>121</v>
      </c>
      <c r="J347" s="8" t="s">
        <v>420</v>
      </c>
      <c r="L347" t="str">
        <f t="shared" si="11"/>
        <v>.</v>
      </c>
    </row>
    <row r="348" spans="1:13" hidden="1" x14ac:dyDescent="0.45">
      <c r="A348" t="s">
        <v>17</v>
      </c>
      <c r="B348" t="s">
        <v>17</v>
      </c>
      <c r="C348">
        <v>0.20010666740171221</v>
      </c>
      <c r="D348">
        <v>0.8</v>
      </c>
      <c r="E348">
        <v>0.99990385206411014</v>
      </c>
      <c r="G348" t="str">
        <f t="shared" si="10"/>
        <v>.</v>
      </c>
      <c r="H348" s="8" t="s">
        <v>155</v>
      </c>
      <c r="I348" s="8" t="s">
        <v>156</v>
      </c>
      <c r="J348" s="8" t="s">
        <v>429</v>
      </c>
      <c r="L348" t="str">
        <f t="shared" si="11"/>
        <v>.</v>
      </c>
    </row>
    <row r="349" spans="1:13" hidden="1" x14ac:dyDescent="0.45">
      <c r="A349" t="s">
        <v>5</v>
      </c>
      <c r="B349" t="s">
        <v>5</v>
      </c>
      <c r="C349">
        <v>0.98161811045826208</v>
      </c>
      <c r="D349">
        <v>0.8</v>
      </c>
      <c r="E349">
        <v>2.2977361934812202E-2</v>
      </c>
      <c r="G349" t="str">
        <f t="shared" si="10"/>
        <v>.</v>
      </c>
      <c r="H349" s="8" t="s">
        <v>238</v>
      </c>
      <c r="I349" s="8" t="s">
        <v>239</v>
      </c>
      <c r="J349" s="8" t="s">
        <v>435</v>
      </c>
      <c r="L349" t="str">
        <f t="shared" si="11"/>
        <v>.</v>
      </c>
    </row>
    <row r="350" spans="1:13" hidden="1" x14ac:dyDescent="0.45">
      <c r="A350" t="s">
        <v>13</v>
      </c>
      <c r="B350" t="s">
        <v>13</v>
      </c>
      <c r="C350">
        <v>0.26102263181265728</v>
      </c>
      <c r="D350">
        <v>0.8</v>
      </c>
      <c r="E350">
        <v>0.92413993957478202</v>
      </c>
      <c r="G350" t="str">
        <f t="shared" si="10"/>
        <v>.</v>
      </c>
      <c r="H350" s="8" t="s">
        <v>312</v>
      </c>
      <c r="I350" s="8" t="s">
        <v>99</v>
      </c>
      <c r="J350" s="8" t="s">
        <v>420</v>
      </c>
      <c r="L350" t="str">
        <f t="shared" si="11"/>
        <v>.</v>
      </c>
    </row>
    <row r="351" spans="1:13" hidden="1" x14ac:dyDescent="0.45">
      <c r="A351" t="s">
        <v>5</v>
      </c>
      <c r="B351" t="s">
        <v>5</v>
      </c>
      <c r="C351">
        <v>7.0967669975330328E-4</v>
      </c>
      <c r="D351">
        <v>1</v>
      </c>
      <c r="E351">
        <v>0.99929032330932133</v>
      </c>
      <c r="G351" t="str">
        <f t="shared" si="10"/>
        <v>.</v>
      </c>
      <c r="H351" s="8" t="s">
        <v>329</v>
      </c>
      <c r="I351" s="8" t="s">
        <v>330</v>
      </c>
      <c r="J351" s="8" t="s">
        <v>423</v>
      </c>
      <c r="L351" t="str">
        <f t="shared" si="11"/>
        <v>.</v>
      </c>
    </row>
    <row r="352" spans="1:13" hidden="1" x14ac:dyDescent="0.45">
      <c r="A352" t="s">
        <v>15</v>
      </c>
      <c r="B352" t="s">
        <v>15</v>
      </c>
      <c r="C352">
        <v>0.214389362057231</v>
      </c>
      <c r="D352">
        <v>0.8</v>
      </c>
      <c r="E352">
        <v>0.98201331327910268</v>
      </c>
      <c r="G352" t="str">
        <f t="shared" si="10"/>
        <v>.</v>
      </c>
      <c r="H352" s="8" t="s">
        <v>182</v>
      </c>
      <c r="I352" s="8" t="s">
        <v>99</v>
      </c>
      <c r="J352" s="8" t="s">
        <v>426</v>
      </c>
      <c r="L352" t="str">
        <f t="shared" si="11"/>
        <v>.</v>
      </c>
    </row>
    <row r="353" spans="1:13" hidden="1" x14ac:dyDescent="0.45">
      <c r="A353" t="s">
        <v>22</v>
      </c>
      <c r="B353" t="s">
        <v>22</v>
      </c>
      <c r="C353">
        <v>0.20878960960952839</v>
      </c>
      <c r="D353">
        <v>0.8</v>
      </c>
      <c r="E353">
        <v>0.98901298801575388</v>
      </c>
      <c r="G353" t="str">
        <f t="shared" si="10"/>
        <v>.</v>
      </c>
      <c r="H353" s="8" t="s">
        <v>277</v>
      </c>
      <c r="I353" s="8" t="s">
        <v>278</v>
      </c>
      <c r="J353" s="8" t="s">
        <v>437</v>
      </c>
      <c r="L353" t="str">
        <f t="shared" si="11"/>
        <v>.</v>
      </c>
    </row>
    <row r="354" spans="1:13" hidden="1" x14ac:dyDescent="0.45">
      <c r="A354" t="s">
        <v>10</v>
      </c>
      <c r="B354" t="s">
        <v>10</v>
      </c>
      <c r="C354">
        <v>0.20197807757711089</v>
      </c>
      <c r="D354">
        <v>0.8</v>
      </c>
      <c r="E354">
        <v>0.99752740325115785</v>
      </c>
      <c r="G354" t="str">
        <f t="shared" si="10"/>
        <v>.</v>
      </c>
      <c r="H354" s="8" t="s">
        <v>118</v>
      </c>
      <c r="I354" s="8" t="s">
        <v>119</v>
      </c>
      <c r="J354" s="8" t="s">
        <v>421</v>
      </c>
      <c r="L354" t="str">
        <f t="shared" si="11"/>
        <v>.</v>
      </c>
    </row>
    <row r="355" spans="1:13" hidden="1" x14ac:dyDescent="0.45">
      <c r="A355" t="s">
        <v>5</v>
      </c>
      <c r="B355" t="s">
        <v>5</v>
      </c>
      <c r="C355">
        <v>0.73105907562827654</v>
      </c>
      <c r="D355">
        <v>1</v>
      </c>
      <c r="E355">
        <v>0.26894092437172351</v>
      </c>
      <c r="G355" t="str">
        <f t="shared" si="10"/>
        <v>.</v>
      </c>
      <c r="H355" s="8" t="s">
        <v>354</v>
      </c>
      <c r="I355" s="8" t="s">
        <v>355</v>
      </c>
      <c r="J355" s="8" t="s">
        <v>423</v>
      </c>
      <c r="L355" t="str">
        <f t="shared" si="11"/>
        <v>.</v>
      </c>
    </row>
    <row r="356" spans="1:13" hidden="1" x14ac:dyDescent="0.45">
      <c r="A356" t="s">
        <v>8</v>
      </c>
      <c r="B356" t="s">
        <v>8</v>
      </c>
      <c r="C356">
        <v>0.2025458215594943</v>
      </c>
      <c r="D356">
        <v>0.8</v>
      </c>
      <c r="E356">
        <v>0.99682732998531542</v>
      </c>
      <c r="G356" t="str">
        <f t="shared" si="10"/>
        <v>.</v>
      </c>
      <c r="H356" s="8" t="s">
        <v>316</v>
      </c>
      <c r="I356" s="8" t="s">
        <v>317</v>
      </c>
      <c r="J356" s="8" t="s">
        <v>427</v>
      </c>
      <c r="L356" t="str">
        <f t="shared" si="11"/>
        <v>.</v>
      </c>
    </row>
    <row r="357" spans="1:13" hidden="1" x14ac:dyDescent="0.45">
      <c r="A357" t="s">
        <v>11</v>
      </c>
      <c r="B357" t="s">
        <v>11</v>
      </c>
      <c r="C357">
        <v>0.20020904170370049</v>
      </c>
      <c r="D357">
        <v>0.8</v>
      </c>
      <c r="E357">
        <v>0.99973869830781348</v>
      </c>
      <c r="G357" t="str">
        <f t="shared" si="10"/>
        <v>.</v>
      </c>
      <c r="H357" s="8" t="s">
        <v>236</v>
      </c>
      <c r="I357" s="8" t="s">
        <v>237</v>
      </c>
      <c r="J357" s="8" t="s">
        <v>422</v>
      </c>
      <c r="L357" t="str">
        <f t="shared" si="11"/>
        <v>.</v>
      </c>
    </row>
    <row r="358" spans="1:13" hidden="1" x14ac:dyDescent="0.45">
      <c r="A358" t="s">
        <v>17</v>
      </c>
      <c r="B358" t="s">
        <v>17</v>
      </c>
      <c r="C358">
        <v>0.20000816720493361</v>
      </c>
      <c r="D358">
        <v>0.8</v>
      </c>
      <c r="E358">
        <v>0.99998979333147131</v>
      </c>
      <c r="G358" t="str">
        <f t="shared" si="10"/>
        <v>.</v>
      </c>
      <c r="H358" s="8" t="s">
        <v>325</v>
      </c>
      <c r="I358" s="8" t="s">
        <v>321</v>
      </c>
      <c r="J358" s="8" t="s">
        <v>429</v>
      </c>
      <c r="L358" t="str">
        <f t="shared" si="11"/>
        <v>.</v>
      </c>
    </row>
    <row r="359" spans="1:13" hidden="1" x14ac:dyDescent="0.45">
      <c r="A359" t="s">
        <v>5</v>
      </c>
      <c r="B359" t="s">
        <v>5</v>
      </c>
      <c r="C359">
        <v>0.20686205593228671</v>
      </c>
      <c r="D359">
        <v>0.8</v>
      </c>
      <c r="E359">
        <v>0.99142243010824804</v>
      </c>
      <c r="G359" t="str">
        <f t="shared" si="10"/>
        <v>.</v>
      </c>
      <c r="H359" s="8" t="s">
        <v>94</v>
      </c>
      <c r="I359" s="8" t="s">
        <v>95</v>
      </c>
      <c r="J359" s="8" t="s">
        <v>416</v>
      </c>
      <c r="L359" t="str">
        <f t="shared" si="11"/>
        <v>.</v>
      </c>
    </row>
    <row r="360" spans="1:13" hidden="1" x14ac:dyDescent="0.45">
      <c r="A360" t="s">
        <v>7</v>
      </c>
      <c r="B360" t="s">
        <v>7</v>
      </c>
      <c r="C360">
        <v>0.20878980116322099</v>
      </c>
      <c r="D360">
        <v>0.8</v>
      </c>
      <c r="E360">
        <v>0.98901275129562083</v>
      </c>
      <c r="G360" t="str">
        <f t="shared" si="10"/>
        <v>.</v>
      </c>
      <c r="H360" s="8" t="s">
        <v>199</v>
      </c>
      <c r="I360" s="8" t="s">
        <v>200</v>
      </c>
      <c r="J360" s="8" t="s">
        <v>418</v>
      </c>
      <c r="L360" t="str">
        <f t="shared" si="11"/>
        <v>.</v>
      </c>
    </row>
    <row r="361" spans="1:13" hidden="1" x14ac:dyDescent="0.45">
      <c r="A361" t="s">
        <v>17</v>
      </c>
      <c r="B361" t="s">
        <v>17</v>
      </c>
      <c r="C361">
        <v>0.22986301963083999</v>
      </c>
      <c r="D361">
        <v>0.8</v>
      </c>
      <c r="E361">
        <v>0.96267122613891776</v>
      </c>
      <c r="G361" t="str">
        <f t="shared" si="10"/>
        <v>.</v>
      </c>
      <c r="H361" s="8" t="s">
        <v>445</v>
      </c>
      <c r="I361" s="8" t="s">
        <v>446</v>
      </c>
      <c r="J361" s="8" t="s">
        <v>429</v>
      </c>
      <c r="L361" t="str">
        <f t="shared" si="11"/>
        <v>.</v>
      </c>
    </row>
    <row r="362" spans="1:13" hidden="1" x14ac:dyDescent="0.45">
      <c r="A362" t="s">
        <v>13</v>
      </c>
      <c r="B362" t="s">
        <v>13</v>
      </c>
      <c r="C362">
        <v>0.31844071800233348</v>
      </c>
      <c r="D362">
        <v>0.8</v>
      </c>
      <c r="E362">
        <v>0.85194910416773717</v>
      </c>
      <c r="G362" t="str">
        <f t="shared" si="10"/>
        <v>.</v>
      </c>
      <c r="H362" s="8" t="s">
        <v>452</v>
      </c>
      <c r="I362" s="8" t="s">
        <v>453</v>
      </c>
      <c r="J362" s="8" t="s">
        <v>420</v>
      </c>
      <c r="L362" t="str">
        <f t="shared" si="11"/>
        <v>.</v>
      </c>
    </row>
    <row r="363" spans="1:13" hidden="1" x14ac:dyDescent="0.45">
      <c r="A363" t="s">
        <v>13</v>
      </c>
      <c r="B363" t="s">
        <v>13</v>
      </c>
      <c r="C363">
        <v>0.34594065275502728</v>
      </c>
      <c r="D363">
        <v>0.8</v>
      </c>
      <c r="E363">
        <v>0.81757418721671737</v>
      </c>
      <c r="G363" t="str">
        <f t="shared" si="10"/>
        <v>.</v>
      </c>
      <c r="H363" s="8" t="s">
        <v>447</v>
      </c>
      <c r="I363" s="8" t="s">
        <v>448</v>
      </c>
      <c r="J363" s="8" t="s">
        <v>420</v>
      </c>
      <c r="L363" t="str">
        <f t="shared" si="11"/>
        <v>.</v>
      </c>
    </row>
    <row r="364" spans="1:13" hidden="1" x14ac:dyDescent="0.45">
      <c r="A364" t="s">
        <v>19</v>
      </c>
      <c r="B364" t="s">
        <v>8</v>
      </c>
      <c r="C364">
        <v>0.93931359341085907</v>
      </c>
      <c r="D364">
        <v>0.8</v>
      </c>
      <c r="E364">
        <v>7.5858008712697766E-2</v>
      </c>
      <c r="G364" t="str">
        <f t="shared" si="10"/>
        <v>W</v>
      </c>
      <c r="H364" s="8" t="s">
        <v>204</v>
      </c>
      <c r="I364" s="8" t="s">
        <v>205</v>
      </c>
      <c r="J364" s="9" t="s">
        <v>432</v>
      </c>
      <c r="L364" t="str">
        <f t="shared" si="11"/>
        <v>.</v>
      </c>
      <c r="M364" s="8" t="s">
        <v>524</v>
      </c>
    </row>
    <row r="365" spans="1:13" hidden="1" x14ac:dyDescent="0.45">
      <c r="A365" t="s">
        <v>11</v>
      </c>
      <c r="B365" t="s">
        <v>11</v>
      </c>
      <c r="C365">
        <v>0.20000816616325109</v>
      </c>
      <c r="D365">
        <v>0.8</v>
      </c>
      <c r="E365">
        <v>0.99998979333147131</v>
      </c>
      <c r="G365" t="str">
        <f t="shared" si="10"/>
        <v>.</v>
      </c>
      <c r="H365" s="8" t="s">
        <v>104</v>
      </c>
      <c r="I365" s="8" t="s">
        <v>105</v>
      </c>
      <c r="J365" s="8" t="s">
        <v>422</v>
      </c>
      <c r="L365" t="str">
        <f t="shared" si="11"/>
        <v>.</v>
      </c>
    </row>
    <row r="366" spans="1:13" hidden="1" x14ac:dyDescent="0.45">
      <c r="A366" t="s">
        <v>13</v>
      </c>
      <c r="B366" t="s">
        <v>13</v>
      </c>
      <c r="C366">
        <v>0.2379422931487597</v>
      </c>
      <c r="D366">
        <v>0.8</v>
      </c>
      <c r="E366">
        <v>0.95257259338022438</v>
      </c>
      <c r="G366" t="str">
        <f t="shared" si="10"/>
        <v>.</v>
      </c>
      <c r="H366" s="8" t="s">
        <v>442</v>
      </c>
      <c r="I366" s="8" t="s">
        <v>443</v>
      </c>
      <c r="J366" s="8" t="s">
        <v>420</v>
      </c>
      <c r="L366" t="str">
        <f t="shared" si="11"/>
        <v>.</v>
      </c>
    </row>
    <row r="367" spans="1:13" hidden="1" x14ac:dyDescent="0.45">
      <c r="A367" t="s">
        <v>5</v>
      </c>
      <c r="B367" t="s">
        <v>5</v>
      </c>
      <c r="C367">
        <v>0.45666115700498311</v>
      </c>
      <c r="D367">
        <v>0.8</v>
      </c>
      <c r="E367">
        <v>0.67917355527194689</v>
      </c>
      <c r="G367" t="str">
        <f t="shared" si="10"/>
        <v>.</v>
      </c>
      <c r="H367" s="8" t="s">
        <v>333</v>
      </c>
      <c r="I367" s="8" t="s">
        <v>334</v>
      </c>
      <c r="J367" s="8" t="s">
        <v>435</v>
      </c>
      <c r="L367" t="str">
        <f t="shared" si="11"/>
        <v>.</v>
      </c>
    </row>
    <row r="368" spans="1:13" hidden="1" x14ac:dyDescent="0.45">
      <c r="A368" t="s">
        <v>5</v>
      </c>
      <c r="B368" t="s">
        <v>5</v>
      </c>
      <c r="C368">
        <v>0.22986257531451179</v>
      </c>
      <c r="D368">
        <v>0.8</v>
      </c>
      <c r="E368">
        <v>0.96267178200469405</v>
      </c>
      <c r="G368" t="str">
        <f t="shared" si="10"/>
        <v>.</v>
      </c>
      <c r="H368" s="8" t="s">
        <v>247</v>
      </c>
      <c r="I368" s="8" t="s">
        <v>248</v>
      </c>
      <c r="J368" s="8" t="s">
        <v>416</v>
      </c>
      <c r="L368" t="str">
        <f t="shared" si="11"/>
        <v>.</v>
      </c>
    </row>
    <row r="369" spans="1:13" hidden="1" x14ac:dyDescent="0.45">
      <c r="A369" t="s">
        <v>10</v>
      </c>
      <c r="B369" t="s">
        <v>10</v>
      </c>
      <c r="C369">
        <v>0.93931357602194165</v>
      </c>
      <c r="D369">
        <v>0.8</v>
      </c>
      <c r="E369">
        <v>7.5858135314513964E-2</v>
      </c>
      <c r="G369" t="str">
        <f t="shared" si="10"/>
        <v>.</v>
      </c>
      <c r="H369" s="8" t="s">
        <v>115</v>
      </c>
      <c r="I369" s="8" t="s">
        <v>116</v>
      </c>
      <c r="J369" s="8" t="s">
        <v>421</v>
      </c>
      <c r="L369" t="str">
        <f t="shared" si="11"/>
        <v>.</v>
      </c>
    </row>
    <row r="370" spans="1:13" hidden="1" x14ac:dyDescent="0.45">
      <c r="A370" t="s">
        <v>7</v>
      </c>
      <c r="B370" t="s">
        <v>7</v>
      </c>
      <c r="C370">
        <v>0.2000104543122547</v>
      </c>
      <c r="D370">
        <v>0.8</v>
      </c>
      <c r="E370">
        <v>0.99998693247732917</v>
      </c>
      <c r="G370" t="str">
        <f t="shared" si="10"/>
        <v>.</v>
      </c>
      <c r="H370" s="8" t="s">
        <v>463</v>
      </c>
      <c r="I370" s="8" t="s">
        <v>464</v>
      </c>
      <c r="J370" s="8" t="s">
        <v>436</v>
      </c>
      <c r="L370" t="str">
        <f t="shared" si="11"/>
        <v>.</v>
      </c>
    </row>
    <row r="371" spans="1:13" hidden="1" x14ac:dyDescent="0.45">
      <c r="A371" t="s">
        <v>23</v>
      </c>
      <c r="B371" t="s">
        <v>23</v>
      </c>
      <c r="C371">
        <v>0.20026832855266141</v>
      </c>
      <c r="D371">
        <v>0.8</v>
      </c>
      <c r="E371">
        <v>0.99966459043674005</v>
      </c>
      <c r="G371" t="str">
        <f t="shared" si="10"/>
        <v>.</v>
      </c>
      <c r="H371" s="8" t="s">
        <v>483</v>
      </c>
      <c r="I371" s="8" t="s">
        <v>484</v>
      </c>
      <c r="J371" s="8" t="s">
        <v>438</v>
      </c>
      <c r="L371" t="str">
        <f t="shared" si="11"/>
        <v>.</v>
      </c>
    </row>
    <row r="372" spans="1:13" hidden="1" x14ac:dyDescent="0.45">
      <c r="A372" t="s">
        <v>5</v>
      </c>
      <c r="B372" t="s">
        <v>5</v>
      </c>
      <c r="C372">
        <v>0.24806956382222561</v>
      </c>
      <c r="D372">
        <v>0.8</v>
      </c>
      <c r="E372">
        <v>0.93991304523943053</v>
      </c>
      <c r="G372" t="str">
        <f t="shared" si="10"/>
        <v>.</v>
      </c>
      <c r="H372" s="8" t="s">
        <v>269</v>
      </c>
      <c r="I372" s="8" t="s">
        <v>270</v>
      </c>
      <c r="J372" s="8" t="s">
        <v>416</v>
      </c>
      <c r="L372" t="str">
        <f t="shared" si="11"/>
        <v>.</v>
      </c>
    </row>
    <row r="373" spans="1:13" hidden="1" x14ac:dyDescent="0.45">
      <c r="A373" t="s">
        <v>15</v>
      </c>
      <c r="B373" t="s">
        <v>15</v>
      </c>
      <c r="C373">
        <v>0.20253813673249621</v>
      </c>
      <c r="D373">
        <v>0.8</v>
      </c>
      <c r="E373">
        <v>0.99682732998531542</v>
      </c>
      <c r="G373" t="str">
        <f t="shared" si="10"/>
        <v>.</v>
      </c>
      <c r="H373" s="8" t="s">
        <v>275</v>
      </c>
      <c r="I373" s="8" t="s">
        <v>276</v>
      </c>
      <c r="J373" s="8" t="s">
        <v>426</v>
      </c>
      <c r="L373" t="str">
        <f t="shared" si="11"/>
        <v>.</v>
      </c>
    </row>
    <row r="374" spans="1:13" hidden="1" x14ac:dyDescent="0.45">
      <c r="A374" t="s">
        <v>13</v>
      </c>
      <c r="B374" t="s">
        <v>13</v>
      </c>
      <c r="C374">
        <v>0.23794110919611949</v>
      </c>
      <c r="D374">
        <v>0.8</v>
      </c>
      <c r="E374">
        <v>0.95257410863766068</v>
      </c>
      <c r="G374" t="str">
        <f t="shared" si="10"/>
        <v>.</v>
      </c>
      <c r="H374" s="8" t="s">
        <v>460</v>
      </c>
      <c r="I374" s="8" t="s">
        <v>461</v>
      </c>
      <c r="J374" s="8" t="s">
        <v>420</v>
      </c>
      <c r="L374" t="str">
        <f t="shared" si="11"/>
        <v>.</v>
      </c>
    </row>
    <row r="375" spans="1:13" hidden="1" x14ac:dyDescent="0.45">
      <c r="A375" t="s">
        <v>17</v>
      </c>
      <c r="B375" t="s">
        <v>17</v>
      </c>
      <c r="C375">
        <v>0.20004669065089609</v>
      </c>
      <c r="D375">
        <v>0.8</v>
      </c>
      <c r="E375">
        <v>0.99994163670334457</v>
      </c>
      <c r="G375" t="str">
        <f t="shared" si="10"/>
        <v>.</v>
      </c>
      <c r="H375" s="8" t="s">
        <v>286</v>
      </c>
      <c r="I375" s="8" t="s">
        <v>287</v>
      </c>
      <c r="J375" s="8" t="s">
        <v>429</v>
      </c>
      <c r="L375" t="str">
        <f t="shared" si="11"/>
        <v>.</v>
      </c>
    </row>
    <row r="376" spans="1:13" hidden="1" x14ac:dyDescent="0.45">
      <c r="A376" t="s">
        <v>12</v>
      </c>
      <c r="B376" t="s">
        <v>12</v>
      </c>
      <c r="C376">
        <v>0.20034446126352251</v>
      </c>
      <c r="D376">
        <v>0.8</v>
      </c>
      <c r="E376">
        <v>0.99956942349659961</v>
      </c>
      <c r="G376" t="str">
        <f t="shared" si="10"/>
        <v>.</v>
      </c>
      <c r="H376" s="8" t="s">
        <v>469</v>
      </c>
      <c r="I376" s="8" t="s">
        <v>99</v>
      </c>
      <c r="J376" s="8" t="s">
        <v>424</v>
      </c>
      <c r="L376" t="str">
        <f t="shared" si="11"/>
        <v>.</v>
      </c>
    </row>
    <row r="377" spans="1:13" hidden="1" x14ac:dyDescent="0.45">
      <c r="A377" t="s">
        <v>25</v>
      </c>
      <c r="B377" t="s">
        <v>25</v>
      </c>
      <c r="C377">
        <v>0.20253814881317869</v>
      </c>
      <c r="D377">
        <v>0.8</v>
      </c>
      <c r="E377">
        <v>0.99682732998531542</v>
      </c>
      <c r="G377" t="str">
        <f t="shared" si="10"/>
        <v>.</v>
      </c>
      <c r="H377" s="8" t="s">
        <v>485</v>
      </c>
      <c r="I377" s="8" t="s">
        <v>486</v>
      </c>
      <c r="J377" s="8" t="s">
        <v>498</v>
      </c>
      <c r="L377" t="str">
        <f t="shared" si="11"/>
        <v>.</v>
      </c>
    </row>
    <row r="378" spans="1:13" hidden="1" x14ac:dyDescent="0.45">
      <c r="A378" t="s">
        <v>15</v>
      </c>
      <c r="B378" t="s">
        <v>15</v>
      </c>
      <c r="C378">
        <v>0.2009357739764267</v>
      </c>
      <c r="D378">
        <v>0.8</v>
      </c>
      <c r="E378">
        <v>0.99883045900532441</v>
      </c>
      <c r="G378" t="str">
        <f t="shared" si="10"/>
        <v>.</v>
      </c>
      <c r="H378" s="8" t="s">
        <v>379</v>
      </c>
      <c r="I378" s="8" t="s">
        <v>380</v>
      </c>
      <c r="J378" s="8" t="s">
        <v>426</v>
      </c>
      <c r="L378" t="str">
        <f t="shared" si="11"/>
        <v>.</v>
      </c>
    </row>
    <row r="379" spans="1:13" hidden="1" x14ac:dyDescent="0.45">
      <c r="A379" t="s">
        <v>16</v>
      </c>
      <c r="B379" t="s">
        <v>16</v>
      </c>
      <c r="C379">
        <v>0.2000366249215719</v>
      </c>
      <c r="D379">
        <v>0.8</v>
      </c>
      <c r="E379">
        <v>0.99995451003057012</v>
      </c>
      <c r="G379" t="str">
        <f t="shared" si="10"/>
        <v>.</v>
      </c>
      <c r="H379" s="8" t="s">
        <v>172</v>
      </c>
      <c r="I379" s="8" t="s">
        <v>173</v>
      </c>
      <c r="J379" s="8" t="s">
        <v>428</v>
      </c>
      <c r="L379" t="str">
        <f t="shared" si="11"/>
        <v>.</v>
      </c>
    </row>
    <row r="380" spans="1:13" hidden="1" x14ac:dyDescent="0.45">
      <c r="A380" t="s">
        <v>5</v>
      </c>
      <c r="B380" t="s">
        <v>5</v>
      </c>
      <c r="C380">
        <v>0.26068674287521598</v>
      </c>
      <c r="D380">
        <v>0.8</v>
      </c>
      <c r="E380">
        <v>0.92414157141107012</v>
      </c>
      <c r="G380" t="str">
        <f t="shared" si="10"/>
        <v>.</v>
      </c>
      <c r="H380" s="8" t="s">
        <v>213</v>
      </c>
      <c r="I380" s="8" t="s">
        <v>214</v>
      </c>
      <c r="J380" s="8" t="s">
        <v>416</v>
      </c>
      <c r="L380" t="str">
        <f t="shared" si="11"/>
        <v>.</v>
      </c>
    </row>
    <row r="381" spans="1:13" hidden="1" x14ac:dyDescent="0.45">
      <c r="A381" t="s">
        <v>20</v>
      </c>
      <c r="B381" t="s">
        <v>20</v>
      </c>
      <c r="C381">
        <v>0.20121962647371211</v>
      </c>
      <c r="D381">
        <v>0.8</v>
      </c>
      <c r="E381">
        <v>0.99973869830781348</v>
      </c>
      <c r="G381" t="str">
        <f t="shared" si="10"/>
        <v>.</v>
      </c>
      <c r="H381" s="8" t="s">
        <v>206</v>
      </c>
      <c r="I381" s="8" t="s">
        <v>207</v>
      </c>
      <c r="J381" s="8" t="s">
        <v>433</v>
      </c>
      <c r="L381" t="str">
        <f t="shared" si="11"/>
        <v>.</v>
      </c>
    </row>
    <row r="382" spans="1:13" hidden="1" x14ac:dyDescent="0.45">
      <c r="A382" t="s">
        <v>7</v>
      </c>
      <c r="B382" t="s">
        <v>7</v>
      </c>
      <c r="C382">
        <v>0.20120099514205941</v>
      </c>
      <c r="D382">
        <v>0.8</v>
      </c>
      <c r="E382">
        <v>0.99849876799337189</v>
      </c>
      <c r="G382" t="str">
        <f t="shared" si="10"/>
        <v>.</v>
      </c>
      <c r="H382" s="8" t="s">
        <v>187</v>
      </c>
      <c r="I382" s="8" t="s">
        <v>99</v>
      </c>
      <c r="J382" s="8" t="s">
        <v>431</v>
      </c>
      <c r="L382" t="str">
        <f t="shared" si="11"/>
        <v>.</v>
      </c>
    </row>
    <row r="383" spans="1:13" hidden="1" x14ac:dyDescent="0.45">
      <c r="A383" t="s">
        <v>19</v>
      </c>
      <c r="B383" t="s">
        <v>18</v>
      </c>
      <c r="C383">
        <v>1</v>
      </c>
      <c r="D383">
        <v>0.8</v>
      </c>
      <c r="E383">
        <v>2.2977367413042831E-2</v>
      </c>
      <c r="G383" t="str">
        <f t="shared" si="10"/>
        <v>W</v>
      </c>
      <c r="H383" s="8" t="s">
        <v>487</v>
      </c>
      <c r="I383" s="8" t="s">
        <v>488</v>
      </c>
      <c r="J383" s="8" t="s">
        <v>430</v>
      </c>
      <c r="K383" s="8" t="s">
        <v>513</v>
      </c>
      <c r="L383" s="13" t="str">
        <f t="shared" si="11"/>
        <v>NonID</v>
      </c>
      <c r="M383" s="8" t="s">
        <v>513</v>
      </c>
    </row>
    <row r="384" spans="1:13" hidden="1" x14ac:dyDescent="0.45">
      <c r="A384" t="s">
        <v>15</v>
      </c>
      <c r="B384" t="s">
        <v>15</v>
      </c>
      <c r="C384">
        <v>0.20154142132105771</v>
      </c>
      <c r="D384">
        <v>0.8</v>
      </c>
      <c r="E384">
        <v>0.99807322600355197</v>
      </c>
      <c r="G384" t="str">
        <f t="shared" si="10"/>
        <v>.</v>
      </c>
      <c r="H384" s="8" t="s">
        <v>138</v>
      </c>
      <c r="I384" s="8" t="s">
        <v>139</v>
      </c>
      <c r="J384" s="8" t="s">
        <v>426</v>
      </c>
      <c r="L384" t="str">
        <f t="shared" si="11"/>
        <v>.</v>
      </c>
    </row>
    <row r="385" spans="1:12" hidden="1" x14ac:dyDescent="0.45">
      <c r="A385" t="s">
        <v>25</v>
      </c>
      <c r="B385" t="s">
        <v>25</v>
      </c>
      <c r="C385">
        <v>0.2015414232253103</v>
      </c>
      <c r="D385">
        <v>0.8</v>
      </c>
      <c r="E385">
        <v>0.99807322600355197</v>
      </c>
      <c r="G385" t="str">
        <f t="shared" si="10"/>
        <v>.</v>
      </c>
      <c r="H385" s="8" t="s">
        <v>489</v>
      </c>
      <c r="I385" s="8" t="s">
        <v>490</v>
      </c>
      <c r="J385" s="8" t="s">
        <v>498</v>
      </c>
      <c r="L385" t="str">
        <f t="shared" si="11"/>
        <v>.</v>
      </c>
    </row>
    <row r="386" spans="1:12" hidden="1" x14ac:dyDescent="0.45">
      <c r="A386" t="s">
        <v>5</v>
      </c>
      <c r="B386" t="s">
        <v>5</v>
      </c>
      <c r="C386">
        <v>0.2379416671136266</v>
      </c>
      <c r="D386">
        <v>0.8</v>
      </c>
      <c r="E386">
        <v>0.95257291630373819</v>
      </c>
      <c r="G386" t="str">
        <f t="shared" si="10"/>
        <v>.</v>
      </c>
      <c r="H386" s="8" t="s">
        <v>491</v>
      </c>
      <c r="I386" s="8" t="s">
        <v>492</v>
      </c>
      <c r="J386" s="8" t="s">
        <v>423</v>
      </c>
      <c r="L386" t="str">
        <f t="shared" si="11"/>
        <v>.</v>
      </c>
    </row>
    <row r="387" spans="1:12" hidden="1" x14ac:dyDescent="0.45">
      <c r="A387" t="s">
        <v>13</v>
      </c>
      <c r="B387" t="s">
        <v>13</v>
      </c>
      <c r="C387">
        <v>0.20686217402818169</v>
      </c>
      <c r="D387">
        <v>0.8</v>
      </c>
      <c r="E387">
        <v>0.99142243010824804</v>
      </c>
      <c r="G387" t="str">
        <f t="shared" ref="G387:G408" si="12">IF(A387=B387,".","W")</f>
        <v>.</v>
      </c>
      <c r="H387" s="8" t="s">
        <v>357</v>
      </c>
      <c r="I387" s="8" t="s">
        <v>358</v>
      </c>
      <c r="J387" s="8" t="s">
        <v>420</v>
      </c>
      <c r="L387" t="str">
        <f t="shared" ref="L387:L408" si="13">IF(C387&lt;=$L$1,".","NonID")</f>
        <v>.</v>
      </c>
    </row>
    <row r="388" spans="1:12" hidden="1" x14ac:dyDescent="0.45">
      <c r="A388" t="s">
        <v>8</v>
      </c>
      <c r="B388" t="s">
        <v>8</v>
      </c>
      <c r="C388">
        <v>0.2005680403376747</v>
      </c>
      <c r="D388">
        <v>0.8</v>
      </c>
      <c r="E388">
        <v>0.99929032330932133</v>
      </c>
      <c r="G388" t="str">
        <f t="shared" si="12"/>
        <v>.</v>
      </c>
      <c r="H388" s="8" t="s">
        <v>65</v>
      </c>
      <c r="I388" s="8" t="s">
        <v>395</v>
      </c>
      <c r="J388" s="8" t="s">
        <v>427</v>
      </c>
      <c r="L388" t="str">
        <f t="shared" si="13"/>
        <v>.</v>
      </c>
    </row>
    <row r="389" spans="1:12" hidden="1" x14ac:dyDescent="0.45">
      <c r="A389" t="s">
        <v>13</v>
      </c>
      <c r="B389" t="s">
        <v>13</v>
      </c>
      <c r="C389">
        <v>0.25064065413579989</v>
      </c>
      <c r="D389">
        <v>0.8</v>
      </c>
      <c r="E389">
        <v>0.95257259338022438</v>
      </c>
      <c r="G389" t="str">
        <f t="shared" si="12"/>
        <v>.</v>
      </c>
      <c r="H389" s="8" t="s">
        <v>414</v>
      </c>
      <c r="I389" s="8" t="s">
        <v>99</v>
      </c>
      <c r="J389" s="8" t="s">
        <v>420</v>
      </c>
      <c r="L389" t="str">
        <f t="shared" si="13"/>
        <v>.</v>
      </c>
    </row>
    <row r="390" spans="1:12" hidden="1" x14ac:dyDescent="0.45">
      <c r="A390" t="s">
        <v>13</v>
      </c>
      <c r="B390" t="s">
        <v>13</v>
      </c>
      <c r="C390">
        <v>0.5019962735743031</v>
      </c>
      <c r="D390">
        <v>0.8</v>
      </c>
      <c r="E390">
        <v>0.98593632069119785</v>
      </c>
      <c r="G390" t="str">
        <f t="shared" si="12"/>
        <v>.</v>
      </c>
      <c r="H390" s="8" t="s">
        <v>359</v>
      </c>
      <c r="I390" s="8" t="s">
        <v>99</v>
      </c>
      <c r="J390" s="8" t="s">
        <v>420</v>
      </c>
      <c r="L390" t="str">
        <f t="shared" si="13"/>
        <v>.</v>
      </c>
    </row>
    <row r="391" spans="1:12" hidden="1" x14ac:dyDescent="0.45">
      <c r="A391" t="s">
        <v>7</v>
      </c>
      <c r="B391" t="s">
        <v>7</v>
      </c>
      <c r="C391">
        <v>0.74334325906020893</v>
      </c>
      <c r="D391">
        <v>0.8</v>
      </c>
      <c r="E391">
        <v>0.3208209266699501</v>
      </c>
      <c r="G391" t="str">
        <f t="shared" si="12"/>
        <v>.</v>
      </c>
      <c r="H391" s="8" t="s">
        <v>462</v>
      </c>
      <c r="I391" s="8" t="s">
        <v>99</v>
      </c>
      <c r="J391" s="8" t="s">
        <v>418</v>
      </c>
      <c r="L391" t="str">
        <f t="shared" si="13"/>
        <v>.</v>
      </c>
    </row>
    <row r="392" spans="1:12" hidden="1" x14ac:dyDescent="0.45">
      <c r="A392" t="s">
        <v>25</v>
      </c>
      <c r="B392" t="s">
        <v>25</v>
      </c>
      <c r="C392">
        <v>0.20197820611442691</v>
      </c>
      <c r="D392">
        <v>0.8</v>
      </c>
      <c r="E392">
        <v>0.99752728456888673</v>
      </c>
      <c r="G392" t="str">
        <f t="shared" si="12"/>
        <v>.</v>
      </c>
      <c r="H392" s="8" t="s">
        <v>493</v>
      </c>
      <c r="I392" s="8" t="s">
        <v>494</v>
      </c>
      <c r="J392" s="8" t="s">
        <v>498</v>
      </c>
      <c r="L392" t="str">
        <f t="shared" si="13"/>
        <v>.</v>
      </c>
    </row>
    <row r="393" spans="1:12" hidden="1" x14ac:dyDescent="0.45">
      <c r="A393" t="s">
        <v>23</v>
      </c>
      <c r="B393" t="s">
        <v>23</v>
      </c>
      <c r="C393">
        <v>0.20154141933407721</v>
      </c>
      <c r="D393">
        <v>0.8</v>
      </c>
      <c r="E393">
        <v>0.99807322600355197</v>
      </c>
      <c r="G393" t="str">
        <f t="shared" si="12"/>
        <v>.</v>
      </c>
      <c r="H393" s="8" t="s">
        <v>400</v>
      </c>
      <c r="I393" s="8" t="s">
        <v>401</v>
      </c>
      <c r="J393" s="8" t="s">
        <v>438</v>
      </c>
      <c r="L393" t="str">
        <f t="shared" si="13"/>
        <v>.</v>
      </c>
    </row>
    <row r="394" spans="1:12" hidden="1" x14ac:dyDescent="0.45">
      <c r="A394" t="s">
        <v>13</v>
      </c>
      <c r="B394" t="s">
        <v>13</v>
      </c>
      <c r="C394">
        <v>0.2480705751993707</v>
      </c>
      <c r="D394">
        <v>0.8</v>
      </c>
      <c r="E394">
        <v>0.93991304523943053</v>
      </c>
      <c r="G394" t="str">
        <f t="shared" si="12"/>
        <v>.</v>
      </c>
      <c r="H394" s="8" t="s">
        <v>456</v>
      </c>
      <c r="I394" s="8" t="s">
        <v>457</v>
      </c>
      <c r="J394" s="8" t="s">
        <v>420</v>
      </c>
      <c r="L394" t="str">
        <f t="shared" si="13"/>
        <v>.</v>
      </c>
    </row>
    <row r="395" spans="1:12" hidden="1" x14ac:dyDescent="0.45">
      <c r="A395" t="s">
        <v>8</v>
      </c>
      <c r="B395" t="s">
        <v>8</v>
      </c>
      <c r="C395">
        <v>0.20120099232951699</v>
      </c>
      <c r="D395">
        <v>0.8</v>
      </c>
      <c r="E395">
        <v>0.99849876799337189</v>
      </c>
      <c r="G395" t="str">
        <f t="shared" si="12"/>
        <v>.</v>
      </c>
      <c r="H395" s="8" t="s">
        <v>211</v>
      </c>
      <c r="I395" s="8" t="s">
        <v>212</v>
      </c>
      <c r="J395" s="8" t="s">
        <v>427</v>
      </c>
      <c r="L395" t="str">
        <f t="shared" si="13"/>
        <v>.</v>
      </c>
    </row>
    <row r="396" spans="1:12" hidden="1" x14ac:dyDescent="0.45">
      <c r="A396" t="s">
        <v>19</v>
      </c>
      <c r="B396" t="s">
        <v>18</v>
      </c>
      <c r="C396">
        <v>1</v>
      </c>
      <c r="D396">
        <v>0.8</v>
      </c>
      <c r="E396">
        <v>1.169510307496603E-3</v>
      </c>
      <c r="G396" t="str">
        <f t="shared" si="12"/>
        <v>W</v>
      </c>
      <c r="H396" s="8" t="s">
        <v>495</v>
      </c>
      <c r="I396" s="8" t="s">
        <v>496</v>
      </c>
      <c r="J396" s="8" t="s">
        <v>497</v>
      </c>
      <c r="L396" t="str">
        <f>IF(C396&lt;=$L$1,".","NonID")</f>
        <v>NonID</v>
      </c>
    </row>
    <row r="397" spans="1:12" hidden="1" x14ac:dyDescent="0.45">
      <c r="A397" t="s">
        <v>14</v>
      </c>
      <c r="B397" t="s">
        <v>14</v>
      </c>
      <c r="C397">
        <v>0.20197809423062679</v>
      </c>
      <c r="D397">
        <v>0.8</v>
      </c>
      <c r="E397">
        <v>0.99752740325115785</v>
      </c>
      <c r="G397" t="str">
        <f t="shared" si="12"/>
        <v>.</v>
      </c>
      <c r="H397" s="8" t="s">
        <v>410</v>
      </c>
      <c r="I397" s="8" t="s">
        <v>411</v>
      </c>
      <c r="J397" s="8" t="s">
        <v>425</v>
      </c>
      <c r="L397" t="str">
        <f t="shared" si="13"/>
        <v>.</v>
      </c>
    </row>
    <row r="398" spans="1:12" hidden="1" x14ac:dyDescent="0.45">
      <c r="A398" t="s">
        <v>12</v>
      </c>
      <c r="B398" t="s">
        <v>12</v>
      </c>
      <c r="C398">
        <v>0.20004669070624781</v>
      </c>
      <c r="D398">
        <v>0.8</v>
      </c>
      <c r="E398">
        <v>0.99994163670334457</v>
      </c>
      <c r="G398" t="str">
        <f t="shared" si="12"/>
        <v>.</v>
      </c>
      <c r="H398" s="8" t="s">
        <v>165</v>
      </c>
      <c r="I398" s="8" t="s">
        <v>166</v>
      </c>
      <c r="J398" s="8" t="s">
        <v>424</v>
      </c>
      <c r="L398" t="str">
        <f t="shared" si="13"/>
        <v>.</v>
      </c>
    </row>
    <row r="399" spans="1:12" hidden="1" x14ac:dyDescent="0.45">
      <c r="A399" t="s">
        <v>15</v>
      </c>
      <c r="B399" t="s">
        <v>15</v>
      </c>
      <c r="C399">
        <v>0.21838263451714371</v>
      </c>
      <c r="D399">
        <v>0.8</v>
      </c>
      <c r="E399">
        <v>0.97702170862477833</v>
      </c>
      <c r="G399" t="str">
        <f t="shared" si="12"/>
        <v>.</v>
      </c>
      <c r="H399" s="8" t="s">
        <v>197</v>
      </c>
      <c r="I399" s="8" t="s">
        <v>198</v>
      </c>
      <c r="J399" s="8" t="s">
        <v>426</v>
      </c>
      <c r="L399" t="str">
        <f t="shared" si="13"/>
        <v>.</v>
      </c>
    </row>
    <row r="400" spans="1:12" hidden="1" x14ac:dyDescent="0.45">
      <c r="A400" t="s">
        <v>13</v>
      </c>
      <c r="B400" t="s">
        <v>13</v>
      </c>
      <c r="C400">
        <v>0.5020328864083401</v>
      </c>
      <c r="D400">
        <v>0.8</v>
      </c>
      <c r="E400">
        <v>0.62245899596118281</v>
      </c>
      <c r="G400" t="str">
        <f t="shared" si="12"/>
        <v>.</v>
      </c>
      <c r="H400" s="8" t="s">
        <v>465</v>
      </c>
      <c r="I400" s="8" t="s">
        <v>466</v>
      </c>
      <c r="J400" s="8" t="s">
        <v>420</v>
      </c>
      <c r="L400" t="str">
        <f t="shared" si="13"/>
        <v>.</v>
      </c>
    </row>
    <row r="401" spans="1:13" hidden="1" x14ac:dyDescent="0.45">
      <c r="A401" t="s">
        <v>5</v>
      </c>
      <c r="B401" t="s">
        <v>5</v>
      </c>
      <c r="C401">
        <v>0.2053544883167667</v>
      </c>
      <c r="D401">
        <v>0.8</v>
      </c>
      <c r="E401">
        <v>0.9933068896210222</v>
      </c>
      <c r="G401" t="str">
        <f t="shared" si="12"/>
        <v>.</v>
      </c>
      <c r="H401" s="8" t="s">
        <v>323</v>
      </c>
      <c r="I401" s="8" t="s">
        <v>324</v>
      </c>
      <c r="J401" s="8" t="s">
        <v>416</v>
      </c>
      <c r="L401" t="str">
        <f t="shared" si="13"/>
        <v>.</v>
      </c>
    </row>
    <row r="402" spans="1:13" hidden="1" x14ac:dyDescent="0.45">
      <c r="A402" t="s">
        <v>13</v>
      </c>
      <c r="B402" t="s">
        <v>13</v>
      </c>
      <c r="C402">
        <v>0.20879555967215929</v>
      </c>
      <c r="D402">
        <v>0.8</v>
      </c>
      <c r="E402">
        <v>0.98901298801575388</v>
      </c>
      <c r="G402" t="str">
        <f t="shared" si="12"/>
        <v>.</v>
      </c>
      <c r="H402" s="8" t="s">
        <v>127</v>
      </c>
      <c r="I402" s="8" t="s">
        <v>128</v>
      </c>
      <c r="J402" s="8" t="s">
        <v>420</v>
      </c>
      <c r="L402" t="str">
        <f t="shared" si="13"/>
        <v>.</v>
      </c>
    </row>
    <row r="403" spans="1:13" hidden="1" x14ac:dyDescent="0.45">
      <c r="A403" t="s">
        <v>13</v>
      </c>
      <c r="B403" t="s">
        <v>13</v>
      </c>
      <c r="C403">
        <v>0.24562517747036369</v>
      </c>
      <c r="D403">
        <v>0.8</v>
      </c>
      <c r="E403">
        <v>0.97702216176622525</v>
      </c>
      <c r="G403" t="str">
        <f t="shared" si="12"/>
        <v>.</v>
      </c>
      <c r="H403" s="8" t="s">
        <v>441</v>
      </c>
      <c r="I403" s="8" t="s">
        <v>99</v>
      </c>
      <c r="J403" s="8" t="s">
        <v>420</v>
      </c>
      <c r="L403" t="str">
        <f t="shared" si="13"/>
        <v>.</v>
      </c>
    </row>
    <row r="404" spans="1:13" hidden="1" x14ac:dyDescent="0.45">
      <c r="A404" t="s">
        <v>24</v>
      </c>
      <c r="B404" t="s">
        <v>24</v>
      </c>
      <c r="C404">
        <v>0.78541570292436758</v>
      </c>
      <c r="D404">
        <v>0.8</v>
      </c>
      <c r="E404">
        <v>0.97068725068359007</v>
      </c>
      <c r="G404" t="str">
        <f t="shared" si="12"/>
        <v>.</v>
      </c>
      <c r="H404" s="8" t="s">
        <v>129</v>
      </c>
      <c r="I404" s="8" t="s">
        <v>130</v>
      </c>
      <c r="J404" s="8" t="s">
        <v>426</v>
      </c>
      <c r="K404" s="8" t="s">
        <v>515</v>
      </c>
      <c r="L404" t="str">
        <f t="shared" si="13"/>
        <v>.</v>
      </c>
    </row>
    <row r="405" spans="1:13" hidden="1" x14ac:dyDescent="0.45">
      <c r="A405" t="s">
        <v>21</v>
      </c>
      <c r="B405" t="s">
        <v>21</v>
      </c>
      <c r="C405">
        <v>0.20093563284305821</v>
      </c>
      <c r="D405">
        <v>0.8</v>
      </c>
      <c r="E405">
        <v>0.99883045900532441</v>
      </c>
      <c r="G405" t="str">
        <f t="shared" si="12"/>
        <v>.</v>
      </c>
      <c r="H405" s="8" t="s">
        <v>217</v>
      </c>
      <c r="I405" s="8" t="s">
        <v>218</v>
      </c>
      <c r="J405" s="8" t="s">
        <v>434</v>
      </c>
      <c r="L405" t="str">
        <f t="shared" si="13"/>
        <v>.</v>
      </c>
    </row>
    <row r="406" spans="1:13" hidden="1" x14ac:dyDescent="0.45">
      <c r="A406" t="s">
        <v>15</v>
      </c>
      <c r="B406" t="s">
        <v>15</v>
      </c>
      <c r="C406">
        <v>0.20197807884077451</v>
      </c>
      <c r="D406">
        <v>0.8</v>
      </c>
      <c r="E406">
        <v>0.99752740325115785</v>
      </c>
      <c r="G406" t="str">
        <f t="shared" si="12"/>
        <v>.</v>
      </c>
      <c r="H406" s="8" t="s">
        <v>201</v>
      </c>
      <c r="I406" s="8" t="s">
        <v>202</v>
      </c>
      <c r="J406" s="8" t="s">
        <v>426</v>
      </c>
      <c r="L406" t="str">
        <f>IF(C406&lt;=$L$1,".","NonID")</f>
        <v>.</v>
      </c>
    </row>
    <row r="407" spans="1:13" hidden="1" x14ac:dyDescent="0.45">
      <c r="A407" t="s">
        <v>19</v>
      </c>
      <c r="B407" t="s">
        <v>8</v>
      </c>
      <c r="C407">
        <v>0.20253814541485449</v>
      </c>
      <c r="D407">
        <v>0.8</v>
      </c>
      <c r="E407">
        <v>0.99682732998531542</v>
      </c>
      <c r="G407" t="str">
        <f t="shared" si="12"/>
        <v>W</v>
      </c>
      <c r="H407" s="8" t="s">
        <v>444</v>
      </c>
      <c r="I407" s="8" t="s">
        <v>99</v>
      </c>
      <c r="J407" s="8" t="s">
        <v>432</v>
      </c>
      <c r="L407" s="13" t="str">
        <f t="shared" si="13"/>
        <v>.</v>
      </c>
      <c r="M407" s="8" t="s">
        <v>514</v>
      </c>
    </row>
    <row r="408" spans="1:13" hidden="1" x14ac:dyDescent="0.45">
      <c r="A408" t="s">
        <v>8</v>
      </c>
      <c r="B408" t="s">
        <v>8</v>
      </c>
      <c r="C408">
        <v>0.20093563650915641</v>
      </c>
      <c r="D408">
        <v>0.8</v>
      </c>
      <c r="E408">
        <v>0.99883045900532441</v>
      </c>
      <c r="G408" t="str">
        <f t="shared" si="12"/>
        <v>.</v>
      </c>
      <c r="H408" s="8" t="s">
        <v>191</v>
      </c>
      <c r="I408" s="8" t="s">
        <v>192</v>
      </c>
      <c r="J408" s="8" t="s">
        <v>427</v>
      </c>
      <c r="L408" t="str">
        <f t="shared" si="13"/>
        <v>.</v>
      </c>
    </row>
  </sheetData>
  <autoFilter ref="A1:M408" xr:uid="{00000000-0001-0000-0000-000000000000}">
    <filterColumn colId="0">
      <filters>
        <filter val="AccelerationQuantity"/>
        <filter val="ConcentrationQuantity"/>
        <filter val="DimensionlessQuantity"/>
        <filter val="ElectricResistivityQuantity"/>
        <filter val="ForceQuantity"/>
        <filter val="FrequencyQuantity"/>
        <filter val="LengthQuantity"/>
        <filter val="MassDensityQuantity"/>
        <filter val="PlaneAngleQuantity"/>
        <filter val="PressureQuantity"/>
        <filter val="ProportionQuantity"/>
        <filter val="TemperatureQuantity"/>
        <filter val="TensionQuantity"/>
        <filter val="TimeQuantity"/>
        <filter val="TorqueQuantity"/>
        <filter val="VelocityQuantity"/>
        <filter val="VolumeQuantity"/>
        <filter val="VolumetricFlowRateQuantity"/>
      </filters>
    </filterColumn>
    <filterColumn colId="6">
      <filters>
        <filter val="W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M408"/>
  <sheetViews>
    <sheetView workbookViewId="0">
      <selection activeCell="G14" sqref="G14:G404"/>
    </sheetView>
  </sheetViews>
  <sheetFormatPr defaultRowHeight="14.25" x14ac:dyDescent="0.45"/>
  <cols>
    <col min="1" max="1" width="33.59765625" bestFit="1" customWidth="1"/>
    <col min="2" max="2" width="20.9296875" bestFit="1" customWidth="1"/>
    <col min="7" max="7" width="2.46484375" bestFit="1" customWidth="1"/>
    <col min="8" max="8" width="14.06640625" style="8" bestFit="1" customWidth="1"/>
    <col min="9" max="9" width="32.06640625" style="8" bestFit="1" customWidth="1"/>
    <col min="10" max="10" width="7.33203125" style="8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7" t="s">
        <v>92</v>
      </c>
      <c r="I1" s="7" t="s">
        <v>93</v>
      </c>
      <c r="J1" s="7" t="s">
        <v>415</v>
      </c>
      <c r="K1" s="11" t="s">
        <v>512</v>
      </c>
      <c r="L1" s="12">
        <v>0.96653728968927499</v>
      </c>
      <c r="M1" s="11" t="s">
        <v>512</v>
      </c>
    </row>
    <row r="2" spans="1:13" hidden="1" x14ac:dyDescent="0.45">
      <c r="A2" t="s">
        <v>26</v>
      </c>
      <c r="B2" t="s">
        <v>26</v>
      </c>
      <c r="C2">
        <v>0.21125175748722</v>
      </c>
      <c r="D2">
        <v>0.8</v>
      </c>
      <c r="E2">
        <v>0.98593573670042811</v>
      </c>
      <c r="G2" t="str">
        <f>IF(A2=B2,".","W")</f>
        <v>.</v>
      </c>
      <c r="H2" s="8" t="s">
        <v>94</v>
      </c>
      <c r="I2" s="8" t="s">
        <v>95</v>
      </c>
      <c r="J2" s="8" t="s">
        <v>416</v>
      </c>
      <c r="L2" t="str">
        <f>IF(C2&lt;=$L$1,".","NonID")</f>
        <v>.</v>
      </c>
    </row>
    <row r="3" spans="1:13" hidden="1" x14ac:dyDescent="0.45">
      <c r="A3" t="s">
        <v>27</v>
      </c>
      <c r="B3" t="s">
        <v>27</v>
      </c>
      <c r="C3">
        <v>0.20016281897665311</v>
      </c>
      <c r="D3">
        <v>0.8</v>
      </c>
      <c r="E3">
        <v>0.99979648032432844</v>
      </c>
      <c r="G3" t="str">
        <f t="shared" ref="G3:G66" si="0">IF(A3=B3,".","W")</f>
        <v>.</v>
      </c>
      <c r="H3" s="8" t="s">
        <v>96</v>
      </c>
      <c r="I3" s="8" t="s">
        <v>97</v>
      </c>
      <c r="J3" s="8" t="s">
        <v>417</v>
      </c>
      <c r="L3" t="str">
        <f t="shared" ref="L3:L13" si="1">IF(C3&lt;=$L$1,".","NonID")</f>
        <v>.</v>
      </c>
    </row>
    <row r="4" spans="1:13" hidden="1" x14ac:dyDescent="0.45">
      <c r="A4" t="s">
        <v>28</v>
      </c>
      <c r="B4" t="s">
        <v>28</v>
      </c>
      <c r="C4">
        <v>0.27705429686784611</v>
      </c>
      <c r="D4">
        <v>0.8</v>
      </c>
      <c r="E4">
        <v>0.9046472099680013</v>
      </c>
      <c r="G4" t="str">
        <f t="shared" si="0"/>
        <v>.</v>
      </c>
      <c r="H4" s="8" t="s">
        <v>98</v>
      </c>
      <c r="I4" s="8" t="s">
        <v>99</v>
      </c>
      <c r="J4" s="8" t="s">
        <v>418</v>
      </c>
      <c r="L4" t="str">
        <f t="shared" si="1"/>
        <v>.</v>
      </c>
    </row>
    <row r="5" spans="1:13" hidden="1" x14ac:dyDescent="0.45">
      <c r="A5" t="s">
        <v>29</v>
      </c>
      <c r="B5" t="s">
        <v>29</v>
      </c>
      <c r="C5">
        <v>0.78484703020678781</v>
      </c>
      <c r="D5">
        <v>0.8</v>
      </c>
      <c r="E5">
        <v>0.26894121291418688</v>
      </c>
      <c r="G5" t="str">
        <f t="shared" si="0"/>
        <v>.</v>
      </c>
      <c r="H5" s="8" t="s">
        <v>100</v>
      </c>
      <c r="I5" s="8" t="s">
        <v>101</v>
      </c>
      <c r="J5" s="8" t="s">
        <v>419</v>
      </c>
      <c r="L5" t="str">
        <f t="shared" si="1"/>
        <v>.</v>
      </c>
    </row>
    <row r="6" spans="1:13" hidden="1" x14ac:dyDescent="0.45">
      <c r="A6" t="s">
        <v>9</v>
      </c>
      <c r="B6" t="s">
        <v>26</v>
      </c>
      <c r="C6">
        <v>0.55026301045069159</v>
      </c>
      <c r="D6">
        <v>0.8</v>
      </c>
      <c r="E6">
        <v>0.56217194545414562</v>
      </c>
      <c r="G6" t="str">
        <f t="shared" si="0"/>
        <v>W</v>
      </c>
      <c r="H6" s="8" t="s">
        <v>102</v>
      </c>
      <c r="I6" s="8" t="s">
        <v>99</v>
      </c>
      <c r="J6" s="8" t="s">
        <v>420</v>
      </c>
      <c r="L6" t="str">
        <f t="shared" si="1"/>
        <v>.</v>
      </c>
    </row>
    <row r="7" spans="1:13" hidden="1" x14ac:dyDescent="0.45">
      <c r="A7" t="s">
        <v>30</v>
      </c>
      <c r="B7" t="s">
        <v>30</v>
      </c>
      <c r="C7">
        <v>0.29536289241074309</v>
      </c>
      <c r="D7">
        <v>0.8</v>
      </c>
      <c r="E7">
        <v>0.8807967056360323</v>
      </c>
      <c r="G7" t="str">
        <f t="shared" si="0"/>
        <v>.</v>
      </c>
      <c r="H7" s="8" t="s">
        <v>103</v>
      </c>
      <c r="I7" s="8" t="s">
        <v>99</v>
      </c>
      <c r="J7" s="8" t="s">
        <v>421</v>
      </c>
      <c r="L7" t="str">
        <f t="shared" si="1"/>
        <v>.</v>
      </c>
    </row>
    <row r="8" spans="1:13" hidden="1" x14ac:dyDescent="0.45">
      <c r="A8" t="s">
        <v>31</v>
      </c>
      <c r="B8" t="s">
        <v>31</v>
      </c>
      <c r="C8">
        <v>0.23394710193703569</v>
      </c>
      <c r="D8">
        <v>0.8</v>
      </c>
      <c r="E8">
        <v>0.99999372702007638</v>
      </c>
      <c r="G8" t="str">
        <f t="shared" si="0"/>
        <v>.</v>
      </c>
      <c r="H8" s="8" t="s">
        <v>104</v>
      </c>
      <c r="I8" s="8" t="s">
        <v>105</v>
      </c>
      <c r="J8" s="8" t="s">
        <v>422</v>
      </c>
      <c r="L8" t="str">
        <f t="shared" si="1"/>
        <v>.</v>
      </c>
    </row>
    <row r="9" spans="1:13" hidden="1" x14ac:dyDescent="0.45">
      <c r="A9" t="s">
        <v>32</v>
      </c>
      <c r="B9" t="s">
        <v>32</v>
      </c>
      <c r="C9">
        <v>4.3058496850545408E-4</v>
      </c>
      <c r="D9">
        <v>1</v>
      </c>
      <c r="E9">
        <v>0.99956942349659961</v>
      </c>
      <c r="G9" t="str">
        <f t="shared" si="0"/>
        <v>.</v>
      </c>
      <c r="H9" s="8" t="s">
        <v>106</v>
      </c>
      <c r="I9" s="8" t="s">
        <v>99</v>
      </c>
      <c r="J9" s="8" t="s">
        <v>423</v>
      </c>
      <c r="L9" t="str">
        <f t="shared" si="1"/>
        <v>.</v>
      </c>
    </row>
    <row r="10" spans="1:13" hidden="1" x14ac:dyDescent="0.45">
      <c r="A10" t="s">
        <v>27</v>
      </c>
      <c r="B10" t="s">
        <v>27</v>
      </c>
      <c r="C10">
        <v>0.20000387429247629</v>
      </c>
      <c r="D10">
        <v>0.8</v>
      </c>
      <c r="E10">
        <v>0.9999951574562983</v>
      </c>
      <c r="G10" t="str">
        <f t="shared" si="0"/>
        <v>.</v>
      </c>
      <c r="H10" s="8" t="s">
        <v>107</v>
      </c>
      <c r="I10" s="8" t="s">
        <v>108</v>
      </c>
      <c r="J10" s="8" t="s">
        <v>417</v>
      </c>
      <c r="L10" t="str">
        <f t="shared" si="1"/>
        <v>.</v>
      </c>
    </row>
    <row r="11" spans="1:13" hidden="1" x14ac:dyDescent="0.45">
      <c r="A11" t="s">
        <v>27</v>
      </c>
      <c r="B11" t="s">
        <v>27</v>
      </c>
      <c r="C11">
        <v>0.20004669108968609</v>
      </c>
      <c r="D11">
        <v>0.8</v>
      </c>
      <c r="E11">
        <v>0.99994163670334457</v>
      </c>
      <c r="G11" t="str">
        <f t="shared" si="0"/>
        <v>.</v>
      </c>
      <c r="H11" s="8" t="s">
        <v>109</v>
      </c>
      <c r="I11" s="8" t="s">
        <v>110</v>
      </c>
      <c r="J11" s="8" t="s">
        <v>417</v>
      </c>
      <c r="L11" t="str">
        <f t="shared" si="1"/>
        <v>.</v>
      </c>
    </row>
    <row r="12" spans="1:13" hidden="1" x14ac:dyDescent="0.45">
      <c r="A12" t="s">
        <v>30</v>
      </c>
      <c r="B12" t="s">
        <v>30</v>
      </c>
      <c r="C12">
        <v>0.55441756546147758</v>
      </c>
      <c r="D12">
        <v>0.8</v>
      </c>
      <c r="E12">
        <v>0.56217620099375953</v>
      </c>
      <c r="G12" t="str">
        <f t="shared" si="0"/>
        <v>.</v>
      </c>
      <c r="H12" s="8" t="s">
        <v>111</v>
      </c>
      <c r="I12" s="8" t="s">
        <v>112</v>
      </c>
      <c r="J12" s="8" t="s">
        <v>421</v>
      </c>
      <c r="L12" t="str">
        <f t="shared" si="1"/>
        <v>.</v>
      </c>
    </row>
    <row r="13" spans="1:13" hidden="1" x14ac:dyDescent="0.45">
      <c r="A13" t="s">
        <v>33</v>
      </c>
      <c r="B13" t="s">
        <v>33</v>
      </c>
      <c r="C13">
        <v>0.20535439352832871</v>
      </c>
      <c r="D13">
        <v>0.8</v>
      </c>
      <c r="E13">
        <v>0.99330700849498244</v>
      </c>
      <c r="G13" t="str">
        <f t="shared" si="0"/>
        <v>.</v>
      </c>
      <c r="H13" s="8" t="s">
        <v>113</v>
      </c>
      <c r="I13" s="8" t="s">
        <v>114</v>
      </c>
      <c r="J13" s="8" t="s">
        <v>424</v>
      </c>
      <c r="L13" t="str">
        <f t="shared" si="1"/>
        <v>.</v>
      </c>
    </row>
    <row r="14" spans="1:13" x14ac:dyDescent="0.45">
      <c r="A14" t="s">
        <v>30</v>
      </c>
      <c r="B14" t="s">
        <v>34</v>
      </c>
      <c r="C14">
        <v>0.96627811488956483</v>
      </c>
      <c r="D14">
        <v>0.8</v>
      </c>
      <c r="E14">
        <v>6.0086562878915298E-2</v>
      </c>
      <c r="G14" t="str">
        <f t="shared" si="0"/>
        <v>W</v>
      </c>
      <c r="H14" s="8" t="s">
        <v>115</v>
      </c>
      <c r="I14" s="8" t="s">
        <v>116</v>
      </c>
      <c r="J14" s="8" t="s">
        <v>421</v>
      </c>
      <c r="K14" s="8" t="s">
        <v>515</v>
      </c>
      <c r="L14" s="13" t="str">
        <f>IF(C14&lt;=$L$1,".","NonID")</f>
        <v>.</v>
      </c>
      <c r="M14" s="8" t="s">
        <v>515</v>
      </c>
    </row>
    <row r="15" spans="1:13" hidden="1" x14ac:dyDescent="0.45">
      <c r="A15" t="s">
        <v>35</v>
      </c>
      <c r="B15" t="s">
        <v>35</v>
      </c>
      <c r="C15">
        <v>0.21121970044165039</v>
      </c>
      <c r="D15">
        <v>0.8</v>
      </c>
      <c r="E15">
        <v>0.99142243010824804</v>
      </c>
      <c r="G15" t="str">
        <f t="shared" si="0"/>
        <v>.</v>
      </c>
      <c r="H15" s="8" t="s">
        <v>117</v>
      </c>
      <c r="I15" s="8" t="s">
        <v>99</v>
      </c>
      <c r="J15" s="8" t="s">
        <v>420</v>
      </c>
      <c r="L15" t="str">
        <f t="shared" ref="L15:L78" si="2">IF(C15&lt;=$L$1,".","NonID")</f>
        <v>.</v>
      </c>
    </row>
    <row r="16" spans="1:13" hidden="1" x14ac:dyDescent="0.45">
      <c r="A16" t="s">
        <v>30</v>
      </c>
      <c r="B16" t="s">
        <v>30</v>
      </c>
      <c r="C16">
        <v>0.2009356339087558</v>
      </c>
      <c r="D16">
        <v>0.8</v>
      </c>
      <c r="E16">
        <v>0.99883045900532441</v>
      </c>
      <c r="G16" t="str">
        <f t="shared" si="0"/>
        <v>.</v>
      </c>
      <c r="H16" s="8" t="s">
        <v>118</v>
      </c>
      <c r="I16" s="8" t="s">
        <v>119</v>
      </c>
      <c r="J16" s="8" t="s">
        <v>421</v>
      </c>
      <c r="L16" t="str">
        <f t="shared" si="2"/>
        <v>.</v>
      </c>
    </row>
    <row r="17" spans="1:12" hidden="1" x14ac:dyDescent="0.45">
      <c r="A17" t="s">
        <v>35</v>
      </c>
      <c r="B17" t="s">
        <v>35</v>
      </c>
      <c r="C17">
        <v>0.2012109751728893</v>
      </c>
      <c r="D17">
        <v>0.8</v>
      </c>
      <c r="E17">
        <v>0.99849876799337189</v>
      </c>
      <c r="G17" t="str">
        <f t="shared" si="0"/>
        <v>.</v>
      </c>
      <c r="H17" s="8" t="s">
        <v>120</v>
      </c>
      <c r="I17" s="8" t="s">
        <v>121</v>
      </c>
      <c r="J17" s="8" t="s">
        <v>420</v>
      </c>
      <c r="L17" t="str">
        <f t="shared" si="2"/>
        <v>.</v>
      </c>
    </row>
    <row r="18" spans="1:12" hidden="1" x14ac:dyDescent="0.45">
      <c r="A18" t="s">
        <v>36</v>
      </c>
      <c r="B18" t="s">
        <v>36</v>
      </c>
      <c r="C18">
        <v>0.2005677417085748</v>
      </c>
      <c r="D18">
        <v>0.8</v>
      </c>
      <c r="E18">
        <v>0.99929032330932133</v>
      </c>
      <c r="G18" t="str">
        <f t="shared" si="0"/>
        <v>.</v>
      </c>
      <c r="H18" s="8" t="s">
        <v>122</v>
      </c>
      <c r="I18" s="8" t="s">
        <v>123</v>
      </c>
      <c r="J18" s="8" t="s">
        <v>425</v>
      </c>
      <c r="L18" t="str">
        <f t="shared" si="2"/>
        <v>.</v>
      </c>
    </row>
    <row r="19" spans="1:12" x14ac:dyDescent="0.45">
      <c r="A19" t="s">
        <v>28</v>
      </c>
      <c r="B19" t="s">
        <v>37</v>
      </c>
      <c r="C19">
        <v>0.86511777782281263</v>
      </c>
      <c r="D19">
        <v>0.8</v>
      </c>
      <c r="E19">
        <v>0.9706870301020154</v>
      </c>
      <c r="G19" t="str">
        <f t="shared" si="0"/>
        <v>W</v>
      </c>
      <c r="H19" s="8" t="s">
        <v>124</v>
      </c>
      <c r="I19" s="8" t="s">
        <v>99</v>
      </c>
      <c r="J19" s="8" t="s">
        <v>418</v>
      </c>
      <c r="K19" s="8" t="s">
        <v>514</v>
      </c>
      <c r="L19" t="str">
        <f t="shared" si="2"/>
        <v>.</v>
      </c>
    </row>
    <row r="20" spans="1:12" hidden="1" x14ac:dyDescent="0.45">
      <c r="A20" t="s">
        <v>27</v>
      </c>
      <c r="B20" t="s">
        <v>27</v>
      </c>
      <c r="C20">
        <v>0.2000283825843949</v>
      </c>
      <c r="D20">
        <v>0.8</v>
      </c>
      <c r="E20">
        <v>0.99996452273258829</v>
      </c>
      <c r="G20" t="str">
        <f t="shared" si="0"/>
        <v>.</v>
      </c>
      <c r="H20" s="8" t="s">
        <v>125</v>
      </c>
      <c r="I20" s="8" t="s">
        <v>126</v>
      </c>
      <c r="J20" s="8" t="s">
        <v>417</v>
      </c>
      <c r="L20" t="str">
        <f t="shared" si="2"/>
        <v>.</v>
      </c>
    </row>
    <row r="21" spans="1:12" hidden="1" x14ac:dyDescent="0.45">
      <c r="A21" t="s">
        <v>35</v>
      </c>
      <c r="B21" t="s">
        <v>35</v>
      </c>
      <c r="C21">
        <v>0.21125101636584229</v>
      </c>
      <c r="D21">
        <v>0.8</v>
      </c>
      <c r="E21">
        <v>0.98593632069119785</v>
      </c>
      <c r="G21" t="str">
        <f t="shared" si="0"/>
        <v>.</v>
      </c>
      <c r="H21" s="8" t="s">
        <v>127</v>
      </c>
      <c r="I21" s="8" t="s">
        <v>128</v>
      </c>
      <c r="J21" s="8" t="s">
        <v>420</v>
      </c>
      <c r="L21" t="str">
        <f t="shared" si="2"/>
        <v>.</v>
      </c>
    </row>
    <row r="22" spans="1:12" hidden="1" x14ac:dyDescent="0.45">
      <c r="A22" t="s">
        <v>38</v>
      </c>
      <c r="B22" t="s">
        <v>38</v>
      </c>
      <c r="C22">
        <v>0.21255045464525579</v>
      </c>
      <c r="D22">
        <v>0.8</v>
      </c>
      <c r="E22">
        <v>0.98593632069119785</v>
      </c>
      <c r="G22" t="str">
        <f t="shared" si="0"/>
        <v>.</v>
      </c>
      <c r="H22" s="8" t="s">
        <v>129</v>
      </c>
      <c r="I22" s="8" t="s">
        <v>130</v>
      </c>
      <c r="J22" s="8" t="s">
        <v>426</v>
      </c>
      <c r="L22" t="str">
        <f t="shared" si="2"/>
        <v>.</v>
      </c>
    </row>
    <row r="23" spans="1:12" hidden="1" x14ac:dyDescent="0.45">
      <c r="A23" t="s">
        <v>39</v>
      </c>
      <c r="B23" t="s">
        <v>39</v>
      </c>
      <c r="C23">
        <v>0.20002208831298021</v>
      </c>
      <c r="D23">
        <v>0.8</v>
      </c>
      <c r="E23">
        <v>0.99997238992645676</v>
      </c>
      <c r="G23" t="str">
        <f t="shared" si="0"/>
        <v>.</v>
      </c>
      <c r="H23" s="8" t="s">
        <v>131</v>
      </c>
      <c r="I23" s="8" t="s">
        <v>132</v>
      </c>
      <c r="J23" s="8" t="s">
        <v>427</v>
      </c>
      <c r="L23" t="str">
        <f t="shared" si="2"/>
        <v>.</v>
      </c>
    </row>
    <row r="24" spans="1:12" hidden="1" x14ac:dyDescent="0.45">
      <c r="A24" t="s">
        <v>40</v>
      </c>
      <c r="B24" t="s">
        <v>40</v>
      </c>
      <c r="C24">
        <v>0.20093563290206151</v>
      </c>
      <c r="D24">
        <v>0.8</v>
      </c>
      <c r="E24">
        <v>0.99883045900532441</v>
      </c>
      <c r="G24" t="str">
        <f t="shared" si="0"/>
        <v>.</v>
      </c>
      <c r="H24" s="8" t="s">
        <v>133</v>
      </c>
      <c r="I24" s="8" t="s">
        <v>134</v>
      </c>
      <c r="J24" s="8" t="s">
        <v>428</v>
      </c>
      <c r="L24" t="str">
        <f t="shared" si="2"/>
        <v>.</v>
      </c>
    </row>
    <row r="25" spans="1:12" hidden="1" x14ac:dyDescent="0.45">
      <c r="A25" t="s">
        <v>35</v>
      </c>
      <c r="B25" t="s">
        <v>35</v>
      </c>
      <c r="C25">
        <v>0.31844574139259157</v>
      </c>
      <c r="D25">
        <v>0.8</v>
      </c>
      <c r="E25">
        <v>0.851952557223148</v>
      </c>
      <c r="G25" t="str">
        <f t="shared" si="0"/>
        <v>.</v>
      </c>
      <c r="H25" s="8" t="s">
        <v>135</v>
      </c>
      <c r="I25" s="8" t="s">
        <v>99</v>
      </c>
      <c r="J25" s="8" t="s">
        <v>420</v>
      </c>
      <c r="L25" t="str">
        <f t="shared" si="2"/>
        <v>.</v>
      </c>
    </row>
    <row r="26" spans="1:12" hidden="1" x14ac:dyDescent="0.45">
      <c r="A26" t="s">
        <v>35</v>
      </c>
      <c r="B26" t="s">
        <v>35</v>
      </c>
      <c r="C26">
        <v>0.2277191350371266</v>
      </c>
      <c r="D26">
        <v>0.8</v>
      </c>
      <c r="E26">
        <v>0.97702261672772872</v>
      </c>
      <c r="G26" t="str">
        <f t="shared" si="0"/>
        <v>.</v>
      </c>
      <c r="H26" s="8" t="s">
        <v>136</v>
      </c>
      <c r="I26" s="8" t="s">
        <v>99</v>
      </c>
      <c r="J26" s="8" t="s">
        <v>420</v>
      </c>
      <c r="L26" t="str">
        <f t="shared" si="2"/>
        <v>.</v>
      </c>
    </row>
    <row r="27" spans="1:12" hidden="1" x14ac:dyDescent="0.45">
      <c r="A27" t="s">
        <v>9</v>
      </c>
      <c r="B27" t="s">
        <v>33</v>
      </c>
      <c r="C27">
        <v>0.20325607837137671</v>
      </c>
      <c r="D27">
        <v>0.8</v>
      </c>
      <c r="E27">
        <v>0.99592990413102933</v>
      </c>
      <c r="G27" t="str">
        <f t="shared" si="0"/>
        <v>W</v>
      </c>
      <c r="H27" s="8" t="s">
        <v>137</v>
      </c>
      <c r="I27" s="8" t="s">
        <v>99</v>
      </c>
      <c r="J27" s="8" t="s">
        <v>424</v>
      </c>
      <c r="L27" t="str">
        <f t="shared" si="2"/>
        <v>.</v>
      </c>
    </row>
    <row r="28" spans="1:12" hidden="1" x14ac:dyDescent="0.45">
      <c r="A28" t="s">
        <v>38</v>
      </c>
      <c r="B28" t="s">
        <v>38</v>
      </c>
      <c r="C28">
        <v>0.20045598578333501</v>
      </c>
      <c r="D28">
        <v>0.8</v>
      </c>
      <c r="E28">
        <v>0.99944712016184645</v>
      </c>
      <c r="G28" t="str">
        <f t="shared" si="0"/>
        <v>.</v>
      </c>
      <c r="H28" s="8" t="s">
        <v>138</v>
      </c>
      <c r="I28" s="8" t="s">
        <v>139</v>
      </c>
      <c r="J28" s="8" t="s">
        <v>426</v>
      </c>
      <c r="L28" t="str">
        <f t="shared" si="2"/>
        <v>.</v>
      </c>
    </row>
    <row r="29" spans="1:12" hidden="1" x14ac:dyDescent="0.45">
      <c r="A29" t="s">
        <v>35</v>
      </c>
      <c r="B29" t="s">
        <v>35</v>
      </c>
      <c r="C29">
        <v>0.20535854634350639</v>
      </c>
      <c r="D29">
        <v>0.8</v>
      </c>
      <c r="E29">
        <v>0.99330700849498244</v>
      </c>
      <c r="G29" t="str">
        <f t="shared" si="0"/>
        <v>.</v>
      </c>
      <c r="H29" s="8" t="s">
        <v>140</v>
      </c>
      <c r="I29" s="8" t="s">
        <v>141</v>
      </c>
      <c r="J29" s="8" t="s">
        <v>420</v>
      </c>
      <c r="L29" t="str">
        <f t="shared" si="2"/>
        <v>.</v>
      </c>
    </row>
    <row r="30" spans="1:12" hidden="1" x14ac:dyDescent="0.45">
      <c r="A30" t="s">
        <v>38</v>
      </c>
      <c r="B30" t="s">
        <v>38</v>
      </c>
      <c r="C30">
        <v>0.54076799325426972</v>
      </c>
      <c r="D30">
        <v>0.8</v>
      </c>
      <c r="E30">
        <v>0.99992506849856422</v>
      </c>
      <c r="G30" t="str">
        <f t="shared" si="0"/>
        <v>.</v>
      </c>
      <c r="H30" s="8" t="s">
        <v>142</v>
      </c>
      <c r="I30" s="8" t="s">
        <v>99</v>
      </c>
      <c r="J30" s="8" t="s">
        <v>426</v>
      </c>
      <c r="L30" t="str">
        <f t="shared" si="2"/>
        <v>.</v>
      </c>
    </row>
    <row r="31" spans="1:12" hidden="1" x14ac:dyDescent="0.45">
      <c r="A31" t="s">
        <v>27</v>
      </c>
      <c r="B31" t="s">
        <v>27</v>
      </c>
      <c r="C31">
        <v>0.2001628167741055</v>
      </c>
      <c r="D31">
        <v>0.8</v>
      </c>
      <c r="E31">
        <v>0.99979648032432844</v>
      </c>
      <c r="G31" t="str">
        <f t="shared" si="0"/>
        <v>.</v>
      </c>
      <c r="H31" s="8" t="s">
        <v>143</v>
      </c>
      <c r="I31" s="8" t="s">
        <v>144</v>
      </c>
      <c r="J31" s="8" t="s">
        <v>417</v>
      </c>
      <c r="L31" t="str">
        <f t="shared" si="2"/>
        <v>.</v>
      </c>
    </row>
    <row r="32" spans="1:12" hidden="1" x14ac:dyDescent="0.45">
      <c r="A32" t="s">
        <v>27</v>
      </c>
      <c r="B32" t="s">
        <v>27</v>
      </c>
      <c r="C32">
        <v>0.20001045656302369</v>
      </c>
      <c r="D32">
        <v>0.8</v>
      </c>
      <c r="E32">
        <v>0.99998693247732917</v>
      </c>
      <c r="G32" t="str">
        <f t="shared" si="0"/>
        <v>.</v>
      </c>
      <c r="H32" s="8" t="s">
        <v>145</v>
      </c>
      <c r="I32" s="8" t="s">
        <v>146</v>
      </c>
      <c r="J32" s="8" t="s">
        <v>417</v>
      </c>
      <c r="L32" t="str">
        <f t="shared" si="2"/>
        <v>.</v>
      </c>
    </row>
    <row r="33" spans="1:13" hidden="1" x14ac:dyDescent="0.45">
      <c r="A33" t="s">
        <v>27</v>
      </c>
      <c r="B33" t="s">
        <v>27</v>
      </c>
      <c r="C33">
        <v>0.20002838288145369</v>
      </c>
      <c r="D33">
        <v>0.8</v>
      </c>
      <c r="E33">
        <v>0.99996452273258829</v>
      </c>
      <c r="G33" t="str">
        <f t="shared" si="0"/>
        <v>.</v>
      </c>
      <c r="H33" s="8" t="s">
        <v>147</v>
      </c>
      <c r="I33" s="8" t="s">
        <v>148</v>
      </c>
      <c r="J33" s="8" t="s">
        <v>417</v>
      </c>
      <c r="L33" t="str">
        <f t="shared" si="2"/>
        <v>.</v>
      </c>
    </row>
    <row r="34" spans="1:13" hidden="1" x14ac:dyDescent="0.45">
      <c r="A34" t="s">
        <v>35</v>
      </c>
      <c r="B34" t="s">
        <v>35</v>
      </c>
      <c r="C34">
        <v>0.21838305813476069</v>
      </c>
      <c r="D34">
        <v>0.8</v>
      </c>
      <c r="E34">
        <v>0.97702193246570779</v>
      </c>
      <c r="G34" t="str">
        <f t="shared" si="0"/>
        <v>.</v>
      </c>
      <c r="H34" s="8" t="s">
        <v>149</v>
      </c>
      <c r="I34" s="8" t="s">
        <v>99</v>
      </c>
      <c r="J34" s="8" t="s">
        <v>420</v>
      </c>
      <c r="L34" t="str">
        <f t="shared" si="2"/>
        <v>.</v>
      </c>
    </row>
    <row r="35" spans="1:13" hidden="1" x14ac:dyDescent="0.45">
      <c r="A35" t="s">
        <v>35</v>
      </c>
      <c r="B35" t="s">
        <v>35</v>
      </c>
      <c r="C35">
        <v>0.20878972320306821</v>
      </c>
      <c r="D35">
        <v>0.8</v>
      </c>
      <c r="E35">
        <v>0.9890128691951352</v>
      </c>
      <c r="G35" t="str">
        <f t="shared" si="0"/>
        <v>.</v>
      </c>
      <c r="H35" s="8" t="s">
        <v>150</v>
      </c>
      <c r="I35" s="8" t="s">
        <v>151</v>
      </c>
      <c r="J35" s="8" t="s">
        <v>420</v>
      </c>
      <c r="L35" t="str">
        <f t="shared" si="2"/>
        <v>.</v>
      </c>
    </row>
    <row r="36" spans="1:13" hidden="1" x14ac:dyDescent="0.45">
      <c r="A36" t="s">
        <v>32</v>
      </c>
      <c r="B36" t="s">
        <v>32</v>
      </c>
      <c r="C36">
        <v>7.0967919814723945E-4</v>
      </c>
      <c r="D36">
        <v>1</v>
      </c>
      <c r="E36">
        <v>0.99929032330932133</v>
      </c>
      <c r="G36" t="str">
        <f t="shared" si="0"/>
        <v>.</v>
      </c>
      <c r="H36" s="8" t="s">
        <v>152</v>
      </c>
      <c r="I36" s="8" t="s">
        <v>153</v>
      </c>
      <c r="J36" s="8" t="s">
        <v>423</v>
      </c>
      <c r="L36" t="str">
        <f t="shared" si="2"/>
        <v>.</v>
      </c>
    </row>
    <row r="37" spans="1:13" hidden="1" x14ac:dyDescent="0.45">
      <c r="A37" t="s">
        <v>35</v>
      </c>
      <c r="B37" t="s">
        <v>35</v>
      </c>
      <c r="C37">
        <v>0.23802074384910099</v>
      </c>
      <c r="D37">
        <v>0.8</v>
      </c>
      <c r="E37">
        <v>0.95257313276901201</v>
      </c>
      <c r="G37" t="str">
        <f t="shared" si="0"/>
        <v>.</v>
      </c>
      <c r="H37" s="8" t="s">
        <v>154</v>
      </c>
      <c r="I37" s="8" t="s">
        <v>99</v>
      </c>
      <c r="J37" s="8" t="s">
        <v>420</v>
      </c>
      <c r="L37" t="str">
        <f t="shared" si="2"/>
        <v>.</v>
      </c>
    </row>
    <row r="38" spans="1:13" hidden="1" x14ac:dyDescent="0.45">
      <c r="A38" t="s">
        <v>41</v>
      </c>
      <c r="B38" t="s">
        <v>41</v>
      </c>
      <c r="C38">
        <v>0.20005994695830079</v>
      </c>
      <c r="D38">
        <v>0.8</v>
      </c>
      <c r="E38">
        <v>0.99992506849856422</v>
      </c>
      <c r="G38" t="str">
        <f t="shared" si="0"/>
        <v>.</v>
      </c>
      <c r="H38" s="8" t="s">
        <v>155</v>
      </c>
      <c r="I38" s="8" t="s">
        <v>156</v>
      </c>
      <c r="J38" s="8" t="s">
        <v>429</v>
      </c>
      <c r="L38" t="str">
        <f t="shared" si="2"/>
        <v>.</v>
      </c>
    </row>
    <row r="39" spans="1:13" hidden="1" x14ac:dyDescent="0.45">
      <c r="A39" t="s">
        <v>19</v>
      </c>
      <c r="B39" t="s">
        <v>37</v>
      </c>
      <c r="C39">
        <v>1</v>
      </c>
      <c r="D39">
        <v>0.8</v>
      </c>
      <c r="E39">
        <v>1.406362652037949E-2</v>
      </c>
      <c r="G39" t="str">
        <f t="shared" si="0"/>
        <v>W</v>
      </c>
      <c r="H39" s="9" t="s">
        <v>157</v>
      </c>
      <c r="I39" s="8" t="s">
        <v>158</v>
      </c>
      <c r="J39" s="8" t="s">
        <v>430</v>
      </c>
      <c r="L39" t="str">
        <f t="shared" si="2"/>
        <v>NonID</v>
      </c>
    </row>
    <row r="40" spans="1:13" hidden="1" x14ac:dyDescent="0.45">
      <c r="A40" t="s">
        <v>35</v>
      </c>
      <c r="B40" t="s">
        <v>35</v>
      </c>
      <c r="C40">
        <v>0.51935215858535355</v>
      </c>
      <c r="D40">
        <v>0.8</v>
      </c>
      <c r="E40">
        <v>0.85194876140197107</v>
      </c>
      <c r="G40" t="str">
        <f t="shared" si="0"/>
        <v>.</v>
      </c>
      <c r="H40" s="8" t="s">
        <v>159</v>
      </c>
      <c r="I40" s="8" t="s">
        <v>99</v>
      </c>
      <c r="J40" s="8" t="s">
        <v>420</v>
      </c>
      <c r="L40" t="str">
        <f t="shared" si="2"/>
        <v>.</v>
      </c>
    </row>
    <row r="41" spans="1:13" hidden="1" x14ac:dyDescent="0.45">
      <c r="A41" t="s">
        <v>35</v>
      </c>
      <c r="B41" t="s">
        <v>35</v>
      </c>
      <c r="C41">
        <v>0.2144217650849097</v>
      </c>
      <c r="D41">
        <v>0.8</v>
      </c>
      <c r="E41">
        <v>0.9820137760522224</v>
      </c>
      <c r="G41" t="str">
        <f t="shared" si="0"/>
        <v>.</v>
      </c>
      <c r="H41" s="9" t="s">
        <v>160</v>
      </c>
      <c r="I41" s="8" t="s">
        <v>161</v>
      </c>
      <c r="J41" s="8" t="s">
        <v>420</v>
      </c>
      <c r="L41" t="str">
        <f t="shared" si="2"/>
        <v>.</v>
      </c>
    </row>
    <row r="42" spans="1:13" hidden="1" x14ac:dyDescent="0.45">
      <c r="A42" t="s">
        <v>36</v>
      </c>
      <c r="B42" t="s">
        <v>36</v>
      </c>
      <c r="C42">
        <v>0.20072883882587769</v>
      </c>
      <c r="D42">
        <v>0.8</v>
      </c>
      <c r="E42">
        <v>0.99908895173900303</v>
      </c>
      <c r="G42" t="str">
        <f t="shared" si="0"/>
        <v>.</v>
      </c>
      <c r="H42" s="8" t="s">
        <v>162</v>
      </c>
      <c r="I42" s="8" t="s">
        <v>163</v>
      </c>
      <c r="J42" s="8" t="s">
        <v>425</v>
      </c>
      <c r="L42" t="str">
        <f t="shared" si="2"/>
        <v>.</v>
      </c>
    </row>
    <row r="43" spans="1:13" hidden="1" x14ac:dyDescent="0.45">
      <c r="A43" t="s">
        <v>30</v>
      </c>
      <c r="B43" t="s">
        <v>30</v>
      </c>
      <c r="C43">
        <v>0.20154145460350251</v>
      </c>
      <c r="D43">
        <v>0.8</v>
      </c>
      <c r="E43">
        <v>0.99807322600355197</v>
      </c>
      <c r="G43" t="str">
        <f t="shared" si="0"/>
        <v>.</v>
      </c>
      <c r="H43" s="8" t="s">
        <v>164</v>
      </c>
      <c r="I43" s="8" t="s">
        <v>99</v>
      </c>
      <c r="J43" s="8" t="s">
        <v>421</v>
      </c>
      <c r="L43" t="str">
        <f t="shared" si="2"/>
        <v>.</v>
      </c>
    </row>
    <row r="44" spans="1:13" hidden="1" x14ac:dyDescent="0.45">
      <c r="A44" t="s">
        <v>33</v>
      </c>
      <c r="B44" t="s">
        <v>33</v>
      </c>
      <c r="C44">
        <v>0.20005994555538309</v>
      </c>
      <c r="D44">
        <v>0.8</v>
      </c>
      <c r="E44">
        <v>0.99992506849856422</v>
      </c>
      <c r="G44" t="str">
        <f t="shared" si="0"/>
        <v>.</v>
      </c>
      <c r="H44" s="8" t="s">
        <v>165</v>
      </c>
      <c r="I44" s="8" t="s">
        <v>166</v>
      </c>
      <c r="J44" s="8" t="s">
        <v>424</v>
      </c>
      <c r="L44" t="str">
        <f t="shared" si="2"/>
        <v>.</v>
      </c>
    </row>
    <row r="45" spans="1:13" hidden="1" x14ac:dyDescent="0.45">
      <c r="A45" t="s">
        <v>35</v>
      </c>
      <c r="B45" t="s">
        <v>35</v>
      </c>
      <c r="C45">
        <v>0.20686224599385389</v>
      </c>
      <c r="D45">
        <v>0.8</v>
      </c>
      <c r="E45">
        <v>0.99142231192149144</v>
      </c>
      <c r="G45" t="str">
        <f t="shared" si="0"/>
        <v>.</v>
      </c>
      <c r="H45" s="8" t="s">
        <v>167</v>
      </c>
      <c r="I45" s="8" t="s">
        <v>168</v>
      </c>
      <c r="J45" s="8" t="s">
        <v>420</v>
      </c>
      <c r="L45" t="str">
        <f t="shared" si="2"/>
        <v>.</v>
      </c>
    </row>
    <row r="46" spans="1:13" x14ac:dyDescent="0.45">
      <c r="A46" t="s">
        <v>30</v>
      </c>
      <c r="B46" t="s">
        <v>42</v>
      </c>
      <c r="C46">
        <v>0.99999516246592479</v>
      </c>
      <c r="D46">
        <v>0.8</v>
      </c>
      <c r="E46">
        <v>1.6701414089010929E-5</v>
      </c>
      <c r="G46" t="str">
        <f t="shared" si="0"/>
        <v>W</v>
      </c>
      <c r="H46" s="8" t="s">
        <v>169</v>
      </c>
      <c r="I46" s="8" t="s">
        <v>99</v>
      </c>
      <c r="J46" s="8" t="s">
        <v>421</v>
      </c>
      <c r="K46" s="8" t="s">
        <v>514</v>
      </c>
      <c r="L46" s="13" t="str">
        <f t="shared" si="2"/>
        <v>NonID</v>
      </c>
      <c r="M46" s="8" t="s">
        <v>514</v>
      </c>
    </row>
    <row r="47" spans="1:13" hidden="1" x14ac:dyDescent="0.45">
      <c r="A47" t="s">
        <v>35</v>
      </c>
      <c r="B47" t="s">
        <v>35</v>
      </c>
      <c r="C47">
        <v>0.2234759828570142</v>
      </c>
      <c r="D47">
        <v>0.8</v>
      </c>
      <c r="E47">
        <v>0.97068713858475075</v>
      </c>
      <c r="G47" t="str">
        <f t="shared" si="0"/>
        <v>.</v>
      </c>
      <c r="H47" s="8" t="s">
        <v>170</v>
      </c>
      <c r="I47" s="8" t="s">
        <v>171</v>
      </c>
      <c r="J47" s="8" t="s">
        <v>420</v>
      </c>
      <c r="L47" t="str">
        <f t="shared" si="2"/>
        <v>.</v>
      </c>
    </row>
    <row r="48" spans="1:13" hidden="1" x14ac:dyDescent="0.45">
      <c r="A48" t="s">
        <v>40</v>
      </c>
      <c r="B48" t="s">
        <v>40</v>
      </c>
      <c r="C48">
        <v>0.2000285131619168</v>
      </c>
      <c r="D48">
        <v>0.8</v>
      </c>
      <c r="E48">
        <v>0.99996452273258829</v>
      </c>
      <c r="G48" t="str">
        <f t="shared" si="0"/>
        <v>.</v>
      </c>
      <c r="H48" s="8" t="s">
        <v>172</v>
      </c>
      <c r="I48" s="8" t="s">
        <v>173</v>
      </c>
      <c r="J48" s="8" t="s">
        <v>428</v>
      </c>
      <c r="L48" t="str">
        <f t="shared" si="2"/>
        <v>.</v>
      </c>
    </row>
    <row r="49" spans="1:12" hidden="1" x14ac:dyDescent="0.45">
      <c r="A49" t="s">
        <v>28</v>
      </c>
      <c r="B49" t="s">
        <v>28</v>
      </c>
      <c r="C49">
        <v>0.48487363575139147</v>
      </c>
      <c r="D49">
        <v>0.8</v>
      </c>
      <c r="E49">
        <v>0.92413993957478202</v>
      </c>
      <c r="G49" t="str">
        <f t="shared" si="0"/>
        <v>.</v>
      </c>
      <c r="H49" s="8" t="s">
        <v>174</v>
      </c>
      <c r="I49" s="8" t="s">
        <v>99</v>
      </c>
      <c r="J49" s="8" t="s">
        <v>418</v>
      </c>
      <c r="L49" t="str">
        <f t="shared" si="2"/>
        <v>.</v>
      </c>
    </row>
    <row r="50" spans="1:12" hidden="1" x14ac:dyDescent="0.45">
      <c r="A50" t="s">
        <v>35</v>
      </c>
      <c r="B50" t="s">
        <v>35</v>
      </c>
      <c r="C50">
        <v>0.50215592457169067</v>
      </c>
      <c r="D50">
        <v>0.8</v>
      </c>
      <c r="E50">
        <v>0.62245888465685084</v>
      </c>
      <c r="G50" t="str">
        <f t="shared" si="0"/>
        <v>.</v>
      </c>
      <c r="H50" s="8" t="s">
        <v>175</v>
      </c>
      <c r="I50" s="8" t="s">
        <v>99</v>
      </c>
      <c r="J50" s="8" t="s">
        <v>420</v>
      </c>
      <c r="L50" t="str">
        <f t="shared" si="2"/>
        <v>.</v>
      </c>
    </row>
    <row r="51" spans="1:12" hidden="1" x14ac:dyDescent="0.45">
      <c r="A51" t="s">
        <v>32</v>
      </c>
      <c r="B51" t="s">
        <v>32</v>
      </c>
      <c r="C51">
        <v>7.9446139542582728E-6</v>
      </c>
      <c r="D51">
        <v>1</v>
      </c>
      <c r="E51">
        <v>0.99999205818100989</v>
      </c>
      <c r="G51" t="str">
        <f t="shared" si="0"/>
        <v>.</v>
      </c>
      <c r="H51" s="8" t="s">
        <v>176</v>
      </c>
      <c r="I51" s="8" t="s">
        <v>177</v>
      </c>
      <c r="J51" s="8" t="s">
        <v>423</v>
      </c>
      <c r="L51" t="str">
        <f t="shared" si="2"/>
        <v>.</v>
      </c>
    </row>
    <row r="52" spans="1:12" hidden="1" x14ac:dyDescent="0.45">
      <c r="A52" t="s">
        <v>38</v>
      </c>
      <c r="B52" t="s">
        <v>38</v>
      </c>
      <c r="C52">
        <v>0.2059180841358397</v>
      </c>
      <c r="D52">
        <v>0.8</v>
      </c>
      <c r="E52">
        <v>0.99992506849856422</v>
      </c>
      <c r="G52" t="str">
        <f t="shared" si="0"/>
        <v>.</v>
      </c>
      <c r="H52" s="8" t="s">
        <v>178</v>
      </c>
      <c r="I52" s="8" t="s">
        <v>179</v>
      </c>
      <c r="J52" s="8" t="s">
        <v>426</v>
      </c>
      <c r="L52" t="str">
        <f t="shared" si="2"/>
        <v>.</v>
      </c>
    </row>
    <row r="53" spans="1:12" hidden="1" x14ac:dyDescent="0.45">
      <c r="A53" t="s">
        <v>27</v>
      </c>
      <c r="B53" t="s">
        <v>27</v>
      </c>
      <c r="C53">
        <v>0.2001628168337195</v>
      </c>
      <c r="D53">
        <v>0.8</v>
      </c>
      <c r="E53">
        <v>0.99979648032432844</v>
      </c>
      <c r="G53" t="str">
        <f t="shared" si="0"/>
        <v>.</v>
      </c>
      <c r="H53" s="8" t="s">
        <v>180</v>
      </c>
      <c r="I53" s="8" t="s">
        <v>181</v>
      </c>
      <c r="J53" s="8" t="s">
        <v>417</v>
      </c>
      <c r="L53" t="str">
        <f t="shared" si="2"/>
        <v>.</v>
      </c>
    </row>
    <row r="54" spans="1:12" x14ac:dyDescent="0.45">
      <c r="A54" t="s">
        <v>38</v>
      </c>
      <c r="B54" t="s">
        <v>43</v>
      </c>
      <c r="C54">
        <v>0.22995957152701441</v>
      </c>
      <c r="D54">
        <v>0.8</v>
      </c>
      <c r="E54">
        <v>0.96267167083151306</v>
      </c>
      <c r="G54" t="str">
        <f t="shared" si="0"/>
        <v>W</v>
      </c>
      <c r="H54" s="8" t="s">
        <v>182</v>
      </c>
      <c r="I54" s="8" t="s">
        <v>99</v>
      </c>
      <c r="J54" s="8" t="s">
        <v>426</v>
      </c>
      <c r="K54" s="8" t="s">
        <v>515</v>
      </c>
      <c r="L54" t="str">
        <f t="shared" si="2"/>
        <v>.</v>
      </c>
    </row>
    <row r="55" spans="1:12" hidden="1" x14ac:dyDescent="0.45">
      <c r="A55" t="s">
        <v>26</v>
      </c>
      <c r="B55" t="s">
        <v>26</v>
      </c>
      <c r="C55">
        <v>0.2299959283370695</v>
      </c>
      <c r="D55">
        <v>0.8</v>
      </c>
      <c r="E55">
        <v>0.96267277897766457</v>
      </c>
      <c r="G55" t="str">
        <f t="shared" si="0"/>
        <v>.</v>
      </c>
      <c r="H55" s="8" t="s">
        <v>183</v>
      </c>
      <c r="I55" s="8" t="s">
        <v>184</v>
      </c>
      <c r="J55" s="8" t="s">
        <v>416</v>
      </c>
      <c r="L55" t="str">
        <f t="shared" si="2"/>
        <v>.</v>
      </c>
    </row>
    <row r="56" spans="1:12" hidden="1" x14ac:dyDescent="0.45">
      <c r="A56" t="s">
        <v>36</v>
      </c>
      <c r="B56" t="s">
        <v>36</v>
      </c>
      <c r="C56">
        <v>0.2015414205435774</v>
      </c>
      <c r="D56">
        <v>0.8</v>
      </c>
      <c r="E56">
        <v>0.99807322600355197</v>
      </c>
      <c r="G56" t="str">
        <f t="shared" si="0"/>
        <v>.</v>
      </c>
      <c r="H56" s="8" t="s">
        <v>185</v>
      </c>
      <c r="I56" s="8" t="s">
        <v>186</v>
      </c>
      <c r="J56" s="8" t="s">
        <v>425</v>
      </c>
      <c r="L56" t="str">
        <f t="shared" si="2"/>
        <v>.</v>
      </c>
    </row>
    <row r="57" spans="1:12" hidden="1" x14ac:dyDescent="0.45">
      <c r="A57" t="s">
        <v>44</v>
      </c>
      <c r="B57" t="s">
        <v>44</v>
      </c>
      <c r="C57">
        <v>0.2298639858944482</v>
      </c>
      <c r="D57">
        <v>0.8</v>
      </c>
      <c r="E57">
        <v>0.96267122613891776</v>
      </c>
      <c r="G57" t="str">
        <f t="shared" si="0"/>
        <v>.</v>
      </c>
      <c r="H57" s="8" t="s">
        <v>187</v>
      </c>
      <c r="I57" s="8" t="s">
        <v>99</v>
      </c>
      <c r="J57" s="8" t="s">
        <v>431</v>
      </c>
      <c r="L57" t="str">
        <f t="shared" si="2"/>
        <v>.</v>
      </c>
    </row>
    <row r="58" spans="1:12" hidden="1" x14ac:dyDescent="0.45">
      <c r="A58" t="s">
        <v>31</v>
      </c>
      <c r="B58" t="s">
        <v>31</v>
      </c>
      <c r="C58">
        <v>0.20034456360657049</v>
      </c>
      <c r="D58">
        <v>0.8</v>
      </c>
      <c r="E58">
        <v>0.99956942349659961</v>
      </c>
      <c r="G58" t="str">
        <f t="shared" si="0"/>
        <v>.</v>
      </c>
      <c r="H58" s="8" t="s">
        <v>188</v>
      </c>
      <c r="I58" s="8" t="s">
        <v>99</v>
      </c>
      <c r="J58" s="8" t="s">
        <v>422</v>
      </c>
      <c r="L58" t="str">
        <f t="shared" si="2"/>
        <v>.</v>
      </c>
    </row>
    <row r="59" spans="1:12" hidden="1" x14ac:dyDescent="0.45">
      <c r="A59" t="s">
        <v>27</v>
      </c>
      <c r="B59" t="s">
        <v>27</v>
      </c>
      <c r="C59">
        <v>0.20000149075874021</v>
      </c>
      <c r="D59">
        <v>0.8</v>
      </c>
      <c r="E59">
        <v>0.99999813753780198</v>
      </c>
      <c r="G59" t="str">
        <f t="shared" si="0"/>
        <v>.</v>
      </c>
      <c r="H59" s="8" t="s">
        <v>189</v>
      </c>
      <c r="I59" s="8" t="s">
        <v>190</v>
      </c>
      <c r="J59" s="8" t="s">
        <v>417</v>
      </c>
      <c r="L59" t="str">
        <f t="shared" si="2"/>
        <v>.</v>
      </c>
    </row>
    <row r="60" spans="1:12" hidden="1" x14ac:dyDescent="0.45">
      <c r="A60" t="s">
        <v>39</v>
      </c>
      <c r="B60" t="s">
        <v>39</v>
      </c>
      <c r="C60">
        <v>0.2000283819010481</v>
      </c>
      <c r="D60">
        <v>0.8</v>
      </c>
      <c r="E60">
        <v>0.99996452273258829</v>
      </c>
      <c r="G60" t="str">
        <f t="shared" si="0"/>
        <v>.</v>
      </c>
      <c r="H60" s="8" t="s">
        <v>191</v>
      </c>
      <c r="I60" s="8" t="s">
        <v>192</v>
      </c>
      <c r="J60" s="8" t="s">
        <v>427</v>
      </c>
      <c r="L60" t="str">
        <f t="shared" si="2"/>
        <v>.</v>
      </c>
    </row>
    <row r="61" spans="1:12" hidden="1" x14ac:dyDescent="0.45">
      <c r="A61" t="s">
        <v>41</v>
      </c>
      <c r="B61" t="s">
        <v>41</v>
      </c>
      <c r="C61">
        <v>0.200099670935216</v>
      </c>
      <c r="D61">
        <v>0.8</v>
      </c>
      <c r="E61">
        <v>0.99987656475506059</v>
      </c>
      <c r="G61" t="str">
        <f t="shared" si="0"/>
        <v>.</v>
      </c>
      <c r="H61" s="8" t="s">
        <v>193</v>
      </c>
      <c r="I61" s="8" t="s">
        <v>99</v>
      </c>
      <c r="J61" s="8" t="s">
        <v>429</v>
      </c>
      <c r="L61" t="str">
        <f t="shared" si="2"/>
        <v>.</v>
      </c>
    </row>
    <row r="62" spans="1:12" hidden="1" x14ac:dyDescent="0.45">
      <c r="A62" t="s">
        <v>41</v>
      </c>
      <c r="B62" t="s">
        <v>41</v>
      </c>
      <c r="C62">
        <v>0.20020928263645671</v>
      </c>
      <c r="D62">
        <v>0.8</v>
      </c>
      <c r="E62">
        <v>0.99973869830781348</v>
      </c>
      <c r="G62" t="str">
        <f t="shared" si="0"/>
        <v>.</v>
      </c>
      <c r="H62" s="8" t="s">
        <v>194</v>
      </c>
      <c r="I62" s="8" t="s">
        <v>99</v>
      </c>
      <c r="J62" s="8" t="s">
        <v>429</v>
      </c>
      <c r="L62" t="str">
        <f t="shared" si="2"/>
        <v>.</v>
      </c>
    </row>
    <row r="63" spans="1:12" hidden="1" x14ac:dyDescent="0.45">
      <c r="A63" t="s">
        <v>29</v>
      </c>
      <c r="B63" t="s">
        <v>29</v>
      </c>
      <c r="C63">
        <v>0.2379418432478774</v>
      </c>
      <c r="D63">
        <v>0.8</v>
      </c>
      <c r="E63">
        <v>0.95257269983851356</v>
      </c>
      <c r="G63" t="str">
        <f t="shared" si="0"/>
        <v>.</v>
      </c>
      <c r="H63" s="8" t="s">
        <v>195</v>
      </c>
      <c r="I63" s="8" t="s">
        <v>196</v>
      </c>
      <c r="J63" s="8" t="s">
        <v>419</v>
      </c>
      <c r="L63" t="str">
        <f t="shared" si="2"/>
        <v>.</v>
      </c>
    </row>
    <row r="64" spans="1:12" hidden="1" x14ac:dyDescent="0.45">
      <c r="A64" t="s">
        <v>38</v>
      </c>
      <c r="B64" t="s">
        <v>38</v>
      </c>
      <c r="C64">
        <v>0.2009559817894323</v>
      </c>
      <c r="D64">
        <v>0.8</v>
      </c>
      <c r="E64">
        <v>0.99883045900532441</v>
      </c>
      <c r="G64" t="str">
        <f t="shared" si="0"/>
        <v>.</v>
      </c>
      <c r="H64" s="8" t="s">
        <v>197</v>
      </c>
      <c r="I64" s="8" t="s">
        <v>198</v>
      </c>
      <c r="J64" s="8" t="s">
        <v>426</v>
      </c>
      <c r="L64" t="str">
        <f t="shared" si="2"/>
        <v>.</v>
      </c>
    </row>
    <row r="65" spans="1:12" hidden="1" x14ac:dyDescent="0.45">
      <c r="A65" t="s">
        <v>28</v>
      </c>
      <c r="B65" t="s">
        <v>28</v>
      </c>
      <c r="C65">
        <v>0.21127879397638699</v>
      </c>
      <c r="D65">
        <v>0.8</v>
      </c>
      <c r="E65">
        <v>0.98593608654391374</v>
      </c>
      <c r="G65" t="str">
        <f t="shared" si="0"/>
        <v>.</v>
      </c>
      <c r="H65" s="8" t="s">
        <v>199</v>
      </c>
      <c r="I65" s="8" t="s">
        <v>200</v>
      </c>
      <c r="J65" s="8" t="s">
        <v>418</v>
      </c>
      <c r="L65" t="str">
        <f t="shared" si="2"/>
        <v>.</v>
      </c>
    </row>
    <row r="66" spans="1:12" hidden="1" x14ac:dyDescent="0.45">
      <c r="A66" t="s">
        <v>38</v>
      </c>
      <c r="B66" t="s">
        <v>38</v>
      </c>
      <c r="C66">
        <v>0.23595553459452959</v>
      </c>
      <c r="D66">
        <v>0.8</v>
      </c>
      <c r="E66">
        <v>0.99908895173900303</v>
      </c>
      <c r="G66" t="str">
        <f t="shared" si="0"/>
        <v>.</v>
      </c>
      <c r="H66" s="8" t="s">
        <v>201</v>
      </c>
      <c r="I66" s="8" t="s">
        <v>202</v>
      </c>
      <c r="J66" s="8" t="s">
        <v>426</v>
      </c>
      <c r="L66" t="str">
        <f t="shared" si="2"/>
        <v>.</v>
      </c>
    </row>
    <row r="67" spans="1:12" x14ac:dyDescent="0.45">
      <c r="A67" t="s">
        <v>38</v>
      </c>
      <c r="B67" t="s">
        <v>43</v>
      </c>
      <c r="C67">
        <v>0.241407191484033</v>
      </c>
      <c r="D67">
        <v>0.8</v>
      </c>
      <c r="E67">
        <v>0.96267155965834494</v>
      </c>
      <c r="G67" t="str">
        <f t="shared" ref="G67:G130" si="3">IF(A67=B67,".","W")</f>
        <v>W</v>
      </c>
      <c r="H67" s="8" t="s">
        <v>203</v>
      </c>
      <c r="I67" s="8" t="s">
        <v>99</v>
      </c>
      <c r="J67" s="8" t="s">
        <v>426</v>
      </c>
      <c r="K67" s="8" t="s">
        <v>515</v>
      </c>
      <c r="L67" t="str">
        <f t="shared" si="2"/>
        <v>.</v>
      </c>
    </row>
    <row r="68" spans="1:12" hidden="1" x14ac:dyDescent="0.45">
      <c r="A68" t="s">
        <v>19</v>
      </c>
      <c r="B68" t="s">
        <v>29</v>
      </c>
      <c r="C68">
        <v>0.98277357041580271</v>
      </c>
      <c r="D68">
        <v>0.8</v>
      </c>
      <c r="E68">
        <v>2.2977350978354839E-2</v>
      </c>
      <c r="G68" t="str">
        <f t="shared" si="3"/>
        <v>W</v>
      </c>
      <c r="H68" s="8" t="s">
        <v>204</v>
      </c>
      <c r="I68" s="8" t="s">
        <v>205</v>
      </c>
      <c r="J68" s="8" t="s">
        <v>432</v>
      </c>
      <c r="L68" t="str">
        <f t="shared" si="2"/>
        <v>NonID</v>
      </c>
    </row>
    <row r="69" spans="1:12" x14ac:dyDescent="0.45">
      <c r="A69" t="s">
        <v>45</v>
      </c>
      <c r="B69" t="s">
        <v>46</v>
      </c>
      <c r="C69">
        <v>0.77760930201359513</v>
      </c>
      <c r="D69">
        <v>0.8</v>
      </c>
      <c r="E69">
        <v>0.851952557223148</v>
      </c>
      <c r="G69" t="str">
        <f t="shared" si="3"/>
        <v>W</v>
      </c>
      <c r="H69" s="8" t="s">
        <v>206</v>
      </c>
      <c r="I69" s="8" t="s">
        <v>207</v>
      </c>
      <c r="J69" s="8" t="s">
        <v>433</v>
      </c>
      <c r="K69" s="8" t="s">
        <v>515</v>
      </c>
      <c r="L69" t="str">
        <f t="shared" si="2"/>
        <v>.</v>
      </c>
    </row>
    <row r="70" spans="1:12" hidden="1" x14ac:dyDescent="0.45">
      <c r="A70" t="s">
        <v>35</v>
      </c>
      <c r="B70" t="s">
        <v>35</v>
      </c>
      <c r="C70">
        <v>0.27668888318056878</v>
      </c>
      <c r="D70">
        <v>0.8</v>
      </c>
      <c r="E70">
        <v>0.90464760089660889</v>
      </c>
      <c r="G70" t="str">
        <f t="shared" si="3"/>
        <v>.</v>
      </c>
      <c r="H70" s="8" t="s">
        <v>208</v>
      </c>
      <c r="I70" s="8" t="s">
        <v>99</v>
      </c>
      <c r="J70" s="8" t="s">
        <v>420</v>
      </c>
      <c r="L70" t="str">
        <f t="shared" si="2"/>
        <v>.</v>
      </c>
    </row>
    <row r="71" spans="1:12" hidden="1" x14ac:dyDescent="0.45">
      <c r="A71" t="s">
        <v>27</v>
      </c>
      <c r="B71" t="s">
        <v>27</v>
      </c>
      <c r="C71">
        <v>0.2000172431051096</v>
      </c>
      <c r="D71">
        <v>0.8</v>
      </c>
      <c r="E71">
        <v>0.99997846916345023</v>
      </c>
      <c r="G71" t="str">
        <f t="shared" si="3"/>
        <v>.</v>
      </c>
      <c r="H71" s="8" t="s">
        <v>209</v>
      </c>
      <c r="I71" s="8" t="s">
        <v>210</v>
      </c>
      <c r="J71" s="8" t="s">
        <v>417</v>
      </c>
      <c r="L71" t="str">
        <f t="shared" si="2"/>
        <v>.</v>
      </c>
    </row>
    <row r="72" spans="1:12" hidden="1" x14ac:dyDescent="0.45">
      <c r="A72" t="s">
        <v>39</v>
      </c>
      <c r="B72" t="s">
        <v>39</v>
      </c>
      <c r="C72">
        <v>0.20154338297348301</v>
      </c>
      <c r="D72">
        <v>0.8</v>
      </c>
      <c r="E72">
        <v>0.99807322600355197</v>
      </c>
      <c r="G72" t="str">
        <f t="shared" si="3"/>
        <v>.</v>
      </c>
      <c r="H72" s="8" t="s">
        <v>211</v>
      </c>
      <c r="I72" s="8" t="s">
        <v>212</v>
      </c>
      <c r="J72" s="8" t="s">
        <v>427</v>
      </c>
      <c r="L72" t="str">
        <f t="shared" si="2"/>
        <v>.</v>
      </c>
    </row>
    <row r="73" spans="1:12" hidden="1" x14ac:dyDescent="0.45">
      <c r="A73" t="s">
        <v>26</v>
      </c>
      <c r="B73" t="s">
        <v>26</v>
      </c>
      <c r="C73">
        <v>0.20417616894807561</v>
      </c>
      <c r="D73">
        <v>0.8</v>
      </c>
      <c r="E73">
        <v>0.99477978997431815</v>
      </c>
      <c r="G73" t="str">
        <f t="shared" si="3"/>
        <v>.</v>
      </c>
      <c r="H73" s="8" t="s">
        <v>213</v>
      </c>
      <c r="I73" s="8" t="s">
        <v>214</v>
      </c>
      <c r="J73" s="8" t="s">
        <v>416</v>
      </c>
      <c r="L73" t="str">
        <f t="shared" si="2"/>
        <v>.</v>
      </c>
    </row>
    <row r="74" spans="1:12" hidden="1" x14ac:dyDescent="0.45">
      <c r="A74" t="s">
        <v>41</v>
      </c>
      <c r="B74" t="s">
        <v>41</v>
      </c>
      <c r="C74">
        <v>0.27628020377843632</v>
      </c>
      <c r="D74">
        <v>0.8</v>
      </c>
      <c r="E74">
        <v>0.9046501419366757</v>
      </c>
      <c r="G74" t="str">
        <f t="shared" si="3"/>
        <v>.</v>
      </c>
      <c r="H74" s="8" t="s">
        <v>215</v>
      </c>
      <c r="I74" s="8" t="s">
        <v>99</v>
      </c>
      <c r="J74" s="8" t="s">
        <v>429</v>
      </c>
      <c r="L74" t="str">
        <f t="shared" si="2"/>
        <v>.</v>
      </c>
    </row>
    <row r="75" spans="1:12" hidden="1" x14ac:dyDescent="0.45">
      <c r="A75" t="s">
        <v>35</v>
      </c>
      <c r="B75" t="s">
        <v>35</v>
      </c>
      <c r="C75">
        <v>0.21838296444008401</v>
      </c>
      <c r="D75">
        <v>0.8</v>
      </c>
      <c r="E75">
        <v>0.97702261672772872</v>
      </c>
      <c r="G75" t="str">
        <f t="shared" si="3"/>
        <v>.</v>
      </c>
      <c r="H75" s="8" t="s">
        <v>216</v>
      </c>
      <c r="I75" s="8" t="s">
        <v>99</v>
      </c>
      <c r="J75" s="8" t="s">
        <v>420</v>
      </c>
      <c r="L75" t="str">
        <f t="shared" si="2"/>
        <v>.</v>
      </c>
    </row>
    <row r="76" spans="1:12" hidden="1" x14ac:dyDescent="0.45">
      <c r="A76" t="s">
        <v>47</v>
      </c>
      <c r="B76" t="s">
        <v>47</v>
      </c>
      <c r="C76">
        <v>0.2019780781512219</v>
      </c>
      <c r="D76">
        <v>0.8</v>
      </c>
      <c r="E76">
        <v>0.99752740325115785</v>
      </c>
      <c r="G76" t="str">
        <f t="shared" si="3"/>
        <v>.</v>
      </c>
      <c r="H76" s="8" t="s">
        <v>217</v>
      </c>
      <c r="I76" s="8" t="s">
        <v>218</v>
      </c>
      <c r="J76" s="8" t="s">
        <v>434</v>
      </c>
      <c r="L76" t="str">
        <f t="shared" si="2"/>
        <v>.</v>
      </c>
    </row>
    <row r="77" spans="1:12" hidden="1" x14ac:dyDescent="0.45">
      <c r="A77" t="s">
        <v>38</v>
      </c>
      <c r="B77" t="s">
        <v>38</v>
      </c>
      <c r="C77">
        <v>0.20417852969899669</v>
      </c>
      <c r="D77">
        <v>0.8</v>
      </c>
      <c r="E77">
        <v>0.99477978997431815</v>
      </c>
      <c r="G77" t="str">
        <f t="shared" si="3"/>
        <v>.</v>
      </c>
      <c r="H77" s="8" t="s">
        <v>219</v>
      </c>
      <c r="I77" s="8" t="s">
        <v>220</v>
      </c>
      <c r="J77" s="8" t="s">
        <v>426</v>
      </c>
      <c r="L77" t="str">
        <f t="shared" si="2"/>
        <v>.</v>
      </c>
    </row>
    <row r="78" spans="1:12" hidden="1" x14ac:dyDescent="0.45">
      <c r="A78" t="s">
        <v>41</v>
      </c>
      <c r="B78" t="s">
        <v>41</v>
      </c>
      <c r="C78">
        <v>0.2000987520295556</v>
      </c>
      <c r="D78">
        <v>0.8</v>
      </c>
      <c r="E78">
        <v>0.99987656475506059</v>
      </c>
      <c r="G78" t="str">
        <f t="shared" si="3"/>
        <v>.</v>
      </c>
      <c r="H78" s="8" t="s">
        <v>221</v>
      </c>
      <c r="I78" s="8" t="s">
        <v>222</v>
      </c>
      <c r="J78" s="8" t="s">
        <v>429</v>
      </c>
      <c r="L78" t="str">
        <f t="shared" si="2"/>
        <v>.</v>
      </c>
    </row>
    <row r="79" spans="1:12" hidden="1" x14ac:dyDescent="0.45">
      <c r="A79" t="s">
        <v>41</v>
      </c>
      <c r="B79" t="s">
        <v>41</v>
      </c>
      <c r="C79">
        <v>0.20253813749112859</v>
      </c>
      <c r="D79">
        <v>0.8</v>
      </c>
      <c r="E79">
        <v>0.99682732998531542</v>
      </c>
      <c r="G79" t="str">
        <f t="shared" si="3"/>
        <v>.</v>
      </c>
      <c r="H79" s="8" t="s">
        <v>223</v>
      </c>
      <c r="I79" s="8" t="s">
        <v>224</v>
      </c>
      <c r="J79" s="8" t="s">
        <v>429</v>
      </c>
      <c r="L79" t="str">
        <f t="shared" ref="L79:L142" si="4">IF(C79&lt;=$L$1,".","NonID")</f>
        <v>.</v>
      </c>
    </row>
    <row r="80" spans="1:12" hidden="1" x14ac:dyDescent="0.45">
      <c r="A80" t="s">
        <v>41</v>
      </c>
      <c r="B80" t="s">
        <v>41</v>
      </c>
      <c r="C80">
        <v>0.20012677847655841</v>
      </c>
      <c r="D80">
        <v>0.8</v>
      </c>
      <c r="E80">
        <v>0.99984152748927191</v>
      </c>
      <c r="G80" t="str">
        <f t="shared" si="3"/>
        <v>.</v>
      </c>
      <c r="H80" s="8" t="s">
        <v>225</v>
      </c>
      <c r="I80" s="8" t="s">
        <v>226</v>
      </c>
      <c r="J80" s="8" t="s">
        <v>429</v>
      </c>
      <c r="L80" t="str">
        <f t="shared" si="4"/>
        <v>.</v>
      </c>
    </row>
    <row r="81" spans="1:13" hidden="1" x14ac:dyDescent="0.45">
      <c r="A81" t="s">
        <v>27</v>
      </c>
      <c r="B81" t="s">
        <v>27</v>
      </c>
      <c r="C81">
        <v>0.20001341643075071</v>
      </c>
      <c r="D81">
        <v>0.8</v>
      </c>
      <c r="E81">
        <v>0.99998323721818272</v>
      </c>
      <c r="G81" t="str">
        <f t="shared" si="3"/>
        <v>.</v>
      </c>
      <c r="H81" s="8" t="s">
        <v>227</v>
      </c>
      <c r="I81" s="8" t="s">
        <v>228</v>
      </c>
      <c r="J81" s="8" t="s">
        <v>417</v>
      </c>
      <c r="L81" t="str">
        <f t="shared" si="4"/>
        <v>.</v>
      </c>
    </row>
    <row r="82" spans="1:13" hidden="1" x14ac:dyDescent="0.45">
      <c r="A82" t="s">
        <v>35</v>
      </c>
      <c r="B82" t="s">
        <v>35</v>
      </c>
      <c r="C82">
        <v>0.20093563318836391</v>
      </c>
      <c r="D82">
        <v>0.8</v>
      </c>
      <c r="E82">
        <v>0.99883045900532441</v>
      </c>
      <c r="G82" t="str">
        <f t="shared" si="3"/>
        <v>.</v>
      </c>
      <c r="H82" s="8" t="s">
        <v>229</v>
      </c>
      <c r="I82" s="8" t="s">
        <v>230</v>
      </c>
      <c r="J82" s="8" t="s">
        <v>420</v>
      </c>
      <c r="L82" t="str">
        <f t="shared" si="4"/>
        <v>.</v>
      </c>
    </row>
    <row r="83" spans="1:13" hidden="1" x14ac:dyDescent="0.45">
      <c r="A83" t="s">
        <v>29</v>
      </c>
      <c r="B83" t="s">
        <v>29</v>
      </c>
      <c r="C83">
        <v>0.2379408869769781</v>
      </c>
      <c r="D83">
        <v>0.8</v>
      </c>
      <c r="E83">
        <v>0.95257389217216504</v>
      </c>
      <c r="G83" t="str">
        <f t="shared" si="3"/>
        <v>.</v>
      </c>
      <c r="H83" s="8" t="s">
        <v>231</v>
      </c>
      <c r="I83" s="8" t="s">
        <v>232</v>
      </c>
      <c r="J83" s="8" t="s">
        <v>419</v>
      </c>
      <c r="L83" t="str">
        <f t="shared" si="4"/>
        <v>.</v>
      </c>
    </row>
    <row r="84" spans="1:13" hidden="1" x14ac:dyDescent="0.45">
      <c r="A84" t="s">
        <v>36</v>
      </c>
      <c r="B84" t="s">
        <v>36</v>
      </c>
      <c r="C84">
        <v>0.20253813619994229</v>
      </c>
      <c r="D84">
        <v>0.8</v>
      </c>
      <c r="E84">
        <v>0.99682732998531542</v>
      </c>
      <c r="G84" t="str">
        <f t="shared" si="3"/>
        <v>.</v>
      </c>
      <c r="H84" s="8" t="s">
        <v>233</v>
      </c>
      <c r="I84" s="8" t="s">
        <v>234</v>
      </c>
      <c r="J84" s="8" t="s">
        <v>425</v>
      </c>
      <c r="L84" t="str">
        <f t="shared" si="4"/>
        <v>.</v>
      </c>
    </row>
    <row r="85" spans="1:13" hidden="1" x14ac:dyDescent="0.45">
      <c r="A85" t="s">
        <v>40</v>
      </c>
      <c r="B85" t="s">
        <v>40</v>
      </c>
      <c r="C85">
        <v>0.2012009864846552</v>
      </c>
      <c r="D85">
        <v>0.8</v>
      </c>
      <c r="E85">
        <v>0.99849876799337189</v>
      </c>
      <c r="G85" t="str">
        <f t="shared" si="3"/>
        <v>.</v>
      </c>
      <c r="H85" s="8" t="s">
        <v>235</v>
      </c>
      <c r="I85" s="8" t="s">
        <v>99</v>
      </c>
      <c r="J85" s="8" t="s">
        <v>428</v>
      </c>
      <c r="L85" t="str">
        <f t="shared" si="4"/>
        <v>.</v>
      </c>
    </row>
    <row r="86" spans="1:13" hidden="1" x14ac:dyDescent="0.45">
      <c r="A86" t="s">
        <v>31</v>
      </c>
      <c r="B86" t="s">
        <v>31</v>
      </c>
      <c r="C86">
        <v>0.25409120125984358</v>
      </c>
      <c r="D86">
        <v>0.8</v>
      </c>
      <c r="E86">
        <v>0.99956942349659961</v>
      </c>
      <c r="G86" t="str">
        <f t="shared" si="3"/>
        <v>.</v>
      </c>
      <c r="H86" s="8" t="s">
        <v>236</v>
      </c>
      <c r="I86" s="8" t="s">
        <v>237</v>
      </c>
      <c r="J86" s="8" t="s">
        <v>422</v>
      </c>
      <c r="L86" t="str">
        <f t="shared" si="4"/>
        <v>.</v>
      </c>
    </row>
    <row r="87" spans="1:13" hidden="1" x14ac:dyDescent="0.45">
      <c r="A87" t="s">
        <v>48</v>
      </c>
      <c r="B87" t="s">
        <v>48</v>
      </c>
      <c r="C87">
        <v>0.97594812571173317</v>
      </c>
      <c r="D87">
        <v>0.8</v>
      </c>
      <c r="E87">
        <v>4.7425840647360419E-2</v>
      </c>
      <c r="G87" t="str">
        <f t="shared" si="3"/>
        <v>.</v>
      </c>
      <c r="H87" s="8" t="s">
        <v>238</v>
      </c>
      <c r="I87" s="8" t="s">
        <v>239</v>
      </c>
      <c r="J87" s="8" t="s">
        <v>435</v>
      </c>
      <c r="L87" s="13" t="str">
        <f t="shared" si="4"/>
        <v>NonID</v>
      </c>
      <c r="M87" s="8" t="s">
        <v>515</v>
      </c>
    </row>
    <row r="88" spans="1:13" x14ac:dyDescent="0.45">
      <c r="A88" t="s">
        <v>30</v>
      </c>
      <c r="B88" t="s">
        <v>37</v>
      </c>
      <c r="C88">
        <v>1</v>
      </c>
      <c r="D88">
        <v>0.8</v>
      </c>
      <c r="E88">
        <v>1.0986931105910241E-2</v>
      </c>
      <c r="G88" t="str">
        <f t="shared" si="3"/>
        <v>W</v>
      </c>
      <c r="H88" s="8" t="s">
        <v>240</v>
      </c>
      <c r="I88" s="8" t="s">
        <v>99</v>
      </c>
      <c r="J88" s="8" t="s">
        <v>421</v>
      </c>
      <c r="K88" s="8" t="s">
        <v>514</v>
      </c>
      <c r="L88" s="13" t="str">
        <f t="shared" si="4"/>
        <v>NonID</v>
      </c>
      <c r="M88" s="8" t="s">
        <v>514</v>
      </c>
    </row>
    <row r="89" spans="1:13" hidden="1" x14ac:dyDescent="0.45">
      <c r="A89" t="s">
        <v>28</v>
      </c>
      <c r="B89" t="s">
        <v>28</v>
      </c>
      <c r="C89">
        <v>0.21439423629783869</v>
      </c>
      <c r="D89">
        <v>0.8</v>
      </c>
      <c r="E89">
        <v>0.9820137760522224</v>
      </c>
      <c r="G89" t="str">
        <f t="shared" si="3"/>
        <v>.</v>
      </c>
      <c r="H89" s="8" t="s">
        <v>241</v>
      </c>
      <c r="I89" s="8" t="s">
        <v>242</v>
      </c>
      <c r="J89" s="8" t="s">
        <v>418</v>
      </c>
      <c r="L89" t="str">
        <f t="shared" si="4"/>
        <v>.</v>
      </c>
    </row>
    <row r="90" spans="1:13" hidden="1" x14ac:dyDescent="0.45">
      <c r="A90" t="s">
        <v>45</v>
      </c>
      <c r="B90" t="s">
        <v>45</v>
      </c>
      <c r="C90">
        <v>0.20076613615200681</v>
      </c>
      <c r="D90">
        <v>0.8</v>
      </c>
      <c r="E90">
        <v>0.99908895173900303</v>
      </c>
      <c r="G90" t="str">
        <f t="shared" si="3"/>
        <v>.</v>
      </c>
      <c r="H90" s="8" t="s">
        <v>243</v>
      </c>
      <c r="I90" s="8" t="s">
        <v>244</v>
      </c>
      <c r="J90" s="8" t="s">
        <v>433</v>
      </c>
      <c r="L90" t="str">
        <f t="shared" si="4"/>
        <v>.</v>
      </c>
    </row>
    <row r="91" spans="1:13" hidden="1" x14ac:dyDescent="0.45">
      <c r="A91" t="s">
        <v>35</v>
      </c>
      <c r="B91" t="s">
        <v>35</v>
      </c>
      <c r="C91">
        <v>0.2007774844520481</v>
      </c>
      <c r="D91">
        <v>0.8</v>
      </c>
      <c r="E91">
        <v>0.99908895173900303</v>
      </c>
      <c r="G91" t="str">
        <f t="shared" si="3"/>
        <v>.</v>
      </c>
      <c r="H91" s="8" t="s">
        <v>245</v>
      </c>
      <c r="I91" s="8" t="s">
        <v>246</v>
      </c>
      <c r="J91" s="8" t="s">
        <v>420</v>
      </c>
      <c r="L91" t="str">
        <f t="shared" si="4"/>
        <v>.</v>
      </c>
    </row>
    <row r="92" spans="1:13" hidden="1" x14ac:dyDescent="0.45">
      <c r="A92" t="s">
        <v>26</v>
      </c>
      <c r="B92" t="s">
        <v>26</v>
      </c>
      <c r="C92">
        <v>0.22986275528600869</v>
      </c>
      <c r="D92">
        <v>0.8</v>
      </c>
      <c r="E92">
        <v>0.96267178200469405</v>
      </c>
      <c r="G92" t="str">
        <f t="shared" si="3"/>
        <v>.</v>
      </c>
      <c r="H92" s="8" t="s">
        <v>247</v>
      </c>
      <c r="I92" s="8" t="s">
        <v>248</v>
      </c>
      <c r="J92" s="8" t="s">
        <v>416</v>
      </c>
      <c r="L92" t="str">
        <f t="shared" si="4"/>
        <v>.</v>
      </c>
    </row>
    <row r="93" spans="1:13" hidden="1" x14ac:dyDescent="0.45">
      <c r="A93" t="s">
        <v>35</v>
      </c>
      <c r="B93" t="s">
        <v>35</v>
      </c>
      <c r="C93">
        <v>0.2025381498770292</v>
      </c>
      <c r="D93">
        <v>0.8</v>
      </c>
      <c r="E93">
        <v>0.99682732998531542</v>
      </c>
      <c r="G93" t="str">
        <f t="shared" si="3"/>
        <v>.</v>
      </c>
      <c r="H93" s="8" t="s">
        <v>249</v>
      </c>
      <c r="I93" s="8" t="s">
        <v>250</v>
      </c>
      <c r="J93" s="8" t="s">
        <v>420</v>
      </c>
      <c r="L93" t="str">
        <f t="shared" si="4"/>
        <v>.</v>
      </c>
    </row>
    <row r="94" spans="1:13" hidden="1" x14ac:dyDescent="0.45">
      <c r="A94" t="s">
        <v>26</v>
      </c>
      <c r="B94" t="s">
        <v>26</v>
      </c>
      <c r="C94">
        <v>0.2087899036729276</v>
      </c>
      <c r="D94">
        <v>0.8</v>
      </c>
      <c r="E94">
        <v>0.98901298801575388</v>
      </c>
      <c r="G94" t="str">
        <f t="shared" si="3"/>
        <v>.</v>
      </c>
      <c r="H94" s="8" t="s">
        <v>251</v>
      </c>
      <c r="I94" s="8" t="s">
        <v>252</v>
      </c>
      <c r="J94" s="8" t="s">
        <v>416</v>
      </c>
      <c r="L94" t="str">
        <f t="shared" si="4"/>
        <v>.</v>
      </c>
    </row>
    <row r="95" spans="1:13" x14ac:dyDescent="0.45">
      <c r="A95" t="s">
        <v>35</v>
      </c>
      <c r="B95" t="s">
        <v>26</v>
      </c>
      <c r="C95">
        <v>0.95193074966619584</v>
      </c>
      <c r="D95">
        <v>0.8</v>
      </c>
      <c r="E95">
        <v>6.0086591530428023E-2</v>
      </c>
      <c r="G95" t="str">
        <f t="shared" si="3"/>
        <v>W</v>
      </c>
      <c r="H95" s="8" t="s">
        <v>253</v>
      </c>
      <c r="I95" s="8" t="s">
        <v>254</v>
      </c>
      <c r="J95" s="8" t="s">
        <v>420</v>
      </c>
      <c r="K95" s="8" t="s">
        <v>515</v>
      </c>
      <c r="L95" t="str">
        <f t="shared" si="4"/>
        <v>.</v>
      </c>
    </row>
    <row r="96" spans="1:13" hidden="1" x14ac:dyDescent="0.45">
      <c r="A96" t="s">
        <v>27</v>
      </c>
      <c r="B96" t="s">
        <v>27</v>
      </c>
      <c r="C96">
        <v>3.776005873645794E-6</v>
      </c>
      <c r="D96">
        <v>1</v>
      </c>
      <c r="E96">
        <v>0.99999623028458018</v>
      </c>
      <c r="G96" t="str">
        <f t="shared" si="3"/>
        <v>.</v>
      </c>
      <c r="H96" s="8" t="s">
        <v>255</v>
      </c>
      <c r="I96" s="8" t="s">
        <v>256</v>
      </c>
      <c r="J96" s="8" t="s">
        <v>417</v>
      </c>
      <c r="L96" t="str">
        <f t="shared" si="4"/>
        <v>.</v>
      </c>
    </row>
    <row r="97" spans="1:13" hidden="1" x14ac:dyDescent="0.45">
      <c r="A97" t="s">
        <v>27</v>
      </c>
      <c r="B97" t="s">
        <v>27</v>
      </c>
      <c r="C97">
        <v>0.20000561281545129</v>
      </c>
      <c r="D97">
        <v>0.8</v>
      </c>
      <c r="E97">
        <v>0.99999372702007638</v>
      </c>
      <c r="G97" t="str">
        <f t="shared" si="3"/>
        <v>.</v>
      </c>
      <c r="H97" s="8" t="s">
        <v>257</v>
      </c>
      <c r="I97" s="8" t="s">
        <v>258</v>
      </c>
      <c r="J97" s="8" t="s">
        <v>417</v>
      </c>
      <c r="L97" t="str">
        <f t="shared" si="4"/>
        <v>.</v>
      </c>
    </row>
    <row r="98" spans="1:13" hidden="1" x14ac:dyDescent="0.45">
      <c r="A98" t="s">
        <v>35</v>
      </c>
      <c r="B98" t="s">
        <v>35</v>
      </c>
      <c r="C98">
        <v>0.22986978709535369</v>
      </c>
      <c r="D98">
        <v>0.8</v>
      </c>
      <c r="E98">
        <v>0.96267222669754615</v>
      </c>
      <c r="G98" t="str">
        <f t="shared" si="3"/>
        <v>.</v>
      </c>
      <c r="H98" s="8" t="s">
        <v>259</v>
      </c>
      <c r="I98" s="8" t="s">
        <v>99</v>
      </c>
      <c r="J98" s="8" t="s">
        <v>420</v>
      </c>
      <c r="L98" t="str">
        <f t="shared" si="4"/>
        <v>.</v>
      </c>
    </row>
    <row r="99" spans="1:13" hidden="1" x14ac:dyDescent="0.45">
      <c r="A99" t="s">
        <v>35</v>
      </c>
      <c r="B99" t="s">
        <v>35</v>
      </c>
      <c r="C99">
        <v>0.22044228654940029</v>
      </c>
      <c r="D99">
        <v>0.8</v>
      </c>
      <c r="E99">
        <v>0.97702261672772872</v>
      </c>
      <c r="G99" t="str">
        <f t="shared" si="3"/>
        <v>.</v>
      </c>
      <c r="H99" s="8" t="s">
        <v>260</v>
      </c>
      <c r="I99" s="8" t="s">
        <v>99</v>
      </c>
      <c r="J99" s="8" t="s">
        <v>420</v>
      </c>
      <c r="L99" t="str">
        <f t="shared" si="4"/>
        <v>.</v>
      </c>
    </row>
    <row r="100" spans="1:13" hidden="1" x14ac:dyDescent="0.45">
      <c r="A100" t="s">
        <v>49</v>
      </c>
      <c r="B100" t="s">
        <v>49</v>
      </c>
      <c r="C100">
        <v>0.2019782565283342</v>
      </c>
      <c r="D100">
        <v>0.8</v>
      </c>
      <c r="E100">
        <v>0.99752740325115785</v>
      </c>
      <c r="G100" t="str">
        <f t="shared" si="3"/>
        <v>.</v>
      </c>
      <c r="H100" s="8" t="s">
        <v>261</v>
      </c>
      <c r="I100" s="8" t="s">
        <v>262</v>
      </c>
      <c r="J100" s="8" t="s">
        <v>436</v>
      </c>
      <c r="L100" t="str">
        <f t="shared" si="4"/>
        <v>.</v>
      </c>
    </row>
    <row r="101" spans="1:13" hidden="1" x14ac:dyDescent="0.45">
      <c r="A101" t="s">
        <v>35</v>
      </c>
      <c r="B101" t="s">
        <v>35</v>
      </c>
      <c r="C101">
        <v>0.20536759757016279</v>
      </c>
      <c r="D101">
        <v>0.8</v>
      </c>
      <c r="E101">
        <v>0.99330712690641232</v>
      </c>
      <c r="G101" t="str">
        <f t="shared" si="3"/>
        <v>.</v>
      </c>
      <c r="H101" s="8" t="s">
        <v>263</v>
      </c>
      <c r="I101" s="8" t="s">
        <v>264</v>
      </c>
      <c r="J101" s="8" t="s">
        <v>420</v>
      </c>
      <c r="L101" t="str">
        <f t="shared" si="4"/>
        <v>.</v>
      </c>
    </row>
    <row r="102" spans="1:13" hidden="1" x14ac:dyDescent="0.45">
      <c r="A102" t="s">
        <v>41</v>
      </c>
      <c r="B102" t="s">
        <v>41</v>
      </c>
      <c r="C102">
        <v>0.20197807989228769</v>
      </c>
      <c r="D102">
        <v>0.8</v>
      </c>
      <c r="E102">
        <v>0.99752740325115785</v>
      </c>
      <c r="G102" t="str">
        <f t="shared" si="3"/>
        <v>.</v>
      </c>
      <c r="H102" s="8" t="s">
        <v>265</v>
      </c>
      <c r="I102" s="8" t="s">
        <v>266</v>
      </c>
      <c r="J102" s="8" t="s">
        <v>429</v>
      </c>
      <c r="L102" t="str">
        <f t="shared" si="4"/>
        <v>.</v>
      </c>
    </row>
    <row r="103" spans="1:13" hidden="1" x14ac:dyDescent="0.45">
      <c r="A103" t="s">
        <v>35</v>
      </c>
      <c r="B103" t="s">
        <v>35</v>
      </c>
      <c r="C103">
        <v>0.22094644037166891</v>
      </c>
      <c r="D103">
        <v>0.8</v>
      </c>
      <c r="E103">
        <v>0.97702216176622525</v>
      </c>
      <c r="G103" t="str">
        <f t="shared" si="3"/>
        <v>.</v>
      </c>
      <c r="H103" s="8" t="s">
        <v>267</v>
      </c>
      <c r="I103" s="8" t="s">
        <v>99</v>
      </c>
      <c r="J103" s="8" t="s">
        <v>420</v>
      </c>
      <c r="L103" t="str">
        <f t="shared" si="4"/>
        <v>.</v>
      </c>
    </row>
    <row r="104" spans="1:13" hidden="1" x14ac:dyDescent="0.45">
      <c r="A104" t="s">
        <v>35</v>
      </c>
      <c r="B104" t="s">
        <v>35</v>
      </c>
      <c r="C104">
        <v>0.6000149243254419</v>
      </c>
      <c r="D104">
        <v>0.8</v>
      </c>
      <c r="E104">
        <v>0.49999505188664051</v>
      </c>
      <c r="G104" t="str">
        <f t="shared" si="3"/>
        <v>.</v>
      </c>
      <c r="H104" s="8" t="s">
        <v>268</v>
      </c>
      <c r="I104" s="8" t="s">
        <v>99</v>
      </c>
      <c r="J104" s="8" t="s">
        <v>420</v>
      </c>
      <c r="L104" t="str">
        <f t="shared" si="4"/>
        <v>.</v>
      </c>
    </row>
    <row r="105" spans="1:13" hidden="1" x14ac:dyDescent="0.45">
      <c r="A105" t="s">
        <v>26</v>
      </c>
      <c r="B105" t="s">
        <v>26</v>
      </c>
      <c r="C105">
        <v>0.22344993009163891</v>
      </c>
      <c r="D105">
        <v>0.8</v>
      </c>
      <c r="E105">
        <v>0.97068758878823203</v>
      </c>
      <c r="G105" t="str">
        <f t="shared" si="3"/>
        <v>.</v>
      </c>
      <c r="H105" s="8" t="s">
        <v>269</v>
      </c>
      <c r="I105" s="8" t="s">
        <v>270</v>
      </c>
      <c r="J105" s="8" t="s">
        <v>416</v>
      </c>
      <c r="L105" t="str">
        <f t="shared" si="4"/>
        <v>.</v>
      </c>
    </row>
    <row r="106" spans="1:13" hidden="1" x14ac:dyDescent="0.45">
      <c r="A106" t="s">
        <v>35</v>
      </c>
      <c r="B106" t="s">
        <v>35</v>
      </c>
      <c r="C106">
        <v>0.34599823615463632</v>
      </c>
      <c r="D106">
        <v>0.8</v>
      </c>
      <c r="E106">
        <v>0.81757402884027097</v>
      </c>
      <c r="G106" t="str">
        <f t="shared" si="3"/>
        <v>.</v>
      </c>
      <c r="H106" s="8" t="s">
        <v>271</v>
      </c>
      <c r="I106" s="8" t="s">
        <v>99</v>
      </c>
      <c r="J106" s="8" t="s">
        <v>420</v>
      </c>
      <c r="L106" t="str">
        <f t="shared" si="4"/>
        <v>.</v>
      </c>
    </row>
    <row r="107" spans="1:13" hidden="1" x14ac:dyDescent="0.45">
      <c r="A107" t="s">
        <v>38</v>
      </c>
      <c r="B107" t="s">
        <v>38</v>
      </c>
      <c r="C107">
        <v>0.20344921100314339</v>
      </c>
      <c r="D107">
        <v>0.8</v>
      </c>
      <c r="E107">
        <v>0.99682732998531542</v>
      </c>
      <c r="G107" t="str">
        <f t="shared" si="3"/>
        <v>.</v>
      </c>
      <c r="H107" s="8" t="s">
        <v>272</v>
      </c>
      <c r="I107" s="8" t="s">
        <v>273</v>
      </c>
      <c r="J107" s="8" t="s">
        <v>426</v>
      </c>
      <c r="L107" t="str">
        <f t="shared" si="4"/>
        <v>.</v>
      </c>
    </row>
    <row r="108" spans="1:13" x14ac:dyDescent="0.45">
      <c r="A108" t="s">
        <v>30</v>
      </c>
      <c r="B108" t="s">
        <v>37</v>
      </c>
      <c r="C108">
        <v>1</v>
      </c>
      <c r="D108">
        <v>0.8</v>
      </c>
      <c r="E108">
        <v>2.9312190905031461E-2</v>
      </c>
      <c r="G108" t="str">
        <f t="shared" si="3"/>
        <v>W</v>
      </c>
      <c r="H108" s="8" t="s">
        <v>274</v>
      </c>
      <c r="I108" s="8" t="s">
        <v>99</v>
      </c>
      <c r="J108" s="8" t="s">
        <v>421</v>
      </c>
      <c r="K108" s="8" t="s">
        <v>514</v>
      </c>
      <c r="L108" s="13" t="str">
        <f t="shared" si="4"/>
        <v>NonID</v>
      </c>
      <c r="M108" s="8" t="s">
        <v>514</v>
      </c>
    </row>
    <row r="109" spans="1:13" hidden="1" x14ac:dyDescent="0.45">
      <c r="A109" t="s">
        <v>38</v>
      </c>
      <c r="B109" t="s">
        <v>38</v>
      </c>
      <c r="C109">
        <v>0.20219517733970499</v>
      </c>
      <c r="D109">
        <v>0.8</v>
      </c>
      <c r="E109">
        <v>0.99956942349659961</v>
      </c>
      <c r="G109" t="str">
        <f t="shared" si="3"/>
        <v>.</v>
      </c>
      <c r="H109" s="8" t="s">
        <v>275</v>
      </c>
      <c r="I109" s="8" t="s">
        <v>276</v>
      </c>
      <c r="J109" s="8" t="s">
        <v>426</v>
      </c>
      <c r="L109" t="str">
        <f t="shared" si="4"/>
        <v>.</v>
      </c>
    </row>
    <row r="110" spans="1:13" hidden="1" x14ac:dyDescent="0.45">
      <c r="A110" t="s">
        <v>50</v>
      </c>
      <c r="B110" t="s">
        <v>50</v>
      </c>
      <c r="C110">
        <v>0.20686205982426289</v>
      </c>
      <c r="D110">
        <v>0.8</v>
      </c>
      <c r="E110">
        <v>0.99142243010824804</v>
      </c>
      <c r="G110" t="str">
        <f t="shared" si="3"/>
        <v>.</v>
      </c>
      <c r="H110" s="8" t="s">
        <v>277</v>
      </c>
      <c r="I110" s="8" t="s">
        <v>278</v>
      </c>
      <c r="J110" s="8" t="s">
        <v>437</v>
      </c>
      <c r="L110" t="str">
        <f t="shared" si="4"/>
        <v>.</v>
      </c>
    </row>
    <row r="111" spans="1:13" hidden="1" x14ac:dyDescent="0.45">
      <c r="A111" t="s">
        <v>41</v>
      </c>
      <c r="B111" t="s">
        <v>41</v>
      </c>
      <c r="C111">
        <v>0.20003639409587121</v>
      </c>
      <c r="D111">
        <v>0.8</v>
      </c>
      <c r="E111">
        <v>0.99995451003057012</v>
      </c>
      <c r="G111" t="str">
        <f t="shared" si="3"/>
        <v>.</v>
      </c>
      <c r="H111" s="8" t="s">
        <v>279</v>
      </c>
      <c r="I111" s="8" t="s">
        <v>99</v>
      </c>
      <c r="J111" s="8" t="s">
        <v>429</v>
      </c>
      <c r="L111" t="str">
        <f t="shared" si="4"/>
        <v>.</v>
      </c>
    </row>
    <row r="112" spans="1:13" hidden="1" x14ac:dyDescent="0.45">
      <c r="A112" t="s">
        <v>28</v>
      </c>
      <c r="B112" t="s">
        <v>28</v>
      </c>
      <c r="C112">
        <v>0.20093563864838171</v>
      </c>
      <c r="D112">
        <v>0.8</v>
      </c>
      <c r="E112">
        <v>0.99883045900532441</v>
      </c>
      <c r="G112" t="str">
        <f t="shared" si="3"/>
        <v>.</v>
      </c>
      <c r="H112" s="8" t="s">
        <v>280</v>
      </c>
      <c r="I112" s="8" t="s">
        <v>281</v>
      </c>
      <c r="J112" s="8" t="s">
        <v>418</v>
      </c>
      <c r="L112" t="str">
        <f t="shared" si="4"/>
        <v>.</v>
      </c>
    </row>
    <row r="113" spans="1:13" hidden="1" x14ac:dyDescent="0.45">
      <c r="A113" t="s">
        <v>9</v>
      </c>
      <c r="B113" t="s">
        <v>26</v>
      </c>
      <c r="C113">
        <v>0.54911625895504557</v>
      </c>
      <c r="D113">
        <v>0.8</v>
      </c>
      <c r="E113">
        <v>0.62245812407778101</v>
      </c>
      <c r="G113" t="str">
        <f t="shared" si="3"/>
        <v>W</v>
      </c>
      <c r="H113" s="8" t="s">
        <v>282</v>
      </c>
      <c r="I113" s="8" t="s">
        <v>99</v>
      </c>
      <c r="J113" s="8" t="s">
        <v>420</v>
      </c>
      <c r="L113" t="str">
        <f t="shared" si="4"/>
        <v>.</v>
      </c>
    </row>
    <row r="114" spans="1:13" hidden="1" x14ac:dyDescent="0.45">
      <c r="A114" t="s">
        <v>35</v>
      </c>
      <c r="B114" t="s">
        <v>35</v>
      </c>
      <c r="C114">
        <v>0.37822344860161677</v>
      </c>
      <c r="D114">
        <v>0.8</v>
      </c>
      <c r="E114">
        <v>0.77729949583014746</v>
      </c>
      <c r="G114" t="str">
        <f t="shared" si="3"/>
        <v>.</v>
      </c>
      <c r="H114" s="8" t="s">
        <v>283</v>
      </c>
      <c r="I114" s="8" t="s">
        <v>99</v>
      </c>
      <c r="J114" s="8" t="s">
        <v>420</v>
      </c>
      <c r="L114" t="str">
        <f t="shared" si="4"/>
        <v>.</v>
      </c>
    </row>
    <row r="115" spans="1:13" hidden="1" x14ac:dyDescent="0.45">
      <c r="A115" t="s">
        <v>47</v>
      </c>
      <c r="B115" t="s">
        <v>47</v>
      </c>
      <c r="C115">
        <v>0.20115880919287971</v>
      </c>
      <c r="D115">
        <v>0.8</v>
      </c>
      <c r="E115">
        <v>0.99999205818100989</v>
      </c>
      <c r="G115" t="str">
        <f t="shared" si="3"/>
        <v>.</v>
      </c>
      <c r="H115" s="8" t="s">
        <v>284</v>
      </c>
      <c r="I115" s="8" t="s">
        <v>99</v>
      </c>
      <c r="J115" s="8" t="s">
        <v>434</v>
      </c>
      <c r="L115" t="str">
        <f t="shared" si="4"/>
        <v>.</v>
      </c>
    </row>
    <row r="116" spans="1:13" x14ac:dyDescent="0.45">
      <c r="A116" t="s">
        <v>28</v>
      </c>
      <c r="B116" t="s">
        <v>37</v>
      </c>
      <c r="C116">
        <v>0.60262578515209619</v>
      </c>
      <c r="D116">
        <v>0.8</v>
      </c>
      <c r="E116">
        <v>0.98201365898706472</v>
      </c>
      <c r="G116" t="str">
        <f t="shared" si="3"/>
        <v>W</v>
      </c>
      <c r="H116" s="8" t="s">
        <v>285</v>
      </c>
      <c r="I116" s="8" t="s">
        <v>99</v>
      </c>
      <c r="J116" s="8" t="s">
        <v>418</v>
      </c>
      <c r="K116" s="8" t="s">
        <v>514</v>
      </c>
      <c r="L116" t="str">
        <f t="shared" si="4"/>
        <v>.</v>
      </c>
    </row>
    <row r="117" spans="1:13" hidden="1" x14ac:dyDescent="0.45">
      <c r="A117" t="s">
        <v>41</v>
      </c>
      <c r="B117" t="s">
        <v>41</v>
      </c>
      <c r="C117">
        <v>0.20000635408791409</v>
      </c>
      <c r="D117">
        <v>0.8</v>
      </c>
      <c r="E117">
        <v>0.99999205818100989</v>
      </c>
      <c r="G117" t="str">
        <f t="shared" si="3"/>
        <v>.</v>
      </c>
      <c r="H117" s="8" t="s">
        <v>286</v>
      </c>
      <c r="I117" s="8" t="s">
        <v>287</v>
      </c>
      <c r="J117" s="8" t="s">
        <v>429</v>
      </c>
      <c r="L117" t="str">
        <f t="shared" si="4"/>
        <v>.</v>
      </c>
    </row>
    <row r="118" spans="1:13" hidden="1" x14ac:dyDescent="0.45">
      <c r="A118" t="s">
        <v>9</v>
      </c>
      <c r="B118" t="s">
        <v>35</v>
      </c>
      <c r="C118">
        <v>0.20379967532345189</v>
      </c>
      <c r="D118">
        <v>0.8</v>
      </c>
      <c r="E118">
        <v>0.99592978540693999</v>
      </c>
      <c r="G118" t="str">
        <f t="shared" si="3"/>
        <v>W</v>
      </c>
      <c r="H118" s="8" t="s">
        <v>288</v>
      </c>
      <c r="I118" s="8" t="s">
        <v>289</v>
      </c>
      <c r="J118" s="8" t="s">
        <v>420</v>
      </c>
      <c r="L118" t="str">
        <f t="shared" si="4"/>
        <v>.</v>
      </c>
    </row>
    <row r="119" spans="1:13" hidden="1" x14ac:dyDescent="0.45">
      <c r="A119" t="s">
        <v>35</v>
      </c>
      <c r="B119" t="s">
        <v>35</v>
      </c>
      <c r="C119">
        <v>0.23827555953053739</v>
      </c>
      <c r="D119">
        <v>0.8</v>
      </c>
      <c r="E119">
        <v>0.95257324277597333</v>
      </c>
      <c r="G119" t="str">
        <f t="shared" si="3"/>
        <v>.</v>
      </c>
      <c r="H119" s="8" t="s">
        <v>290</v>
      </c>
      <c r="I119" s="8" t="s">
        <v>99</v>
      </c>
      <c r="J119" s="8" t="s">
        <v>420</v>
      </c>
      <c r="L119" t="str">
        <f t="shared" si="4"/>
        <v>.</v>
      </c>
    </row>
    <row r="120" spans="1:13" hidden="1" x14ac:dyDescent="0.45">
      <c r="A120" t="s">
        <v>49</v>
      </c>
      <c r="B120" t="s">
        <v>49</v>
      </c>
      <c r="C120">
        <v>0.20003641814074219</v>
      </c>
      <c r="D120">
        <v>0.8</v>
      </c>
      <c r="E120">
        <v>0.99995451003057012</v>
      </c>
      <c r="G120" t="str">
        <f t="shared" si="3"/>
        <v>.</v>
      </c>
      <c r="H120" s="8" t="s">
        <v>291</v>
      </c>
      <c r="I120" s="8" t="s">
        <v>292</v>
      </c>
      <c r="J120" s="8" t="s">
        <v>436</v>
      </c>
      <c r="L120" t="str">
        <f t="shared" si="4"/>
        <v>.</v>
      </c>
    </row>
    <row r="121" spans="1:13" hidden="1" x14ac:dyDescent="0.45">
      <c r="A121" t="s">
        <v>35</v>
      </c>
      <c r="B121" t="s">
        <v>35</v>
      </c>
      <c r="C121">
        <v>0.2032636422541397</v>
      </c>
      <c r="D121">
        <v>0.8</v>
      </c>
      <c r="E121">
        <v>0.99592990413102933</v>
      </c>
      <c r="G121" t="str">
        <f t="shared" si="3"/>
        <v>.</v>
      </c>
      <c r="H121" s="8" t="s">
        <v>293</v>
      </c>
      <c r="I121" s="8" t="s">
        <v>99</v>
      </c>
      <c r="J121" s="8" t="s">
        <v>420</v>
      </c>
      <c r="L121" t="str">
        <f t="shared" si="4"/>
        <v>.</v>
      </c>
    </row>
    <row r="122" spans="1:13" hidden="1" x14ac:dyDescent="0.45">
      <c r="A122" t="s">
        <v>51</v>
      </c>
      <c r="B122" t="s">
        <v>51</v>
      </c>
      <c r="C122">
        <v>0.20002838687412841</v>
      </c>
      <c r="D122">
        <v>0.8</v>
      </c>
      <c r="E122">
        <v>0.99996452273258829</v>
      </c>
      <c r="G122" t="str">
        <f t="shared" si="3"/>
        <v>.</v>
      </c>
      <c r="H122" s="8" t="s">
        <v>294</v>
      </c>
      <c r="I122" s="8" t="s">
        <v>295</v>
      </c>
      <c r="J122" s="8" t="s">
        <v>438</v>
      </c>
      <c r="L122" t="str">
        <f t="shared" si="4"/>
        <v>.</v>
      </c>
    </row>
    <row r="123" spans="1:13" hidden="1" x14ac:dyDescent="0.45">
      <c r="A123" t="s">
        <v>52</v>
      </c>
      <c r="B123" t="s">
        <v>52</v>
      </c>
      <c r="C123">
        <v>0.20007691958692639</v>
      </c>
      <c r="D123">
        <v>0.8</v>
      </c>
      <c r="E123">
        <v>0.99990385206411014</v>
      </c>
      <c r="G123" t="str">
        <f t="shared" si="3"/>
        <v>.</v>
      </c>
      <c r="H123" s="8" t="s">
        <v>296</v>
      </c>
      <c r="I123" s="8" t="s">
        <v>297</v>
      </c>
      <c r="J123" s="8" t="s">
        <v>439</v>
      </c>
      <c r="L123" t="str">
        <f t="shared" si="4"/>
        <v>.</v>
      </c>
    </row>
    <row r="124" spans="1:13" hidden="1" x14ac:dyDescent="0.45">
      <c r="A124" t="s">
        <v>38</v>
      </c>
      <c r="B124" t="s">
        <v>38</v>
      </c>
      <c r="C124">
        <v>0.20080050159015089</v>
      </c>
      <c r="D124">
        <v>0.8</v>
      </c>
      <c r="E124">
        <v>0.99908895173900303</v>
      </c>
      <c r="G124" t="str">
        <f t="shared" si="3"/>
        <v>.</v>
      </c>
      <c r="H124" s="8" t="s">
        <v>298</v>
      </c>
      <c r="I124" s="8" t="s">
        <v>299</v>
      </c>
      <c r="J124" s="8" t="s">
        <v>426</v>
      </c>
      <c r="L124" t="str">
        <f t="shared" si="4"/>
        <v>.</v>
      </c>
    </row>
    <row r="125" spans="1:13" hidden="1" x14ac:dyDescent="0.45">
      <c r="A125" t="s">
        <v>35</v>
      </c>
      <c r="B125" t="s">
        <v>35</v>
      </c>
      <c r="C125">
        <v>0.69796771986389428</v>
      </c>
      <c r="D125">
        <v>0.8</v>
      </c>
      <c r="E125">
        <v>0.37754035294858979</v>
      </c>
      <c r="G125" t="str">
        <f t="shared" si="3"/>
        <v>.</v>
      </c>
      <c r="H125" s="8" t="s">
        <v>300</v>
      </c>
      <c r="I125" s="8" t="s">
        <v>99</v>
      </c>
      <c r="J125" s="8" t="s">
        <v>420</v>
      </c>
      <c r="L125" t="str">
        <f t="shared" si="4"/>
        <v>.</v>
      </c>
    </row>
    <row r="126" spans="1:13" hidden="1" x14ac:dyDescent="0.45">
      <c r="A126" t="s">
        <v>35</v>
      </c>
      <c r="B126" t="s">
        <v>35</v>
      </c>
      <c r="C126">
        <v>0.20026833204694081</v>
      </c>
      <c r="D126">
        <v>0.8</v>
      </c>
      <c r="E126">
        <v>0.99966459043674005</v>
      </c>
      <c r="G126" t="str">
        <f t="shared" si="3"/>
        <v>.</v>
      </c>
      <c r="H126" s="8" t="s">
        <v>301</v>
      </c>
      <c r="I126" s="8" t="s">
        <v>302</v>
      </c>
      <c r="J126" s="8" t="s">
        <v>420</v>
      </c>
      <c r="L126" t="str">
        <f t="shared" si="4"/>
        <v>.</v>
      </c>
    </row>
    <row r="127" spans="1:13" x14ac:dyDescent="0.45">
      <c r="A127" t="s">
        <v>30</v>
      </c>
      <c r="B127" t="s">
        <v>53</v>
      </c>
      <c r="C127">
        <v>0.99921718833572937</v>
      </c>
      <c r="D127">
        <v>0.8</v>
      </c>
      <c r="E127">
        <v>1.169510307496603E-3</v>
      </c>
      <c r="G127" t="str">
        <f t="shared" si="3"/>
        <v>W</v>
      </c>
      <c r="H127" s="8" t="s">
        <v>303</v>
      </c>
      <c r="I127" s="8" t="s">
        <v>304</v>
      </c>
      <c r="J127" s="8" t="s">
        <v>421</v>
      </c>
      <c r="K127" s="8" t="s">
        <v>515</v>
      </c>
      <c r="L127" s="13" t="str">
        <f t="shared" si="4"/>
        <v>NonID</v>
      </c>
      <c r="M127" s="8" t="s">
        <v>515</v>
      </c>
    </row>
    <row r="128" spans="1:13" hidden="1" x14ac:dyDescent="0.45">
      <c r="A128" t="s">
        <v>47</v>
      </c>
      <c r="B128" t="s">
        <v>47</v>
      </c>
      <c r="C128">
        <v>0.20253813665900369</v>
      </c>
      <c r="D128">
        <v>0.8</v>
      </c>
      <c r="E128">
        <v>0.99682732998531542</v>
      </c>
      <c r="G128" t="str">
        <f t="shared" si="3"/>
        <v>.</v>
      </c>
      <c r="H128" s="8" t="s">
        <v>305</v>
      </c>
      <c r="I128" s="8" t="s">
        <v>306</v>
      </c>
      <c r="J128" s="8" t="s">
        <v>434</v>
      </c>
      <c r="L128" t="str">
        <f t="shared" si="4"/>
        <v>.</v>
      </c>
    </row>
    <row r="129" spans="1:12" hidden="1" x14ac:dyDescent="0.45">
      <c r="A129" t="s">
        <v>26</v>
      </c>
      <c r="B129" t="s">
        <v>26</v>
      </c>
      <c r="C129">
        <v>0.21138850460116021</v>
      </c>
      <c r="D129">
        <v>0.8</v>
      </c>
      <c r="E129">
        <v>0.98593608654391374</v>
      </c>
      <c r="G129" t="str">
        <f t="shared" si="3"/>
        <v>.</v>
      </c>
      <c r="H129" s="8" t="s">
        <v>307</v>
      </c>
      <c r="I129" s="8" t="s">
        <v>308</v>
      </c>
      <c r="J129" s="8" t="s">
        <v>416</v>
      </c>
      <c r="L129" t="str">
        <f t="shared" si="4"/>
        <v>.</v>
      </c>
    </row>
    <row r="130" spans="1:12" hidden="1" x14ac:dyDescent="0.45">
      <c r="A130" t="s">
        <v>39</v>
      </c>
      <c r="B130" t="s">
        <v>39</v>
      </c>
      <c r="C130">
        <v>0.20093563369577749</v>
      </c>
      <c r="D130">
        <v>0.8</v>
      </c>
      <c r="E130">
        <v>0.99883045900532441</v>
      </c>
      <c r="G130" t="str">
        <f t="shared" si="3"/>
        <v>.</v>
      </c>
      <c r="H130" s="8" t="s">
        <v>309</v>
      </c>
      <c r="I130" s="8" t="s">
        <v>99</v>
      </c>
      <c r="J130" s="8" t="s">
        <v>427</v>
      </c>
      <c r="L130" t="str">
        <f t="shared" si="4"/>
        <v>.</v>
      </c>
    </row>
    <row r="131" spans="1:12" hidden="1" x14ac:dyDescent="0.45">
      <c r="A131" t="s">
        <v>27</v>
      </c>
      <c r="B131" t="s">
        <v>27</v>
      </c>
      <c r="C131">
        <v>0.2004425132461882</v>
      </c>
      <c r="D131">
        <v>0.8</v>
      </c>
      <c r="E131">
        <v>0.99944712016184645</v>
      </c>
      <c r="G131" t="str">
        <f t="shared" ref="G131:G194" si="5">IF(A131=B131,".","W")</f>
        <v>.</v>
      </c>
      <c r="H131" s="8" t="s">
        <v>310</v>
      </c>
      <c r="I131" s="8" t="s">
        <v>311</v>
      </c>
      <c r="J131" s="8" t="s">
        <v>417</v>
      </c>
      <c r="L131" t="str">
        <f t="shared" si="4"/>
        <v>.</v>
      </c>
    </row>
    <row r="132" spans="1:12" hidden="1" x14ac:dyDescent="0.45">
      <c r="A132" t="s">
        <v>35</v>
      </c>
      <c r="B132" t="s">
        <v>35</v>
      </c>
      <c r="C132">
        <v>0.3185969007370778</v>
      </c>
      <c r="D132">
        <v>0.8</v>
      </c>
      <c r="E132">
        <v>0.85194962466416435</v>
      </c>
      <c r="G132" t="str">
        <f t="shared" si="5"/>
        <v>.</v>
      </c>
      <c r="H132" s="8" t="s">
        <v>312</v>
      </c>
      <c r="I132" s="8" t="s">
        <v>99</v>
      </c>
      <c r="J132" s="8" t="s">
        <v>420</v>
      </c>
      <c r="L132" t="str">
        <f t="shared" si="4"/>
        <v>.</v>
      </c>
    </row>
    <row r="133" spans="1:12" hidden="1" x14ac:dyDescent="0.45">
      <c r="A133" t="s">
        <v>35</v>
      </c>
      <c r="B133" t="s">
        <v>35</v>
      </c>
      <c r="C133">
        <v>0.24807094761461551</v>
      </c>
      <c r="D133">
        <v>0.8</v>
      </c>
      <c r="E133">
        <v>0.93991304523943053</v>
      </c>
      <c r="G133" t="str">
        <f t="shared" si="5"/>
        <v>.</v>
      </c>
      <c r="H133" s="8" t="s">
        <v>313</v>
      </c>
      <c r="I133" s="8" t="s">
        <v>99</v>
      </c>
      <c r="J133" s="8" t="s">
        <v>420</v>
      </c>
      <c r="L133" t="str">
        <f t="shared" si="4"/>
        <v>.</v>
      </c>
    </row>
    <row r="134" spans="1:12" hidden="1" x14ac:dyDescent="0.45">
      <c r="A134" t="s">
        <v>9</v>
      </c>
      <c r="B134" t="s">
        <v>47</v>
      </c>
      <c r="C134">
        <v>0.20019781087716271</v>
      </c>
      <c r="D134">
        <v>0.8</v>
      </c>
      <c r="E134">
        <v>0.99992506849856422</v>
      </c>
      <c r="G134" t="str">
        <f t="shared" si="5"/>
        <v>W</v>
      </c>
      <c r="H134" s="8" t="s">
        <v>314</v>
      </c>
      <c r="I134" s="8" t="s">
        <v>99</v>
      </c>
      <c r="J134" s="8" t="s">
        <v>434</v>
      </c>
      <c r="L134" t="str">
        <f t="shared" si="4"/>
        <v>.</v>
      </c>
    </row>
    <row r="135" spans="1:12" hidden="1" x14ac:dyDescent="0.45">
      <c r="A135" t="s">
        <v>9</v>
      </c>
      <c r="B135" t="s">
        <v>40</v>
      </c>
      <c r="C135">
        <v>0.2041761690408227</v>
      </c>
      <c r="D135">
        <v>0.8</v>
      </c>
      <c r="E135">
        <v>0.99477978997431815</v>
      </c>
      <c r="G135" t="str">
        <f t="shared" si="5"/>
        <v>W</v>
      </c>
      <c r="H135" s="8" t="s">
        <v>315</v>
      </c>
      <c r="I135" s="8" t="s">
        <v>99</v>
      </c>
      <c r="J135" s="8" t="s">
        <v>428</v>
      </c>
      <c r="L135" t="str">
        <f t="shared" si="4"/>
        <v>.</v>
      </c>
    </row>
    <row r="136" spans="1:12" hidden="1" x14ac:dyDescent="0.45">
      <c r="A136" t="s">
        <v>39</v>
      </c>
      <c r="B136" t="s">
        <v>39</v>
      </c>
      <c r="C136">
        <v>0.20325922872882751</v>
      </c>
      <c r="D136">
        <v>0.8</v>
      </c>
      <c r="E136">
        <v>0.99592990413102933</v>
      </c>
      <c r="G136" t="str">
        <f t="shared" si="5"/>
        <v>.</v>
      </c>
      <c r="H136" s="8" t="s">
        <v>316</v>
      </c>
      <c r="I136" s="8" t="s">
        <v>317</v>
      </c>
      <c r="J136" s="8" t="s">
        <v>427</v>
      </c>
      <c r="L136" t="str">
        <f t="shared" si="4"/>
        <v>.</v>
      </c>
    </row>
    <row r="137" spans="1:12" hidden="1" x14ac:dyDescent="0.45">
      <c r="A137" t="s">
        <v>27</v>
      </c>
      <c r="B137" t="s">
        <v>27</v>
      </c>
      <c r="C137">
        <v>0.2000050193451012</v>
      </c>
      <c r="D137">
        <v>0.8</v>
      </c>
      <c r="E137">
        <v>0.99999372702007638</v>
      </c>
      <c r="G137" t="str">
        <f t="shared" si="5"/>
        <v>.</v>
      </c>
      <c r="H137" s="8" t="s">
        <v>318</v>
      </c>
      <c r="I137" s="8" t="s">
        <v>319</v>
      </c>
      <c r="J137" s="8" t="s">
        <v>417</v>
      </c>
      <c r="L137" t="str">
        <f t="shared" si="4"/>
        <v>.</v>
      </c>
    </row>
    <row r="138" spans="1:12" hidden="1" x14ac:dyDescent="0.45">
      <c r="A138" t="s">
        <v>41</v>
      </c>
      <c r="B138" t="s">
        <v>41</v>
      </c>
      <c r="C138">
        <v>0.20000054082330471</v>
      </c>
      <c r="D138">
        <v>0.8</v>
      </c>
      <c r="E138">
        <v>0.99999932957291282</v>
      </c>
      <c r="G138" t="str">
        <f t="shared" si="5"/>
        <v>.</v>
      </c>
      <c r="H138" s="8" t="s">
        <v>320</v>
      </c>
      <c r="I138" s="8" t="s">
        <v>321</v>
      </c>
      <c r="J138" s="8" t="s">
        <v>429</v>
      </c>
      <c r="L138" t="str">
        <f t="shared" si="4"/>
        <v>.</v>
      </c>
    </row>
    <row r="139" spans="1:12" hidden="1" x14ac:dyDescent="0.45">
      <c r="A139" t="s">
        <v>33</v>
      </c>
      <c r="B139" t="s">
        <v>33</v>
      </c>
      <c r="C139">
        <v>0.20034446159778091</v>
      </c>
      <c r="D139">
        <v>0.8</v>
      </c>
      <c r="E139">
        <v>0.99956942349659961</v>
      </c>
      <c r="G139" t="str">
        <f t="shared" si="5"/>
        <v>.</v>
      </c>
      <c r="H139" s="8" t="s">
        <v>322</v>
      </c>
      <c r="I139" s="8" t="s">
        <v>99</v>
      </c>
      <c r="J139" s="8" t="s">
        <v>424</v>
      </c>
      <c r="L139" t="str">
        <f t="shared" si="4"/>
        <v>.</v>
      </c>
    </row>
    <row r="140" spans="1:12" hidden="1" x14ac:dyDescent="0.45">
      <c r="A140" t="s">
        <v>26</v>
      </c>
      <c r="B140" t="s">
        <v>26</v>
      </c>
      <c r="C140">
        <v>0.20426252209519841</v>
      </c>
      <c r="D140">
        <v>0.8</v>
      </c>
      <c r="E140">
        <v>0.99477990856131726</v>
      </c>
      <c r="G140" t="str">
        <f t="shared" si="5"/>
        <v>.</v>
      </c>
      <c r="H140" s="8" t="s">
        <v>323</v>
      </c>
      <c r="I140" s="8" t="s">
        <v>324</v>
      </c>
      <c r="J140" s="8" t="s">
        <v>416</v>
      </c>
      <c r="L140" t="str">
        <f t="shared" si="4"/>
        <v>.</v>
      </c>
    </row>
    <row r="141" spans="1:12" hidden="1" x14ac:dyDescent="0.45">
      <c r="A141" t="s">
        <v>41</v>
      </c>
      <c r="B141" t="s">
        <v>41</v>
      </c>
      <c r="C141">
        <v>0.20000072806007119</v>
      </c>
      <c r="D141">
        <v>0.8</v>
      </c>
      <c r="E141">
        <v>0.99999909116577701</v>
      </c>
      <c r="G141" t="str">
        <f t="shared" si="5"/>
        <v>.</v>
      </c>
      <c r="H141" s="8" t="s">
        <v>325</v>
      </c>
      <c r="I141" s="8" t="s">
        <v>321</v>
      </c>
      <c r="J141" s="8" t="s">
        <v>429</v>
      </c>
      <c r="L141" t="str">
        <f t="shared" si="4"/>
        <v>.</v>
      </c>
    </row>
    <row r="142" spans="1:12" hidden="1" x14ac:dyDescent="0.45">
      <c r="A142" t="s">
        <v>35</v>
      </c>
      <c r="B142" t="s">
        <v>35</v>
      </c>
      <c r="C142">
        <v>0.22369338620038931</v>
      </c>
      <c r="D142">
        <v>0.8</v>
      </c>
      <c r="E142">
        <v>0.97068691800320162</v>
      </c>
      <c r="G142" t="str">
        <f t="shared" si="5"/>
        <v>.</v>
      </c>
      <c r="H142" s="8" t="s">
        <v>326</v>
      </c>
      <c r="I142" s="8" t="s">
        <v>99</v>
      </c>
      <c r="J142" s="8" t="s">
        <v>420</v>
      </c>
      <c r="L142" t="str">
        <f t="shared" si="4"/>
        <v>.</v>
      </c>
    </row>
    <row r="143" spans="1:12" hidden="1" x14ac:dyDescent="0.45">
      <c r="A143" t="s">
        <v>27</v>
      </c>
      <c r="B143" t="s">
        <v>27</v>
      </c>
      <c r="C143">
        <v>0.20001047571593239</v>
      </c>
      <c r="D143">
        <v>0.8</v>
      </c>
      <c r="E143">
        <v>0.99998693247732917</v>
      </c>
      <c r="G143" t="str">
        <f t="shared" si="5"/>
        <v>.</v>
      </c>
      <c r="H143" s="8" t="s">
        <v>327</v>
      </c>
      <c r="I143" s="8" t="s">
        <v>328</v>
      </c>
      <c r="J143" s="8" t="s">
        <v>417</v>
      </c>
      <c r="L143" t="str">
        <f t="shared" ref="L143:L206" si="6">IF(C143&lt;=$L$1,".","NonID")</f>
        <v>.</v>
      </c>
    </row>
    <row r="144" spans="1:12" hidden="1" x14ac:dyDescent="0.45">
      <c r="A144" t="s">
        <v>32</v>
      </c>
      <c r="B144" t="s">
        <v>32</v>
      </c>
      <c r="C144">
        <v>5.5291968295378968E-4</v>
      </c>
      <c r="D144">
        <v>1</v>
      </c>
      <c r="E144">
        <v>0.99944712016184645</v>
      </c>
      <c r="G144" t="str">
        <f t="shared" si="5"/>
        <v>.</v>
      </c>
      <c r="H144" s="8" t="s">
        <v>329</v>
      </c>
      <c r="I144" s="8" t="s">
        <v>330</v>
      </c>
      <c r="J144" s="8" t="s">
        <v>423</v>
      </c>
      <c r="L144" t="str">
        <f t="shared" si="6"/>
        <v>.</v>
      </c>
    </row>
    <row r="145" spans="1:13" hidden="1" x14ac:dyDescent="0.45">
      <c r="A145" t="s">
        <v>35</v>
      </c>
      <c r="B145" t="s">
        <v>35</v>
      </c>
      <c r="C145">
        <v>0.34603648961936678</v>
      </c>
      <c r="D145">
        <v>0.8</v>
      </c>
      <c r="E145">
        <v>0.81757371208747009</v>
      </c>
      <c r="G145" t="str">
        <f t="shared" si="5"/>
        <v>.</v>
      </c>
      <c r="H145" s="8" t="s">
        <v>331</v>
      </c>
      <c r="I145" s="8" t="s">
        <v>332</v>
      </c>
      <c r="J145" s="8" t="s">
        <v>420</v>
      </c>
      <c r="L145" t="str">
        <f t="shared" si="6"/>
        <v>.</v>
      </c>
    </row>
    <row r="146" spans="1:13" x14ac:dyDescent="0.45">
      <c r="A146" t="s">
        <v>54</v>
      </c>
      <c r="B146" t="s">
        <v>37</v>
      </c>
      <c r="C146">
        <v>1</v>
      </c>
      <c r="D146">
        <v>0.8</v>
      </c>
      <c r="E146">
        <v>7.5858117228527283E-2</v>
      </c>
      <c r="G146" t="str">
        <f t="shared" si="5"/>
        <v>W</v>
      </c>
      <c r="H146" s="8" t="s">
        <v>333</v>
      </c>
      <c r="I146" s="8" t="s">
        <v>334</v>
      </c>
      <c r="J146" s="8" t="s">
        <v>435</v>
      </c>
      <c r="K146" s="8" t="s">
        <v>515</v>
      </c>
      <c r="L146" s="13" t="str">
        <f t="shared" si="6"/>
        <v>NonID</v>
      </c>
      <c r="M146" s="8" t="s">
        <v>515</v>
      </c>
    </row>
    <row r="147" spans="1:13" hidden="1" x14ac:dyDescent="0.45">
      <c r="A147" t="s">
        <v>9</v>
      </c>
      <c r="B147" t="s">
        <v>38</v>
      </c>
      <c r="C147">
        <v>0.24119994351949131</v>
      </c>
      <c r="D147">
        <v>0.8</v>
      </c>
      <c r="E147">
        <v>0.96267277897766457</v>
      </c>
      <c r="G147" t="str">
        <f t="shared" si="5"/>
        <v>W</v>
      </c>
      <c r="H147" s="8" t="s">
        <v>335</v>
      </c>
      <c r="I147" s="8" t="s">
        <v>99</v>
      </c>
      <c r="J147" s="8" t="s">
        <v>426</v>
      </c>
      <c r="L147" t="str">
        <f t="shared" si="6"/>
        <v>.</v>
      </c>
    </row>
    <row r="148" spans="1:13" hidden="1" x14ac:dyDescent="0.45">
      <c r="A148" t="s">
        <v>35</v>
      </c>
      <c r="B148" t="s">
        <v>35</v>
      </c>
      <c r="C148">
        <v>0.20535629973950581</v>
      </c>
      <c r="D148">
        <v>0.8</v>
      </c>
      <c r="E148">
        <v>0.99330712690641232</v>
      </c>
      <c r="G148" t="str">
        <f t="shared" si="5"/>
        <v>.</v>
      </c>
      <c r="H148" s="8" t="s">
        <v>336</v>
      </c>
      <c r="I148" s="8" t="s">
        <v>337</v>
      </c>
      <c r="J148" s="8" t="s">
        <v>420</v>
      </c>
      <c r="L148" t="str">
        <f t="shared" si="6"/>
        <v>.</v>
      </c>
    </row>
    <row r="149" spans="1:13" hidden="1" x14ac:dyDescent="0.45">
      <c r="A149" t="s">
        <v>50</v>
      </c>
      <c r="B149" t="s">
        <v>50</v>
      </c>
      <c r="C149">
        <v>0.20535531785205069</v>
      </c>
      <c r="D149">
        <v>0.8</v>
      </c>
      <c r="E149">
        <v>0.99330700849498244</v>
      </c>
      <c r="G149" t="str">
        <f t="shared" si="5"/>
        <v>.</v>
      </c>
      <c r="H149" s="8" t="s">
        <v>338</v>
      </c>
      <c r="I149" s="8" t="s">
        <v>99</v>
      </c>
      <c r="J149" s="8" t="s">
        <v>437</v>
      </c>
      <c r="L149" t="str">
        <f t="shared" si="6"/>
        <v>.</v>
      </c>
    </row>
    <row r="150" spans="1:13" hidden="1" x14ac:dyDescent="0.45">
      <c r="A150" t="s">
        <v>41</v>
      </c>
      <c r="B150" t="s">
        <v>41</v>
      </c>
      <c r="C150">
        <v>0.2000363954271159</v>
      </c>
      <c r="D150">
        <v>0.8</v>
      </c>
      <c r="E150">
        <v>0.99995451003057012</v>
      </c>
      <c r="G150" t="str">
        <f t="shared" si="5"/>
        <v>.</v>
      </c>
      <c r="H150" s="8" t="s">
        <v>339</v>
      </c>
      <c r="I150" s="8" t="s">
        <v>340</v>
      </c>
      <c r="J150" s="8" t="s">
        <v>429</v>
      </c>
      <c r="L150" t="str">
        <f t="shared" si="6"/>
        <v>.</v>
      </c>
    </row>
    <row r="151" spans="1:13" hidden="1" x14ac:dyDescent="0.45">
      <c r="A151" t="s">
        <v>35</v>
      </c>
      <c r="B151" t="s">
        <v>35</v>
      </c>
      <c r="C151">
        <v>0.22189379370191961</v>
      </c>
      <c r="D151">
        <v>0.8</v>
      </c>
      <c r="E151">
        <v>0.98593632069119785</v>
      </c>
      <c r="G151" t="str">
        <f t="shared" si="5"/>
        <v>.</v>
      </c>
      <c r="H151" s="8" t="s">
        <v>341</v>
      </c>
      <c r="I151" s="8" t="s">
        <v>99</v>
      </c>
      <c r="J151" s="8" t="s">
        <v>420</v>
      </c>
      <c r="L151" t="str">
        <f t="shared" si="6"/>
        <v>.</v>
      </c>
    </row>
    <row r="152" spans="1:13" x14ac:dyDescent="0.45">
      <c r="A152" t="s">
        <v>30</v>
      </c>
      <c r="B152" t="s">
        <v>26</v>
      </c>
      <c r="C152">
        <v>0.99313889427968449</v>
      </c>
      <c r="D152">
        <v>0.8</v>
      </c>
      <c r="E152">
        <v>8.5774767503511169E-3</v>
      </c>
      <c r="G152" t="str">
        <f t="shared" si="5"/>
        <v>W</v>
      </c>
      <c r="H152" s="8" t="s">
        <v>342</v>
      </c>
      <c r="I152" s="8" t="s">
        <v>99</v>
      </c>
      <c r="J152" s="8" t="s">
        <v>421</v>
      </c>
      <c r="K152" s="8" t="s">
        <v>514</v>
      </c>
      <c r="L152" s="13" t="str">
        <f t="shared" si="6"/>
        <v>NonID</v>
      </c>
      <c r="M152" s="8" t="s">
        <v>514</v>
      </c>
    </row>
    <row r="153" spans="1:13" hidden="1" x14ac:dyDescent="0.45">
      <c r="A153" t="s">
        <v>51</v>
      </c>
      <c r="B153" t="s">
        <v>51</v>
      </c>
      <c r="C153">
        <v>0.20686216556637299</v>
      </c>
      <c r="D153">
        <v>0.8</v>
      </c>
      <c r="E153">
        <v>0.99142231192149144</v>
      </c>
      <c r="G153" t="str">
        <f t="shared" si="5"/>
        <v>.</v>
      </c>
      <c r="H153" s="8" t="s">
        <v>343</v>
      </c>
      <c r="I153" s="8" t="s">
        <v>344</v>
      </c>
      <c r="J153" s="8" t="s">
        <v>438</v>
      </c>
      <c r="L153" t="str">
        <f t="shared" si="6"/>
        <v>.</v>
      </c>
    </row>
    <row r="154" spans="1:13" hidden="1" x14ac:dyDescent="0.45">
      <c r="A154" t="s">
        <v>47</v>
      </c>
      <c r="B154" t="s">
        <v>47</v>
      </c>
      <c r="C154">
        <v>0.20007694310946761</v>
      </c>
      <c r="D154">
        <v>0.8</v>
      </c>
      <c r="E154">
        <v>0.99990385206411014</v>
      </c>
      <c r="G154" t="str">
        <f t="shared" si="5"/>
        <v>.</v>
      </c>
      <c r="H154" s="8" t="s">
        <v>345</v>
      </c>
      <c r="I154" s="8" t="s">
        <v>99</v>
      </c>
      <c r="J154" s="8" t="s">
        <v>434</v>
      </c>
      <c r="L154" t="str">
        <f t="shared" si="6"/>
        <v>.</v>
      </c>
    </row>
    <row r="155" spans="1:13" hidden="1" x14ac:dyDescent="0.45">
      <c r="A155" t="s">
        <v>27</v>
      </c>
      <c r="B155" t="s">
        <v>27</v>
      </c>
      <c r="C155">
        <v>1.2343569330885981E-4</v>
      </c>
      <c r="D155">
        <v>1</v>
      </c>
      <c r="E155">
        <v>0.99987656475506059</v>
      </c>
      <c r="G155" t="str">
        <f t="shared" si="5"/>
        <v>.</v>
      </c>
      <c r="H155" s="8" t="s">
        <v>346</v>
      </c>
      <c r="I155" s="8" t="s">
        <v>347</v>
      </c>
      <c r="J155" s="8" t="s">
        <v>417</v>
      </c>
      <c r="L155" t="str">
        <f t="shared" si="6"/>
        <v>.</v>
      </c>
    </row>
    <row r="156" spans="1:13" hidden="1" x14ac:dyDescent="0.45">
      <c r="A156" t="s">
        <v>35</v>
      </c>
      <c r="B156" t="s">
        <v>35</v>
      </c>
      <c r="C156">
        <v>0.220773213296513</v>
      </c>
      <c r="D156">
        <v>0.8</v>
      </c>
      <c r="E156">
        <v>0.97702261672772872</v>
      </c>
      <c r="G156" t="str">
        <f t="shared" si="5"/>
        <v>.</v>
      </c>
      <c r="H156" s="8" t="s">
        <v>348</v>
      </c>
      <c r="I156" s="8" t="s">
        <v>99</v>
      </c>
      <c r="J156" s="8" t="s">
        <v>420</v>
      </c>
      <c r="L156" t="str">
        <f t="shared" si="6"/>
        <v>.</v>
      </c>
    </row>
    <row r="157" spans="1:13" hidden="1" x14ac:dyDescent="0.45">
      <c r="A157" t="s">
        <v>41</v>
      </c>
      <c r="B157" t="s">
        <v>41</v>
      </c>
      <c r="C157">
        <v>0.20072902067287479</v>
      </c>
      <c r="D157">
        <v>0.8</v>
      </c>
      <c r="E157">
        <v>0.99908895173900303</v>
      </c>
      <c r="G157" t="str">
        <f t="shared" si="5"/>
        <v>.</v>
      </c>
      <c r="H157" s="8" t="s">
        <v>349</v>
      </c>
      <c r="I157" s="8" t="s">
        <v>99</v>
      </c>
      <c r="J157" s="8" t="s">
        <v>429</v>
      </c>
      <c r="L157" t="str">
        <f t="shared" si="6"/>
        <v>.</v>
      </c>
    </row>
    <row r="158" spans="1:13" hidden="1" x14ac:dyDescent="0.45">
      <c r="A158" t="s">
        <v>47</v>
      </c>
      <c r="B158" t="s">
        <v>47</v>
      </c>
      <c r="C158">
        <v>0.20000149073991269</v>
      </c>
      <c r="D158">
        <v>0.8</v>
      </c>
      <c r="E158">
        <v>0.99999813753780198</v>
      </c>
      <c r="G158" t="str">
        <f t="shared" si="5"/>
        <v>.</v>
      </c>
      <c r="H158" s="8" t="s">
        <v>350</v>
      </c>
      <c r="I158" s="8" t="s">
        <v>351</v>
      </c>
      <c r="J158" s="8" t="s">
        <v>434</v>
      </c>
      <c r="L158" t="str">
        <f t="shared" si="6"/>
        <v>.</v>
      </c>
    </row>
    <row r="159" spans="1:13" hidden="1" x14ac:dyDescent="0.45">
      <c r="A159" t="s">
        <v>41</v>
      </c>
      <c r="B159" t="s">
        <v>41</v>
      </c>
      <c r="C159">
        <v>0.20002208832858959</v>
      </c>
      <c r="D159">
        <v>0.8</v>
      </c>
      <c r="E159">
        <v>0.99997238992645676</v>
      </c>
      <c r="G159" t="str">
        <f t="shared" si="5"/>
        <v>.</v>
      </c>
      <c r="H159" s="8" t="s">
        <v>352</v>
      </c>
      <c r="I159" s="8" t="s">
        <v>353</v>
      </c>
      <c r="J159" s="8" t="s">
        <v>429</v>
      </c>
      <c r="L159" t="str">
        <f t="shared" si="6"/>
        <v>.</v>
      </c>
    </row>
    <row r="160" spans="1:13" hidden="1" x14ac:dyDescent="0.45">
      <c r="A160" t="s">
        <v>32</v>
      </c>
      <c r="B160" t="s">
        <v>32</v>
      </c>
      <c r="C160">
        <v>4.0701397684093088E-3</v>
      </c>
      <c r="D160">
        <v>1</v>
      </c>
      <c r="E160">
        <v>0.99592990413102933</v>
      </c>
      <c r="G160" t="str">
        <f t="shared" si="5"/>
        <v>.</v>
      </c>
      <c r="H160" s="8" t="s">
        <v>354</v>
      </c>
      <c r="I160" s="8" t="s">
        <v>355</v>
      </c>
      <c r="J160" s="8" t="s">
        <v>423</v>
      </c>
      <c r="L160" t="str">
        <f t="shared" si="6"/>
        <v>.</v>
      </c>
    </row>
    <row r="161" spans="1:13" hidden="1" x14ac:dyDescent="0.45">
      <c r="A161" t="s">
        <v>9</v>
      </c>
      <c r="B161" t="s">
        <v>33</v>
      </c>
      <c r="C161">
        <v>0.2025381379299416</v>
      </c>
      <c r="D161">
        <v>0.8</v>
      </c>
      <c r="E161">
        <v>0.99682732998531542</v>
      </c>
      <c r="G161" t="str">
        <f t="shared" si="5"/>
        <v>W</v>
      </c>
      <c r="H161" s="8" t="s">
        <v>356</v>
      </c>
      <c r="I161" s="8" t="s">
        <v>99</v>
      </c>
      <c r="J161" s="8" t="s">
        <v>424</v>
      </c>
      <c r="L161" t="str">
        <f t="shared" si="6"/>
        <v>.</v>
      </c>
    </row>
    <row r="162" spans="1:13" hidden="1" x14ac:dyDescent="0.45">
      <c r="A162" t="s">
        <v>35</v>
      </c>
      <c r="B162" t="s">
        <v>35</v>
      </c>
      <c r="C162">
        <v>0.21454255115774851</v>
      </c>
      <c r="D162">
        <v>0.8</v>
      </c>
      <c r="E162">
        <v>0.98201331327910268</v>
      </c>
      <c r="G162" t="str">
        <f t="shared" si="5"/>
        <v>.</v>
      </c>
      <c r="H162" s="8" t="s">
        <v>357</v>
      </c>
      <c r="I162" s="8" t="s">
        <v>358</v>
      </c>
      <c r="J162" s="8" t="s">
        <v>420</v>
      </c>
      <c r="L162" t="str">
        <f t="shared" si="6"/>
        <v>.</v>
      </c>
    </row>
    <row r="163" spans="1:13" hidden="1" x14ac:dyDescent="0.45">
      <c r="A163" t="s">
        <v>35</v>
      </c>
      <c r="B163" t="s">
        <v>35</v>
      </c>
      <c r="C163">
        <v>0.2336808895377108</v>
      </c>
      <c r="D163">
        <v>0.8</v>
      </c>
      <c r="E163">
        <v>0.96267288297850162</v>
      </c>
      <c r="G163" t="str">
        <f t="shared" si="5"/>
        <v>.</v>
      </c>
      <c r="H163" s="8" t="s">
        <v>359</v>
      </c>
      <c r="I163" s="8" t="s">
        <v>99</v>
      </c>
      <c r="J163" s="8" t="s">
        <v>420</v>
      </c>
      <c r="L163" t="str">
        <f t="shared" si="6"/>
        <v>.</v>
      </c>
    </row>
    <row r="164" spans="1:13" x14ac:dyDescent="0.45">
      <c r="A164" t="s">
        <v>35</v>
      </c>
      <c r="B164" t="s">
        <v>32</v>
      </c>
      <c r="C164">
        <v>0.88156258812382249</v>
      </c>
      <c r="D164">
        <v>0.8</v>
      </c>
      <c r="E164">
        <v>0.1480468554755256</v>
      </c>
      <c r="G164" t="str">
        <f t="shared" si="5"/>
        <v>W</v>
      </c>
      <c r="H164" s="8" t="s">
        <v>360</v>
      </c>
      <c r="I164" s="8" t="s">
        <v>361</v>
      </c>
      <c r="J164" s="8" t="s">
        <v>420</v>
      </c>
      <c r="K164" s="8" t="s">
        <v>515</v>
      </c>
      <c r="L164" s="13" t="str">
        <f t="shared" si="6"/>
        <v>.</v>
      </c>
      <c r="M164" s="8" t="s">
        <v>515</v>
      </c>
    </row>
    <row r="165" spans="1:13" x14ac:dyDescent="0.45">
      <c r="A165" t="s">
        <v>35</v>
      </c>
      <c r="B165" t="s">
        <v>46</v>
      </c>
      <c r="C165">
        <v>0.29536678552795609</v>
      </c>
      <c r="D165">
        <v>0.8</v>
      </c>
      <c r="E165">
        <v>0.88079431690861987</v>
      </c>
      <c r="G165" t="str">
        <f t="shared" si="5"/>
        <v>W</v>
      </c>
      <c r="H165" s="8" t="s">
        <v>362</v>
      </c>
      <c r="I165" s="8" t="s">
        <v>99</v>
      </c>
      <c r="J165" s="8" t="s">
        <v>420</v>
      </c>
      <c r="K165" s="8" t="s">
        <v>514</v>
      </c>
      <c r="L165" t="str">
        <f t="shared" si="6"/>
        <v>.</v>
      </c>
    </row>
    <row r="166" spans="1:13" hidden="1" x14ac:dyDescent="0.45">
      <c r="A166" t="s">
        <v>9</v>
      </c>
      <c r="B166" t="s">
        <v>32</v>
      </c>
      <c r="C166">
        <v>0.26894720426898722</v>
      </c>
      <c r="D166">
        <v>1</v>
      </c>
      <c r="E166">
        <v>0.73105404672388985</v>
      </c>
      <c r="G166" t="str">
        <f t="shared" si="5"/>
        <v>W</v>
      </c>
      <c r="H166" s="8" t="s">
        <v>363</v>
      </c>
      <c r="I166" s="8" t="s">
        <v>99</v>
      </c>
      <c r="J166" s="8" t="s">
        <v>420</v>
      </c>
      <c r="L166" t="str">
        <f t="shared" si="6"/>
        <v>.</v>
      </c>
    </row>
    <row r="167" spans="1:13" hidden="1" x14ac:dyDescent="0.45">
      <c r="A167" t="s">
        <v>35</v>
      </c>
      <c r="B167" t="s">
        <v>35</v>
      </c>
      <c r="C167">
        <v>0.24808832064773911</v>
      </c>
      <c r="D167">
        <v>0.8</v>
      </c>
      <c r="E167">
        <v>0.9399108393291814</v>
      </c>
      <c r="G167" t="str">
        <f t="shared" si="5"/>
        <v>.</v>
      </c>
      <c r="H167" s="8" t="s">
        <v>364</v>
      </c>
      <c r="I167" s="8" t="s">
        <v>99</v>
      </c>
      <c r="J167" s="8" t="s">
        <v>420</v>
      </c>
      <c r="L167" t="str">
        <f t="shared" si="6"/>
        <v>.</v>
      </c>
    </row>
    <row r="168" spans="1:13" hidden="1" x14ac:dyDescent="0.45">
      <c r="A168" t="s">
        <v>41</v>
      </c>
      <c r="B168" t="s">
        <v>41</v>
      </c>
      <c r="C168">
        <v>0.2298666008472654</v>
      </c>
      <c r="D168">
        <v>0.8</v>
      </c>
      <c r="E168">
        <v>0.96267211193808078</v>
      </c>
      <c r="G168" t="str">
        <f t="shared" si="5"/>
        <v>.</v>
      </c>
      <c r="H168" s="8" t="s">
        <v>365</v>
      </c>
      <c r="I168" s="8" t="s">
        <v>366</v>
      </c>
      <c r="J168" s="8" t="s">
        <v>429</v>
      </c>
      <c r="L168" t="str">
        <f t="shared" si="6"/>
        <v>.</v>
      </c>
    </row>
    <row r="169" spans="1:13" hidden="1" x14ac:dyDescent="0.45">
      <c r="A169" t="s">
        <v>35</v>
      </c>
      <c r="B169" t="s">
        <v>35</v>
      </c>
      <c r="C169">
        <v>0.20154142135486969</v>
      </c>
      <c r="D169">
        <v>0.8</v>
      </c>
      <c r="E169">
        <v>0.99807322600355197</v>
      </c>
      <c r="G169" t="str">
        <f t="shared" si="5"/>
        <v>.</v>
      </c>
      <c r="H169" s="8" t="s">
        <v>367</v>
      </c>
      <c r="I169" s="8" t="s">
        <v>368</v>
      </c>
      <c r="J169" s="8" t="s">
        <v>420</v>
      </c>
      <c r="L169" t="str">
        <f t="shared" si="6"/>
        <v>.</v>
      </c>
    </row>
    <row r="170" spans="1:13" hidden="1" x14ac:dyDescent="0.45">
      <c r="A170" t="s">
        <v>33</v>
      </c>
      <c r="B170" t="s">
        <v>33</v>
      </c>
      <c r="C170">
        <v>0.20878973060873129</v>
      </c>
      <c r="D170">
        <v>0.8</v>
      </c>
      <c r="E170">
        <v>0.9890128691951352</v>
      </c>
      <c r="G170" t="str">
        <f t="shared" si="5"/>
        <v>.</v>
      </c>
      <c r="H170" s="8" t="s">
        <v>369</v>
      </c>
      <c r="I170" s="8" t="s">
        <v>99</v>
      </c>
      <c r="J170" s="8" t="s">
        <v>424</v>
      </c>
      <c r="L170" t="str">
        <f t="shared" si="6"/>
        <v>.</v>
      </c>
    </row>
    <row r="171" spans="1:13" hidden="1" x14ac:dyDescent="0.45">
      <c r="A171" t="s">
        <v>33</v>
      </c>
      <c r="B171" t="s">
        <v>33</v>
      </c>
      <c r="C171">
        <v>0.20012677821153921</v>
      </c>
      <c r="D171">
        <v>0.8</v>
      </c>
      <c r="E171">
        <v>0.99984152748927191</v>
      </c>
      <c r="G171" t="str">
        <f t="shared" si="5"/>
        <v>.</v>
      </c>
      <c r="H171" s="8" t="s">
        <v>370</v>
      </c>
      <c r="I171" s="8" t="s">
        <v>371</v>
      </c>
      <c r="J171" s="8" t="s">
        <v>424</v>
      </c>
      <c r="L171" t="str">
        <f t="shared" si="6"/>
        <v>.</v>
      </c>
    </row>
    <row r="172" spans="1:13" hidden="1" x14ac:dyDescent="0.45">
      <c r="A172" t="s">
        <v>38</v>
      </c>
      <c r="B172" t="s">
        <v>38</v>
      </c>
      <c r="C172">
        <v>0.21127074847280741</v>
      </c>
      <c r="D172">
        <v>0.8</v>
      </c>
      <c r="E172">
        <v>0.98593585515135818</v>
      </c>
      <c r="G172" t="str">
        <f t="shared" si="5"/>
        <v>.</v>
      </c>
      <c r="H172" s="8" t="s">
        <v>372</v>
      </c>
      <c r="I172" s="8" t="s">
        <v>99</v>
      </c>
      <c r="J172" s="8" t="s">
        <v>426</v>
      </c>
      <c r="L172" t="str">
        <f t="shared" si="6"/>
        <v>.</v>
      </c>
    </row>
    <row r="173" spans="1:13" hidden="1" x14ac:dyDescent="0.45">
      <c r="A173" t="s">
        <v>35</v>
      </c>
      <c r="B173" t="s">
        <v>35</v>
      </c>
      <c r="C173">
        <v>0.21126056561452711</v>
      </c>
      <c r="D173">
        <v>0.8</v>
      </c>
      <c r="E173">
        <v>0.98593632069119785</v>
      </c>
      <c r="G173" t="str">
        <f t="shared" si="5"/>
        <v>.</v>
      </c>
      <c r="H173" s="8" t="s">
        <v>373</v>
      </c>
      <c r="I173" s="8" t="s">
        <v>99</v>
      </c>
      <c r="J173" s="8" t="s">
        <v>420</v>
      </c>
      <c r="L173" t="str">
        <f t="shared" si="6"/>
        <v>.</v>
      </c>
    </row>
    <row r="174" spans="1:13" hidden="1" x14ac:dyDescent="0.45">
      <c r="A174" t="s">
        <v>35</v>
      </c>
      <c r="B174" t="s">
        <v>35</v>
      </c>
      <c r="C174">
        <v>0.45707702388737881</v>
      </c>
      <c r="D174">
        <v>0.8</v>
      </c>
      <c r="E174">
        <v>0.67917819046514238</v>
      </c>
      <c r="G174" t="str">
        <f t="shared" si="5"/>
        <v>.</v>
      </c>
      <c r="H174" s="8" t="s">
        <v>374</v>
      </c>
      <c r="I174" s="8" t="s">
        <v>99</v>
      </c>
      <c r="J174" s="8" t="s">
        <v>420</v>
      </c>
      <c r="L174" t="str">
        <f t="shared" si="6"/>
        <v>.</v>
      </c>
    </row>
    <row r="175" spans="1:13" hidden="1" x14ac:dyDescent="0.45">
      <c r="A175" t="s">
        <v>36</v>
      </c>
      <c r="B175" t="s">
        <v>36</v>
      </c>
      <c r="C175">
        <v>0.20154141952980009</v>
      </c>
      <c r="D175">
        <v>0.8</v>
      </c>
      <c r="E175">
        <v>0.99807322600355197</v>
      </c>
      <c r="G175" t="str">
        <f t="shared" si="5"/>
        <v>.</v>
      </c>
      <c r="H175" s="8" t="s">
        <v>375</v>
      </c>
      <c r="I175" s="8" t="s">
        <v>376</v>
      </c>
      <c r="J175" s="8" t="s">
        <v>425</v>
      </c>
      <c r="L175" t="str">
        <f t="shared" si="6"/>
        <v>.</v>
      </c>
    </row>
    <row r="176" spans="1:13" hidden="1" x14ac:dyDescent="0.45">
      <c r="A176" t="s">
        <v>38</v>
      </c>
      <c r="B176" t="s">
        <v>38</v>
      </c>
      <c r="C176">
        <v>0.22292345229711291</v>
      </c>
      <c r="D176">
        <v>0.8</v>
      </c>
      <c r="E176">
        <v>0.99979648032432844</v>
      </c>
      <c r="G176" t="str">
        <f t="shared" si="5"/>
        <v>.</v>
      </c>
      <c r="H176" s="8" t="s">
        <v>377</v>
      </c>
      <c r="I176" s="8" t="s">
        <v>378</v>
      </c>
      <c r="J176" s="8" t="s">
        <v>426</v>
      </c>
      <c r="L176" t="str">
        <f t="shared" si="6"/>
        <v>.</v>
      </c>
    </row>
    <row r="177" spans="1:13" hidden="1" x14ac:dyDescent="0.45">
      <c r="A177" t="s">
        <v>38</v>
      </c>
      <c r="B177" t="s">
        <v>38</v>
      </c>
      <c r="C177">
        <v>0.20148706980442979</v>
      </c>
      <c r="D177">
        <v>0.8</v>
      </c>
      <c r="E177">
        <v>0.99997846916345023</v>
      </c>
      <c r="G177" t="str">
        <f t="shared" si="5"/>
        <v>.</v>
      </c>
      <c r="H177" s="8" t="s">
        <v>379</v>
      </c>
      <c r="I177" s="8" t="s">
        <v>380</v>
      </c>
      <c r="J177" s="8" t="s">
        <v>426</v>
      </c>
      <c r="L177" t="str">
        <f t="shared" si="6"/>
        <v>.</v>
      </c>
    </row>
    <row r="178" spans="1:13" hidden="1" x14ac:dyDescent="0.45">
      <c r="A178" t="s">
        <v>35</v>
      </c>
      <c r="B178" t="s">
        <v>35</v>
      </c>
      <c r="C178">
        <v>0.80299982126214875</v>
      </c>
      <c r="D178">
        <v>0.8</v>
      </c>
      <c r="E178">
        <v>0.81757418721671737</v>
      </c>
      <c r="G178" t="str">
        <f t="shared" si="5"/>
        <v>.</v>
      </c>
      <c r="H178" s="8" t="s">
        <v>381</v>
      </c>
      <c r="I178" s="8" t="s">
        <v>382</v>
      </c>
      <c r="J178" s="8" t="s">
        <v>420</v>
      </c>
      <c r="L178" s="13" t="str">
        <f t="shared" si="6"/>
        <v>.</v>
      </c>
      <c r="M178" s="8" t="s">
        <v>515</v>
      </c>
    </row>
    <row r="179" spans="1:13" hidden="1" x14ac:dyDescent="0.45">
      <c r="A179" t="s">
        <v>27</v>
      </c>
      <c r="B179" t="s">
        <v>27</v>
      </c>
      <c r="C179">
        <v>0.20026833170165301</v>
      </c>
      <c r="D179">
        <v>0.8</v>
      </c>
      <c r="E179">
        <v>0.99966459043674005</v>
      </c>
      <c r="G179" t="str">
        <f t="shared" si="5"/>
        <v>.</v>
      </c>
      <c r="H179" s="8" t="s">
        <v>383</v>
      </c>
      <c r="I179" s="8" t="s">
        <v>384</v>
      </c>
      <c r="J179" s="8" t="s">
        <v>417</v>
      </c>
      <c r="L179" t="str">
        <f t="shared" si="6"/>
        <v>.</v>
      </c>
    </row>
    <row r="180" spans="1:13" hidden="1" x14ac:dyDescent="0.45">
      <c r="A180" t="s">
        <v>32</v>
      </c>
      <c r="B180" t="s">
        <v>32</v>
      </c>
      <c r="C180">
        <v>4.7426980634126981E-2</v>
      </c>
      <c r="D180">
        <v>1</v>
      </c>
      <c r="E180">
        <v>0.95257302631067453</v>
      </c>
      <c r="G180" t="str">
        <f t="shared" si="5"/>
        <v>.</v>
      </c>
      <c r="H180" s="8" t="s">
        <v>385</v>
      </c>
      <c r="I180" s="8" t="s">
        <v>99</v>
      </c>
      <c r="J180" s="8" t="s">
        <v>423</v>
      </c>
      <c r="L180" t="str">
        <f t="shared" si="6"/>
        <v>.</v>
      </c>
    </row>
    <row r="181" spans="1:13" hidden="1" x14ac:dyDescent="0.45">
      <c r="A181" t="s">
        <v>36</v>
      </c>
      <c r="B181" t="s">
        <v>36</v>
      </c>
      <c r="C181">
        <v>0.20056774844812111</v>
      </c>
      <c r="D181">
        <v>0.8</v>
      </c>
      <c r="E181">
        <v>0.99929032330932133</v>
      </c>
      <c r="G181" t="str">
        <f t="shared" si="5"/>
        <v>.</v>
      </c>
      <c r="H181" s="8" t="s">
        <v>386</v>
      </c>
      <c r="I181" s="8" t="s">
        <v>387</v>
      </c>
      <c r="J181" s="8" t="s">
        <v>425</v>
      </c>
      <c r="L181" t="str">
        <f t="shared" si="6"/>
        <v>.</v>
      </c>
    </row>
    <row r="182" spans="1:13" hidden="1" x14ac:dyDescent="0.45">
      <c r="A182" t="s">
        <v>35</v>
      </c>
      <c r="B182" t="s">
        <v>35</v>
      </c>
      <c r="C182">
        <v>0.26105525634827959</v>
      </c>
      <c r="D182">
        <v>0.8</v>
      </c>
      <c r="E182">
        <v>0.92414157141107012</v>
      </c>
      <c r="G182" t="str">
        <f t="shared" si="5"/>
        <v>.</v>
      </c>
      <c r="H182" s="8" t="s">
        <v>388</v>
      </c>
      <c r="I182" s="8" t="s">
        <v>99</v>
      </c>
      <c r="J182" s="8" t="s">
        <v>420</v>
      </c>
      <c r="L182" t="str">
        <f t="shared" si="6"/>
        <v>.</v>
      </c>
    </row>
    <row r="183" spans="1:13" hidden="1" x14ac:dyDescent="0.45">
      <c r="A183" t="s">
        <v>35</v>
      </c>
      <c r="B183" t="s">
        <v>35</v>
      </c>
      <c r="C183">
        <v>0.22345545632144001</v>
      </c>
      <c r="D183">
        <v>0.8</v>
      </c>
      <c r="E183">
        <v>0.9706870301020154</v>
      </c>
      <c r="G183" t="str">
        <f t="shared" si="5"/>
        <v>.</v>
      </c>
      <c r="H183" s="8" t="s">
        <v>389</v>
      </c>
      <c r="I183" s="8" t="s">
        <v>390</v>
      </c>
      <c r="J183" s="8" t="s">
        <v>420</v>
      </c>
      <c r="L183" t="str">
        <f t="shared" si="6"/>
        <v>.</v>
      </c>
    </row>
    <row r="184" spans="1:13" hidden="1" x14ac:dyDescent="0.45">
      <c r="A184" t="s">
        <v>41</v>
      </c>
      <c r="B184" t="s">
        <v>41</v>
      </c>
      <c r="C184">
        <v>0.20002208886840139</v>
      </c>
      <c r="D184">
        <v>0.8</v>
      </c>
      <c r="E184">
        <v>0.99997238992645676</v>
      </c>
      <c r="G184" t="str">
        <f t="shared" si="5"/>
        <v>.</v>
      </c>
      <c r="H184" s="8" t="s">
        <v>391</v>
      </c>
      <c r="I184" s="8" t="s">
        <v>392</v>
      </c>
      <c r="J184" s="8" t="s">
        <v>429</v>
      </c>
      <c r="L184" t="str">
        <f t="shared" si="6"/>
        <v>.</v>
      </c>
    </row>
    <row r="185" spans="1:13" hidden="1" x14ac:dyDescent="0.45">
      <c r="A185" t="s">
        <v>35</v>
      </c>
      <c r="B185" t="s">
        <v>35</v>
      </c>
      <c r="C185">
        <v>0.21838191627823869</v>
      </c>
      <c r="D185">
        <v>0.8</v>
      </c>
      <c r="E185">
        <v>0.97702261672772872</v>
      </c>
      <c r="G185" t="str">
        <f t="shared" si="5"/>
        <v>.</v>
      </c>
      <c r="H185" s="8" t="s">
        <v>393</v>
      </c>
      <c r="I185" s="8" t="s">
        <v>99</v>
      </c>
      <c r="J185" s="8" t="s">
        <v>420</v>
      </c>
      <c r="L185" t="str">
        <f t="shared" si="6"/>
        <v>.</v>
      </c>
    </row>
    <row r="186" spans="1:13" hidden="1" x14ac:dyDescent="0.45">
      <c r="A186" t="s">
        <v>41</v>
      </c>
      <c r="B186" t="s">
        <v>41</v>
      </c>
      <c r="C186">
        <v>0.64974588564478064</v>
      </c>
      <c r="D186">
        <v>0.8</v>
      </c>
      <c r="E186">
        <v>0.43781791584918672</v>
      </c>
      <c r="G186" t="str">
        <f t="shared" si="5"/>
        <v>.</v>
      </c>
      <c r="H186" s="8" t="s">
        <v>394</v>
      </c>
      <c r="I186" s="8" t="s">
        <v>99</v>
      </c>
      <c r="J186" s="8" t="s">
        <v>429</v>
      </c>
      <c r="L186" t="str">
        <f t="shared" si="6"/>
        <v>.</v>
      </c>
    </row>
    <row r="187" spans="1:13" x14ac:dyDescent="0.45">
      <c r="A187" t="s">
        <v>39</v>
      </c>
      <c r="B187" t="s">
        <v>37</v>
      </c>
      <c r="C187">
        <v>1</v>
      </c>
      <c r="D187">
        <v>0.8</v>
      </c>
      <c r="E187">
        <v>0.49999976062915102</v>
      </c>
      <c r="G187" t="str">
        <f t="shared" si="5"/>
        <v>W</v>
      </c>
      <c r="H187" s="8" t="s">
        <v>65</v>
      </c>
      <c r="I187" s="8" t="s">
        <v>395</v>
      </c>
      <c r="J187" s="8" t="s">
        <v>427</v>
      </c>
      <c r="K187" s="8" t="s">
        <v>515</v>
      </c>
      <c r="L187" s="13" t="str">
        <f t="shared" si="6"/>
        <v>NonID</v>
      </c>
      <c r="M187" s="8" t="s">
        <v>515</v>
      </c>
    </row>
    <row r="188" spans="1:13" hidden="1" x14ac:dyDescent="0.45">
      <c r="A188" t="s">
        <v>28</v>
      </c>
      <c r="B188" t="s">
        <v>28</v>
      </c>
      <c r="C188">
        <v>0.2000221243222734</v>
      </c>
      <c r="D188">
        <v>0.8</v>
      </c>
      <c r="E188">
        <v>0.99997238992645676</v>
      </c>
      <c r="G188" t="str">
        <f t="shared" si="5"/>
        <v>.</v>
      </c>
      <c r="H188" s="8" t="s">
        <v>396</v>
      </c>
      <c r="I188" s="8" t="s">
        <v>397</v>
      </c>
      <c r="J188" s="8" t="s">
        <v>418</v>
      </c>
      <c r="L188" t="str">
        <f t="shared" si="6"/>
        <v>.</v>
      </c>
    </row>
    <row r="189" spans="1:13" x14ac:dyDescent="0.45">
      <c r="A189" t="s">
        <v>45</v>
      </c>
      <c r="B189" t="s">
        <v>37</v>
      </c>
      <c r="C189">
        <v>1</v>
      </c>
      <c r="D189">
        <v>0.8</v>
      </c>
      <c r="E189">
        <v>0.92413881725866975</v>
      </c>
      <c r="G189" t="str">
        <f t="shared" si="5"/>
        <v>W</v>
      </c>
      <c r="H189" s="8" t="s">
        <v>398</v>
      </c>
      <c r="I189" s="8" t="s">
        <v>399</v>
      </c>
      <c r="J189" s="8" t="s">
        <v>433</v>
      </c>
      <c r="K189" s="8" t="s">
        <v>515</v>
      </c>
      <c r="L189" s="13" t="str">
        <f t="shared" si="6"/>
        <v>NonID</v>
      </c>
      <c r="M189" s="8" t="s">
        <v>515</v>
      </c>
    </row>
    <row r="190" spans="1:13" hidden="1" x14ac:dyDescent="0.45">
      <c r="A190" t="s">
        <v>51</v>
      </c>
      <c r="B190" t="s">
        <v>51</v>
      </c>
      <c r="C190">
        <v>0.20009875335460761</v>
      </c>
      <c r="D190">
        <v>0.8</v>
      </c>
      <c r="E190">
        <v>0.99987656475506059</v>
      </c>
      <c r="G190" t="str">
        <f t="shared" si="5"/>
        <v>.</v>
      </c>
      <c r="H190" s="8" t="s">
        <v>400</v>
      </c>
      <c r="I190" s="8" t="s">
        <v>401</v>
      </c>
      <c r="J190" s="8" t="s">
        <v>438</v>
      </c>
      <c r="L190" t="str">
        <f t="shared" si="6"/>
        <v>.</v>
      </c>
    </row>
    <row r="191" spans="1:13" x14ac:dyDescent="0.45">
      <c r="A191" t="s">
        <v>30</v>
      </c>
      <c r="B191" t="s">
        <v>37</v>
      </c>
      <c r="C191">
        <v>1</v>
      </c>
      <c r="D191">
        <v>0.8</v>
      </c>
      <c r="E191">
        <v>1.798620273753547E-2</v>
      </c>
      <c r="G191" t="str">
        <f t="shared" si="5"/>
        <v>W</v>
      </c>
      <c r="H191" s="8" t="s">
        <v>402</v>
      </c>
      <c r="I191" s="8" t="s">
        <v>99</v>
      </c>
      <c r="J191" s="8" t="s">
        <v>421</v>
      </c>
      <c r="K191" s="8" t="s">
        <v>514</v>
      </c>
      <c r="L191" s="13" t="str">
        <f t="shared" si="6"/>
        <v>NonID</v>
      </c>
      <c r="M191" s="8" t="s">
        <v>514</v>
      </c>
    </row>
    <row r="192" spans="1:13" hidden="1" x14ac:dyDescent="0.45">
      <c r="A192" t="s">
        <v>35</v>
      </c>
      <c r="B192" t="s">
        <v>35</v>
      </c>
      <c r="C192">
        <v>0.23021088267643269</v>
      </c>
      <c r="D192">
        <v>0.8</v>
      </c>
      <c r="E192">
        <v>0.96267211193808078</v>
      </c>
      <c r="G192" t="str">
        <f t="shared" si="5"/>
        <v>.</v>
      </c>
      <c r="H192" s="8" t="s">
        <v>403</v>
      </c>
      <c r="I192" s="8" t="s">
        <v>99</v>
      </c>
      <c r="J192" s="8" t="s">
        <v>420</v>
      </c>
      <c r="L192" t="str">
        <f t="shared" si="6"/>
        <v>.</v>
      </c>
    </row>
    <row r="193" spans="1:13" hidden="1" x14ac:dyDescent="0.45">
      <c r="A193" t="s">
        <v>27</v>
      </c>
      <c r="B193" t="s">
        <v>27</v>
      </c>
      <c r="C193">
        <v>0.20000238204248641</v>
      </c>
      <c r="D193">
        <v>0.8</v>
      </c>
      <c r="E193">
        <v>0.99999706470747396</v>
      </c>
      <c r="G193" t="str">
        <f t="shared" si="5"/>
        <v>.</v>
      </c>
      <c r="H193" s="8" t="s">
        <v>404</v>
      </c>
      <c r="I193" s="8" t="s">
        <v>405</v>
      </c>
      <c r="J193" s="8" t="s">
        <v>417</v>
      </c>
      <c r="L193" t="str">
        <f t="shared" si="6"/>
        <v>.</v>
      </c>
    </row>
    <row r="194" spans="1:13" hidden="1" x14ac:dyDescent="0.45">
      <c r="A194" t="s">
        <v>41</v>
      </c>
      <c r="B194" t="s">
        <v>41</v>
      </c>
      <c r="C194">
        <v>0.201541425681105</v>
      </c>
      <c r="D194">
        <v>0.8</v>
      </c>
      <c r="E194">
        <v>0.99807322600355197</v>
      </c>
      <c r="G194" t="str">
        <f t="shared" si="5"/>
        <v>.</v>
      </c>
      <c r="H194" s="8" t="s">
        <v>406</v>
      </c>
      <c r="I194" s="8" t="s">
        <v>407</v>
      </c>
      <c r="J194" s="8" t="s">
        <v>429</v>
      </c>
      <c r="L194" t="str">
        <f t="shared" si="6"/>
        <v>.</v>
      </c>
    </row>
    <row r="195" spans="1:13" hidden="1" x14ac:dyDescent="0.45">
      <c r="A195" t="s">
        <v>35</v>
      </c>
      <c r="B195" t="s">
        <v>35</v>
      </c>
      <c r="C195">
        <v>0.2234620241706832</v>
      </c>
      <c r="D195">
        <v>0.8</v>
      </c>
      <c r="E195">
        <v>0.97068748030544638</v>
      </c>
      <c r="G195" t="str">
        <f t="shared" ref="G195:G258" si="7">IF(A195=B195,".","W")</f>
        <v>.</v>
      </c>
      <c r="H195" s="8" t="s">
        <v>408</v>
      </c>
      <c r="I195" s="8" t="s">
        <v>99</v>
      </c>
      <c r="J195" s="8" t="s">
        <v>420</v>
      </c>
      <c r="L195" t="str">
        <f t="shared" si="6"/>
        <v>.</v>
      </c>
    </row>
    <row r="196" spans="1:13" hidden="1" x14ac:dyDescent="0.45">
      <c r="A196" t="s">
        <v>35</v>
      </c>
      <c r="B196" t="s">
        <v>35</v>
      </c>
      <c r="C196">
        <v>0.2234510698156815</v>
      </c>
      <c r="D196">
        <v>0.8</v>
      </c>
      <c r="E196">
        <v>0.9706870301020154</v>
      </c>
      <c r="G196" t="str">
        <f t="shared" si="7"/>
        <v>.</v>
      </c>
      <c r="H196" s="8" t="s">
        <v>409</v>
      </c>
      <c r="I196" s="8" t="s">
        <v>390</v>
      </c>
      <c r="J196" s="8" t="s">
        <v>420</v>
      </c>
      <c r="L196" t="str">
        <f t="shared" si="6"/>
        <v>.</v>
      </c>
    </row>
    <row r="197" spans="1:13" hidden="1" x14ac:dyDescent="0.45">
      <c r="A197" t="s">
        <v>36</v>
      </c>
      <c r="B197" t="s">
        <v>36</v>
      </c>
      <c r="C197">
        <v>0.2019780777289529</v>
      </c>
      <c r="D197">
        <v>0.8</v>
      </c>
      <c r="E197">
        <v>0.99752740325115785</v>
      </c>
      <c r="G197" t="str">
        <f t="shared" si="7"/>
        <v>.</v>
      </c>
      <c r="H197" s="8" t="s">
        <v>410</v>
      </c>
      <c r="I197" s="8" t="s">
        <v>411</v>
      </c>
      <c r="J197" s="8" t="s">
        <v>425</v>
      </c>
      <c r="L197" t="str">
        <f t="shared" si="6"/>
        <v>.</v>
      </c>
    </row>
    <row r="198" spans="1:13" hidden="1" x14ac:dyDescent="0.45">
      <c r="A198" t="s">
        <v>41</v>
      </c>
      <c r="B198" t="s">
        <v>41</v>
      </c>
      <c r="C198">
        <v>0.2007288434859584</v>
      </c>
      <c r="D198">
        <v>0.8</v>
      </c>
      <c r="E198">
        <v>0.99908895173900303</v>
      </c>
      <c r="G198" t="str">
        <f t="shared" si="7"/>
        <v>.</v>
      </c>
      <c r="H198" s="8" t="s">
        <v>412</v>
      </c>
      <c r="I198" s="8" t="s">
        <v>413</v>
      </c>
      <c r="J198" s="8" t="s">
        <v>429</v>
      </c>
      <c r="L198" t="str">
        <f t="shared" si="6"/>
        <v>.</v>
      </c>
    </row>
    <row r="199" spans="1:13" hidden="1" x14ac:dyDescent="0.45">
      <c r="A199" t="s">
        <v>35</v>
      </c>
      <c r="B199" t="s">
        <v>35</v>
      </c>
      <c r="C199">
        <v>0.21841211343686789</v>
      </c>
      <c r="D199">
        <v>0.8</v>
      </c>
      <c r="E199">
        <v>0.97702261672772872</v>
      </c>
      <c r="G199" t="str">
        <f t="shared" si="7"/>
        <v>.</v>
      </c>
      <c r="H199" s="8" t="s">
        <v>414</v>
      </c>
      <c r="I199" s="8" t="s">
        <v>99</v>
      </c>
      <c r="J199" s="8" t="s">
        <v>420</v>
      </c>
      <c r="L199" t="str">
        <f t="shared" si="6"/>
        <v>.</v>
      </c>
    </row>
    <row r="200" spans="1:13" hidden="1" x14ac:dyDescent="0.45">
      <c r="A200" t="s">
        <v>28</v>
      </c>
      <c r="B200" t="s">
        <v>28</v>
      </c>
      <c r="C200">
        <v>0.29636413135032702</v>
      </c>
      <c r="D200">
        <v>0.8</v>
      </c>
      <c r="E200">
        <v>0.880796810635188</v>
      </c>
      <c r="G200" t="str">
        <f t="shared" si="7"/>
        <v>.</v>
      </c>
      <c r="H200" s="8" t="s">
        <v>98</v>
      </c>
      <c r="I200" s="8" t="s">
        <v>99</v>
      </c>
      <c r="J200" s="8" t="s">
        <v>418</v>
      </c>
      <c r="L200" t="str">
        <f t="shared" si="6"/>
        <v>.</v>
      </c>
    </row>
    <row r="201" spans="1:13" hidden="1" x14ac:dyDescent="0.45">
      <c r="A201" t="s">
        <v>35</v>
      </c>
      <c r="B201" t="s">
        <v>35</v>
      </c>
      <c r="C201">
        <v>0.2087917296184951</v>
      </c>
      <c r="D201">
        <v>0.8</v>
      </c>
      <c r="E201">
        <v>0.98901275129562083</v>
      </c>
      <c r="G201" t="str">
        <f t="shared" si="7"/>
        <v>.</v>
      </c>
      <c r="H201" s="8" t="s">
        <v>440</v>
      </c>
      <c r="I201" s="8" t="s">
        <v>99</v>
      </c>
      <c r="J201" s="8" t="s">
        <v>420</v>
      </c>
      <c r="L201" t="str">
        <f t="shared" si="6"/>
        <v>.</v>
      </c>
    </row>
    <row r="202" spans="1:13" hidden="1" x14ac:dyDescent="0.45">
      <c r="A202" t="s">
        <v>35</v>
      </c>
      <c r="B202" t="s">
        <v>35</v>
      </c>
      <c r="C202">
        <v>0.26070920113969592</v>
      </c>
      <c r="D202">
        <v>0.8</v>
      </c>
      <c r="E202">
        <v>0.92413881725866975</v>
      </c>
      <c r="G202" t="str">
        <f t="shared" si="7"/>
        <v>.</v>
      </c>
      <c r="H202" s="8" t="s">
        <v>441</v>
      </c>
      <c r="I202" s="8" t="s">
        <v>99</v>
      </c>
      <c r="J202" s="8" t="s">
        <v>420</v>
      </c>
      <c r="L202" t="str">
        <f t="shared" si="6"/>
        <v>.</v>
      </c>
    </row>
    <row r="203" spans="1:13" hidden="1" x14ac:dyDescent="0.45">
      <c r="A203" t="s">
        <v>32</v>
      </c>
      <c r="B203" t="s">
        <v>32</v>
      </c>
      <c r="C203">
        <v>6.2745950043519017E-6</v>
      </c>
      <c r="D203">
        <v>1</v>
      </c>
      <c r="E203">
        <v>0.99999372702007638</v>
      </c>
      <c r="G203" t="str">
        <f t="shared" si="7"/>
        <v>.</v>
      </c>
      <c r="H203" s="8" t="s">
        <v>176</v>
      </c>
      <c r="I203" s="8" t="s">
        <v>177</v>
      </c>
      <c r="J203" s="8" t="s">
        <v>423</v>
      </c>
      <c r="L203" t="str">
        <f t="shared" si="6"/>
        <v>.</v>
      </c>
    </row>
    <row r="204" spans="1:13" hidden="1" x14ac:dyDescent="0.45">
      <c r="A204" t="s">
        <v>35</v>
      </c>
      <c r="B204" t="s">
        <v>35</v>
      </c>
      <c r="C204">
        <v>0.31857661505063067</v>
      </c>
      <c r="D204">
        <v>0.8</v>
      </c>
      <c r="E204">
        <v>0.85195032289157824</v>
      </c>
      <c r="G204" t="str">
        <f t="shared" si="7"/>
        <v>.</v>
      </c>
      <c r="H204" s="8" t="s">
        <v>271</v>
      </c>
      <c r="I204" s="8" t="s">
        <v>99</v>
      </c>
      <c r="J204" s="8" t="s">
        <v>420</v>
      </c>
      <c r="L204" t="str">
        <f t="shared" si="6"/>
        <v>.</v>
      </c>
    </row>
    <row r="205" spans="1:13" hidden="1" x14ac:dyDescent="0.45">
      <c r="A205" t="s">
        <v>38</v>
      </c>
      <c r="B205" t="s">
        <v>38</v>
      </c>
      <c r="C205">
        <v>0.20537531877569781</v>
      </c>
      <c r="D205">
        <v>0.8</v>
      </c>
      <c r="E205">
        <v>0.99330700849498244</v>
      </c>
      <c r="G205" t="str">
        <f t="shared" si="7"/>
        <v>.</v>
      </c>
      <c r="H205" s="8" t="s">
        <v>219</v>
      </c>
      <c r="I205" s="8" t="s">
        <v>220</v>
      </c>
      <c r="J205" s="8" t="s">
        <v>426</v>
      </c>
      <c r="L205" t="str">
        <f t="shared" si="6"/>
        <v>.</v>
      </c>
    </row>
    <row r="206" spans="1:13" hidden="1" x14ac:dyDescent="0.45">
      <c r="A206" t="s">
        <v>38</v>
      </c>
      <c r="B206" t="s">
        <v>38</v>
      </c>
      <c r="C206">
        <v>0.2009693733780947</v>
      </c>
      <c r="D206">
        <v>0.8</v>
      </c>
      <c r="E206">
        <v>0.99883045900532441</v>
      </c>
      <c r="G206" t="str">
        <f t="shared" si="7"/>
        <v>.</v>
      </c>
      <c r="H206" s="8" t="s">
        <v>379</v>
      </c>
      <c r="I206" s="8" t="s">
        <v>380</v>
      </c>
      <c r="J206" s="8" t="s">
        <v>426</v>
      </c>
      <c r="L206" t="str">
        <f t="shared" si="6"/>
        <v>.</v>
      </c>
    </row>
    <row r="207" spans="1:13" hidden="1" x14ac:dyDescent="0.45">
      <c r="A207" t="s">
        <v>32</v>
      </c>
      <c r="B207" t="s">
        <v>32</v>
      </c>
      <c r="C207">
        <v>0.73106057897550103</v>
      </c>
      <c r="D207">
        <v>1</v>
      </c>
      <c r="E207">
        <v>0.26894092437172351</v>
      </c>
      <c r="G207" t="str">
        <f t="shared" si="7"/>
        <v>.</v>
      </c>
      <c r="H207" s="8" t="s">
        <v>354</v>
      </c>
      <c r="I207" s="8" t="s">
        <v>355</v>
      </c>
      <c r="J207" s="8" t="s">
        <v>423</v>
      </c>
      <c r="L207" t="str">
        <f t="shared" ref="L207:L270" si="8">IF(C207&lt;=$L$1,".","NonID")</f>
        <v>.</v>
      </c>
    </row>
    <row r="208" spans="1:13" hidden="1" x14ac:dyDescent="0.45">
      <c r="A208" t="s">
        <v>55</v>
      </c>
      <c r="B208" t="s">
        <v>55</v>
      </c>
      <c r="C208">
        <v>0.99928179526542404</v>
      </c>
      <c r="D208">
        <v>0.8</v>
      </c>
      <c r="E208">
        <v>1.9267342527389899E-3</v>
      </c>
      <c r="G208" t="str">
        <f t="shared" si="7"/>
        <v>.</v>
      </c>
      <c r="H208" s="8" t="s">
        <v>238</v>
      </c>
      <c r="I208" s="8" t="s">
        <v>239</v>
      </c>
      <c r="J208" s="8" t="s">
        <v>435</v>
      </c>
      <c r="L208" s="13" t="str">
        <f t="shared" si="8"/>
        <v>NonID</v>
      </c>
      <c r="M208" s="8" t="s">
        <v>515</v>
      </c>
    </row>
    <row r="209" spans="1:12" x14ac:dyDescent="0.45">
      <c r="A209" t="s">
        <v>30</v>
      </c>
      <c r="B209" t="s">
        <v>37</v>
      </c>
      <c r="C209">
        <v>0.71568198691118456</v>
      </c>
      <c r="D209">
        <v>0.8</v>
      </c>
      <c r="E209">
        <v>0.93991199480533294</v>
      </c>
      <c r="G209" t="str">
        <f t="shared" si="7"/>
        <v>W</v>
      </c>
      <c r="H209" s="8" t="s">
        <v>115</v>
      </c>
      <c r="I209" s="8" t="s">
        <v>116</v>
      </c>
      <c r="J209" s="8" t="s">
        <v>421</v>
      </c>
      <c r="K209" s="8" t="s">
        <v>515</v>
      </c>
      <c r="L209" t="str">
        <f t="shared" si="8"/>
        <v>.</v>
      </c>
    </row>
    <row r="210" spans="1:12" hidden="1" x14ac:dyDescent="0.45">
      <c r="A210" t="s">
        <v>26</v>
      </c>
      <c r="B210" t="s">
        <v>26</v>
      </c>
      <c r="C210">
        <v>0.34594148743970549</v>
      </c>
      <c r="D210">
        <v>0.8</v>
      </c>
      <c r="E210">
        <v>0.81757402884027097</v>
      </c>
      <c r="G210" t="str">
        <f t="shared" si="7"/>
        <v>.</v>
      </c>
      <c r="H210" s="8" t="s">
        <v>94</v>
      </c>
      <c r="I210" s="8" t="s">
        <v>95</v>
      </c>
      <c r="J210" s="8" t="s">
        <v>416</v>
      </c>
      <c r="L210" t="str">
        <f t="shared" si="8"/>
        <v>.</v>
      </c>
    </row>
    <row r="211" spans="1:12" hidden="1" x14ac:dyDescent="0.45">
      <c r="A211" t="s">
        <v>39</v>
      </c>
      <c r="B211" t="s">
        <v>39</v>
      </c>
      <c r="C211">
        <v>0.20072883880355399</v>
      </c>
      <c r="D211">
        <v>0.8</v>
      </c>
      <c r="E211">
        <v>0.99908895173900303</v>
      </c>
      <c r="G211" t="str">
        <f t="shared" si="7"/>
        <v>.</v>
      </c>
      <c r="H211" s="8" t="s">
        <v>65</v>
      </c>
      <c r="I211" s="8" t="s">
        <v>395</v>
      </c>
      <c r="J211" s="8" t="s">
        <v>427</v>
      </c>
      <c r="L211" t="str">
        <f t="shared" si="8"/>
        <v>.</v>
      </c>
    </row>
    <row r="212" spans="1:12" hidden="1" x14ac:dyDescent="0.45">
      <c r="A212" t="s">
        <v>49</v>
      </c>
      <c r="B212" t="s">
        <v>49</v>
      </c>
      <c r="C212">
        <v>0.20016289579593771</v>
      </c>
      <c r="D212">
        <v>0.8</v>
      </c>
      <c r="E212">
        <v>0.99979648032432844</v>
      </c>
      <c r="G212" t="str">
        <f t="shared" si="7"/>
        <v>.</v>
      </c>
      <c r="H212" s="8" t="s">
        <v>291</v>
      </c>
      <c r="I212" s="8" t="s">
        <v>292</v>
      </c>
      <c r="J212" s="8" t="s">
        <v>436</v>
      </c>
      <c r="L212" t="str">
        <f t="shared" si="8"/>
        <v>.</v>
      </c>
    </row>
    <row r="213" spans="1:12" hidden="1" x14ac:dyDescent="0.45">
      <c r="A213" t="s">
        <v>38</v>
      </c>
      <c r="B213" t="s">
        <v>38</v>
      </c>
      <c r="C213">
        <v>0.2032877692352785</v>
      </c>
      <c r="D213">
        <v>0.8</v>
      </c>
      <c r="E213">
        <v>0.99592978540693999</v>
      </c>
      <c r="G213" t="str">
        <f t="shared" si="7"/>
        <v>.</v>
      </c>
      <c r="H213" s="8" t="s">
        <v>275</v>
      </c>
      <c r="I213" s="8" t="s">
        <v>276</v>
      </c>
      <c r="J213" s="8" t="s">
        <v>426</v>
      </c>
      <c r="L213" t="str">
        <f t="shared" si="8"/>
        <v>.</v>
      </c>
    </row>
    <row r="214" spans="1:12" hidden="1" x14ac:dyDescent="0.45">
      <c r="A214" t="s">
        <v>30</v>
      </c>
      <c r="B214" t="s">
        <v>30</v>
      </c>
      <c r="C214">
        <v>0.3489548583529154</v>
      </c>
      <c r="D214">
        <v>0.8</v>
      </c>
      <c r="E214">
        <v>0.81757131207985145</v>
      </c>
      <c r="G214" t="str">
        <f t="shared" si="7"/>
        <v>.</v>
      </c>
      <c r="H214" s="8" t="s">
        <v>111</v>
      </c>
      <c r="I214" s="8" t="s">
        <v>112</v>
      </c>
      <c r="J214" s="8" t="s">
        <v>421</v>
      </c>
      <c r="L214" t="str">
        <f t="shared" si="8"/>
        <v>.</v>
      </c>
    </row>
    <row r="215" spans="1:12" hidden="1" x14ac:dyDescent="0.45">
      <c r="A215" t="s">
        <v>31</v>
      </c>
      <c r="B215" t="s">
        <v>31</v>
      </c>
      <c r="C215">
        <v>0.20012685579619841</v>
      </c>
      <c r="D215">
        <v>0.8</v>
      </c>
      <c r="E215">
        <v>0.99984152748927191</v>
      </c>
      <c r="G215" t="str">
        <f t="shared" si="7"/>
        <v>.</v>
      </c>
      <c r="H215" s="8" t="s">
        <v>104</v>
      </c>
      <c r="I215" s="8" t="s">
        <v>105</v>
      </c>
      <c r="J215" s="8" t="s">
        <v>422</v>
      </c>
      <c r="L215" t="str">
        <f t="shared" si="8"/>
        <v>.</v>
      </c>
    </row>
    <row r="216" spans="1:12" hidden="1" x14ac:dyDescent="0.45">
      <c r="A216" t="s">
        <v>45</v>
      </c>
      <c r="B216" t="s">
        <v>45</v>
      </c>
      <c r="C216">
        <v>0.20120126834463489</v>
      </c>
      <c r="D216">
        <v>0.8</v>
      </c>
      <c r="E216">
        <v>0.99849876799337189</v>
      </c>
      <c r="G216" t="str">
        <f t="shared" si="7"/>
        <v>.</v>
      </c>
      <c r="H216" s="9" t="s">
        <v>398</v>
      </c>
      <c r="I216" s="8" t="s">
        <v>399</v>
      </c>
      <c r="J216" s="8" t="s">
        <v>433</v>
      </c>
      <c r="L216" t="str">
        <f t="shared" si="8"/>
        <v>.</v>
      </c>
    </row>
    <row r="217" spans="1:12" hidden="1" x14ac:dyDescent="0.45">
      <c r="A217" t="s">
        <v>49</v>
      </c>
      <c r="B217" t="s">
        <v>49</v>
      </c>
      <c r="C217">
        <v>0.2025381363944746</v>
      </c>
      <c r="D217">
        <v>0.8</v>
      </c>
      <c r="E217">
        <v>0.99682732998531542</v>
      </c>
      <c r="G217" t="str">
        <f t="shared" si="7"/>
        <v>.</v>
      </c>
      <c r="H217" s="8" t="s">
        <v>261</v>
      </c>
      <c r="I217" s="8" t="s">
        <v>262</v>
      </c>
      <c r="J217" s="8" t="s">
        <v>436</v>
      </c>
      <c r="L217" t="str">
        <f t="shared" si="8"/>
        <v>.</v>
      </c>
    </row>
    <row r="218" spans="1:12" hidden="1" x14ac:dyDescent="0.45">
      <c r="A218" t="s">
        <v>56</v>
      </c>
      <c r="B218" t="s">
        <v>56</v>
      </c>
      <c r="C218">
        <v>0.78502958458110617</v>
      </c>
      <c r="D218">
        <v>0.8</v>
      </c>
      <c r="E218">
        <v>0.26894095643198179</v>
      </c>
      <c r="G218" t="str">
        <f t="shared" si="7"/>
        <v>.</v>
      </c>
      <c r="H218" s="8" t="s">
        <v>333</v>
      </c>
      <c r="I218" s="8" t="s">
        <v>334</v>
      </c>
      <c r="J218" s="8" t="s">
        <v>435</v>
      </c>
      <c r="L218" t="str">
        <f t="shared" si="8"/>
        <v>.</v>
      </c>
    </row>
    <row r="219" spans="1:12" hidden="1" x14ac:dyDescent="0.45">
      <c r="A219" t="s">
        <v>26</v>
      </c>
      <c r="B219" t="s">
        <v>26</v>
      </c>
      <c r="C219">
        <v>0.21125132248656961</v>
      </c>
      <c r="D219">
        <v>0.8</v>
      </c>
      <c r="E219">
        <v>0.98593585515135818</v>
      </c>
      <c r="G219" t="str">
        <f t="shared" si="7"/>
        <v>.</v>
      </c>
      <c r="H219" s="8" t="s">
        <v>269</v>
      </c>
      <c r="I219" s="8" t="s">
        <v>270</v>
      </c>
      <c r="J219" s="8" t="s">
        <v>416</v>
      </c>
      <c r="L219" t="str">
        <f t="shared" si="8"/>
        <v>.</v>
      </c>
    </row>
    <row r="220" spans="1:12" hidden="1" x14ac:dyDescent="0.45">
      <c r="A220" t="s">
        <v>38</v>
      </c>
      <c r="B220" t="s">
        <v>38</v>
      </c>
      <c r="C220">
        <v>0.2033513752026693</v>
      </c>
      <c r="D220">
        <v>0.8</v>
      </c>
      <c r="E220">
        <v>0.99592978540693999</v>
      </c>
      <c r="G220" t="str">
        <f t="shared" si="7"/>
        <v>.</v>
      </c>
      <c r="H220" s="8" t="s">
        <v>372</v>
      </c>
      <c r="I220" s="8" t="s">
        <v>99</v>
      </c>
      <c r="J220" s="8" t="s">
        <v>426</v>
      </c>
      <c r="L220" t="str">
        <f t="shared" si="8"/>
        <v>.</v>
      </c>
    </row>
    <row r="221" spans="1:12" hidden="1" x14ac:dyDescent="0.45">
      <c r="A221" t="s">
        <v>38</v>
      </c>
      <c r="B221" t="s">
        <v>38</v>
      </c>
      <c r="C221">
        <v>0.20593196257989929</v>
      </c>
      <c r="D221">
        <v>0.8</v>
      </c>
      <c r="E221">
        <v>0.99990385206411014</v>
      </c>
      <c r="G221" t="str">
        <f t="shared" si="7"/>
        <v>.</v>
      </c>
      <c r="H221" s="8" t="s">
        <v>178</v>
      </c>
      <c r="I221" s="8" t="s">
        <v>179</v>
      </c>
      <c r="J221" s="8" t="s">
        <v>426</v>
      </c>
      <c r="L221" t="str">
        <f t="shared" si="8"/>
        <v>.</v>
      </c>
    </row>
    <row r="222" spans="1:12" x14ac:dyDescent="0.45">
      <c r="A222" t="s">
        <v>38</v>
      </c>
      <c r="B222" t="s">
        <v>43</v>
      </c>
      <c r="C222">
        <v>0.2007299596817782</v>
      </c>
      <c r="D222">
        <v>0.8</v>
      </c>
      <c r="E222">
        <v>0.99908895173900303</v>
      </c>
      <c r="G222" t="str">
        <f t="shared" si="7"/>
        <v>W</v>
      </c>
      <c r="H222" s="8" t="s">
        <v>138</v>
      </c>
      <c r="I222" s="8" t="s">
        <v>139</v>
      </c>
      <c r="J222" s="8" t="s">
        <v>426</v>
      </c>
      <c r="K222" s="8" t="s">
        <v>515</v>
      </c>
      <c r="L222" t="str">
        <f t="shared" si="8"/>
        <v>.</v>
      </c>
    </row>
    <row r="223" spans="1:12" hidden="1" x14ac:dyDescent="0.45">
      <c r="A223" t="s">
        <v>35</v>
      </c>
      <c r="B223" t="s">
        <v>35</v>
      </c>
      <c r="C223">
        <v>0.22434616229747381</v>
      </c>
      <c r="D223">
        <v>0.8</v>
      </c>
      <c r="E223">
        <v>0.97068770450321673</v>
      </c>
      <c r="G223" t="str">
        <f t="shared" si="7"/>
        <v>.</v>
      </c>
      <c r="H223" s="8" t="s">
        <v>159</v>
      </c>
      <c r="I223" s="8" t="s">
        <v>99</v>
      </c>
      <c r="J223" s="8" t="s">
        <v>420</v>
      </c>
      <c r="L223" t="str">
        <f t="shared" si="8"/>
        <v>.</v>
      </c>
    </row>
    <row r="224" spans="1:12" hidden="1" x14ac:dyDescent="0.45">
      <c r="A224" t="s">
        <v>41</v>
      </c>
      <c r="B224" t="s">
        <v>41</v>
      </c>
      <c r="C224">
        <v>0.200098754619744</v>
      </c>
      <c r="D224">
        <v>0.8</v>
      </c>
      <c r="E224">
        <v>0.99987656475506059</v>
      </c>
      <c r="G224" t="str">
        <f t="shared" si="7"/>
        <v>.</v>
      </c>
      <c r="H224" s="8" t="s">
        <v>155</v>
      </c>
      <c r="I224" s="8" t="s">
        <v>156</v>
      </c>
      <c r="J224" s="8" t="s">
        <v>429</v>
      </c>
      <c r="L224" t="str">
        <f t="shared" si="8"/>
        <v>.</v>
      </c>
    </row>
    <row r="225" spans="1:13" hidden="1" x14ac:dyDescent="0.45">
      <c r="A225" t="s">
        <v>57</v>
      </c>
      <c r="B225" t="s">
        <v>37</v>
      </c>
      <c r="C225">
        <v>1</v>
      </c>
      <c r="D225">
        <v>0.8</v>
      </c>
      <c r="E225">
        <v>6.6928512642157227E-3</v>
      </c>
      <c r="G225" t="str">
        <f t="shared" si="7"/>
        <v>W</v>
      </c>
      <c r="H225" s="9" t="s">
        <v>157</v>
      </c>
      <c r="I225" s="8" t="s">
        <v>158</v>
      </c>
      <c r="J225" s="8" t="s">
        <v>430</v>
      </c>
      <c r="L225" t="str">
        <f t="shared" si="8"/>
        <v>NonID</v>
      </c>
    </row>
    <row r="226" spans="1:13" hidden="1" x14ac:dyDescent="0.45">
      <c r="A226" t="s">
        <v>35</v>
      </c>
      <c r="B226" t="s">
        <v>35</v>
      </c>
      <c r="C226">
        <v>0.22986275306937479</v>
      </c>
      <c r="D226">
        <v>0.8</v>
      </c>
      <c r="E226">
        <v>0.96267155965834494</v>
      </c>
      <c r="G226" t="str">
        <f t="shared" si="7"/>
        <v>.</v>
      </c>
      <c r="H226" s="8" t="s">
        <v>442</v>
      </c>
      <c r="I226" s="8" t="s">
        <v>443</v>
      </c>
      <c r="J226" s="8" t="s">
        <v>420</v>
      </c>
      <c r="L226" t="str">
        <f t="shared" si="8"/>
        <v>.</v>
      </c>
    </row>
    <row r="227" spans="1:13" hidden="1" x14ac:dyDescent="0.45">
      <c r="A227" t="s">
        <v>19</v>
      </c>
      <c r="B227" t="s">
        <v>29</v>
      </c>
      <c r="C227">
        <v>0.2112526270399423</v>
      </c>
      <c r="D227">
        <v>0.8</v>
      </c>
      <c r="E227">
        <v>0.98593632069119785</v>
      </c>
      <c r="G227" t="str">
        <f t="shared" si="7"/>
        <v>W</v>
      </c>
      <c r="H227" s="8" t="s">
        <v>444</v>
      </c>
      <c r="I227" s="8" t="s">
        <v>99</v>
      </c>
      <c r="J227" s="8" t="s">
        <v>432</v>
      </c>
      <c r="L227" s="13" t="str">
        <f t="shared" si="8"/>
        <v>.</v>
      </c>
      <c r="M227" s="8" t="s">
        <v>514</v>
      </c>
    </row>
    <row r="228" spans="1:13" hidden="1" x14ac:dyDescent="0.45">
      <c r="A228" t="s">
        <v>35</v>
      </c>
      <c r="B228" t="s">
        <v>35</v>
      </c>
      <c r="C228">
        <v>0.22345076133773109</v>
      </c>
      <c r="D228">
        <v>0.8</v>
      </c>
      <c r="E228">
        <v>0.97068669018952314</v>
      </c>
      <c r="G228" t="str">
        <f t="shared" si="7"/>
        <v>.</v>
      </c>
      <c r="H228" s="8" t="s">
        <v>359</v>
      </c>
      <c r="I228" s="8" t="s">
        <v>99</v>
      </c>
      <c r="J228" s="8" t="s">
        <v>420</v>
      </c>
      <c r="L228" t="str">
        <f t="shared" si="8"/>
        <v>.</v>
      </c>
    </row>
    <row r="229" spans="1:13" hidden="1" x14ac:dyDescent="0.45">
      <c r="A229" t="s">
        <v>26</v>
      </c>
      <c r="B229" t="s">
        <v>26</v>
      </c>
      <c r="C229">
        <v>0.22344993703513341</v>
      </c>
      <c r="D229">
        <v>0.8</v>
      </c>
      <c r="E229">
        <v>0.97068758878823203</v>
      </c>
      <c r="G229" t="str">
        <f t="shared" si="7"/>
        <v>.</v>
      </c>
      <c r="H229" s="8" t="s">
        <v>213</v>
      </c>
      <c r="I229" s="8" t="s">
        <v>214</v>
      </c>
      <c r="J229" s="8" t="s">
        <v>416</v>
      </c>
      <c r="L229" t="str">
        <f t="shared" si="8"/>
        <v>.</v>
      </c>
    </row>
    <row r="230" spans="1:13" hidden="1" x14ac:dyDescent="0.45">
      <c r="A230" t="s">
        <v>39</v>
      </c>
      <c r="B230" t="s">
        <v>39</v>
      </c>
      <c r="C230">
        <v>0.20002208839649491</v>
      </c>
      <c r="D230">
        <v>0.8</v>
      </c>
      <c r="E230">
        <v>0.99997238992645676</v>
      </c>
      <c r="G230" t="str">
        <f t="shared" si="7"/>
        <v>.</v>
      </c>
      <c r="H230" s="8" t="s">
        <v>191</v>
      </c>
      <c r="I230" s="8" t="s">
        <v>192</v>
      </c>
      <c r="J230" s="8" t="s">
        <v>427</v>
      </c>
      <c r="L230" t="str">
        <f t="shared" si="8"/>
        <v>.</v>
      </c>
    </row>
    <row r="231" spans="1:13" hidden="1" x14ac:dyDescent="0.45">
      <c r="A231" t="s">
        <v>36</v>
      </c>
      <c r="B231" t="s">
        <v>36</v>
      </c>
      <c r="C231">
        <v>0.2012009880332821</v>
      </c>
      <c r="D231">
        <v>0.8</v>
      </c>
      <c r="E231">
        <v>0.99849876799337189</v>
      </c>
      <c r="G231" t="str">
        <f t="shared" si="7"/>
        <v>.</v>
      </c>
      <c r="H231" s="8" t="s">
        <v>162</v>
      </c>
      <c r="I231" s="8" t="s">
        <v>163</v>
      </c>
      <c r="J231" s="8" t="s">
        <v>425</v>
      </c>
      <c r="L231" t="str">
        <f t="shared" si="8"/>
        <v>.</v>
      </c>
    </row>
    <row r="232" spans="1:13" hidden="1" x14ac:dyDescent="0.45">
      <c r="A232" t="s">
        <v>41</v>
      </c>
      <c r="B232" t="s">
        <v>41</v>
      </c>
      <c r="C232">
        <v>0.20000234909958811</v>
      </c>
      <c r="D232">
        <v>0.8</v>
      </c>
      <c r="E232">
        <v>0.99999706470747396</v>
      </c>
      <c r="G232" t="str">
        <f t="shared" si="7"/>
        <v>.</v>
      </c>
      <c r="H232" s="8" t="s">
        <v>445</v>
      </c>
      <c r="I232" s="8" t="s">
        <v>446</v>
      </c>
      <c r="J232" s="8" t="s">
        <v>429</v>
      </c>
      <c r="L232" t="str">
        <f t="shared" si="8"/>
        <v>.</v>
      </c>
    </row>
    <row r="233" spans="1:13" hidden="1" x14ac:dyDescent="0.45">
      <c r="A233" t="s">
        <v>35</v>
      </c>
      <c r="B233" t="s">
        <v>35</v>
      </c>
      <c r="C233">
        <v>0.21845823727868571</v>
      </c>
      <c r="D233">
        <v>0.8</v>
      </c>
      <c r="E233">
        <v>0.97702227641650419</v>
      </c>
      <c r="G233" t="str">
        <f t="shared" si="7"/>
        <v>.</v>
      </c>
      <c r="H233" s="8" t="s">
        <v>127</v>
      </c>
      <c r="I233" s="8" t="s">
        <v>128</v>
      </c>
      <c r="J233" s="8" t="s">
        <v>420</v>
      </c>
      <c r="L233" t="str">
        <f t="shared" si="8"/>
        <v>.</v>
      </c>
    </row>
    <row r="234" spans="1:13" x14ac:dyDescent="0.45">
      <c r="A234" t="s">
        <v>35</v>
      </c>
      <c r="B234" t="s">
        <v>32</v>
      </c>
      <c r="C234">
        <v>0.97931788361409988</v>
      </c>
      <c r="D234">
        <v>0.8</v>
      </c>
      <c r="E234">
        <v>2.931221187075168E-2</v>
      </c>
      <c r="G234" t="str">
        <f t="shared" si="7"/>
        <v>W</v>
      </c>
      <c r="H234" s="8" t="s">
        <v>360</v>
      </c>
      <c r="I234" s="8" t="s">
        <v>361</v>
      </c>
      <c r="J234" s="8" t="s">
        <v>420</v>
      </c>
      <c r="K234" s="8" t="s">
        <v>515</v>
      </c>
      <c r="L234" s="13" t="str">
        <f t="shared" si="8"/>
        <v>NonID</v>
      </c>
      <c r="M234" s="8" t="s">
        <v>515</v>
      </c>
    </row>
    <row r="235" spans="1:13" hidden="1" x14ac:dyDescent="0.45">
      <c r="A235" t="s">
        <v>36</v>
      </c>
      <c r="B235" t="s">
        <v>36</v>
      </c>
      <c r="C235">
        <v>0.20026833490485921</v>
      </c>
      <c r="D235">
        <v>0.8</v>
      </c>
      <c r="E235">
        <v>0.99966459043674005</v>
      </c>
      <c r="G235" t="str">
        <f t="shared" si="7"/>
        <v>.</v>
      </c>
      <c r="H235" s="8" t="s">
        <v>233</v>
      </c>
      <c r="I235" s="8" t="s">
        <v>234</v>
      </c>
      <c r="J235" s="8" t="s">
        <v>425</v>
      </c>
      <c r="L235" t="str">
        <f t="shared" si="8"/>
        <v>.</v>
      </c>
    </row>
    <row r="236" spans="1:13" hidden="1" x14ac:dyDescent="0.45">
      <c r="A236" t="s">
        <v>41</v>
      </c>
      <c r="B236" t="s">
        <v>41</v>
      </c>
      <c r="C236">
        <v>0.20020921171094619</v>
      </c>
      <c r="D236">
        <v>0.8</v>
      </c>
      <c r="E236">
        <v>0.99973869830781348</v>
      </c>
      <c r="G236" t="str">
        <f t="shared" si="7"/>
        <v>.</v>
      </c>
      <c r="H236" s="8" t="s">
        <v>412</v>
      </c>
      <c r="I236" s="8" t="s">
        <v>413</v>
      </c>
      <c r="J236" s="8" t="s">
        <v>429</v>
      </c>
      <c r="L236" t="str">
        <f t="shared" si="8"/>
        <v>.</v>
      </c>
    </row>
    <row r="237" spans="1:13" hidden="1" x14ac:dyDescent="0.45">
      <c r="A237" t="s">
        <v>35</v>
      </c>
      <c r="B237" t="s">
        <v>35</v>
      </c>
      <c r="C237">
        <v>0.23794179350457939</v>
      </c>
      <c r="D237">
        <v>0.8</v>
      </c>
      <c r="E237">
        <v>0.95257291630373819</v>
      </c>
      <c r="G237" t="str">
        <f t="shared" si="7"/>
        <v>.</v>
      </c>
      <c r="H237" s="8" t="s">
        <v>447</v>
      </c>
      <c r="I237" s="8" t="s">
        <v>448</v>
      </c>
      <c r="J237" s="8" t="s">
        <v>420</v>
      </c>
      <c r="L237" t="str">
        <f t="shared" si="8"/>
        <v>.</v>
      </c>
    </row>
    <row r="238" spans="1:13" hidden="1" x14ac:dyDescent="0.45">
      <c r="A238" t="s">
        <v>35</v>
      </c>
      <c r="B238" t="s">
        <v>35</v>
      </c>
      <c r="C238">
        <v>0.2025381361242512</v>
      </c>
      <c r="D238">
        <v>0.8</v>
      </c>
      <c r="E238">
        <v>0.99682732998531542</v>
      </c>
      <c r="G238" t="str">
        <f t="shared" si="7"/>
        <v>.</v>
      </c>
      <c r="H238" s="8" t="s">
        <v>449</v>
      </c>
      <c r="I238" s="8" t="s">
        <v>450</v>
      </c>
      <c r="J238" s="8" t="s">
        <v>420</v>
      </c>
      <c r="L238" t="str">
        <f t="shared" si="8"/>
        <v>.</v>
      </c>
    </row>
    <row r="239" spans="1:13" hidden="1" x14ac:dyDescent="0.45">
      <c r="A239" t="s">
        <v>41</v>
      </c>
      <c r="B239" t="s">
        <v>41</v>
      </c>
      <c r="C239">
        <v>0.2000054851711657</v>
      </c>
      <c r="D239">
        <v>0.8</v>
      </c>
      <c r="E239">
        <v>0.99999623028458018</v>
      </c>
      <c r="G239" t="str">
        <f t="shared" si="7"/>
        <v>.</v>
      </c>
      <c r="H239" s="8" t="s">
        <v>286</v>
      </c>
      <c r="I239" s="8" t="s">
        <v>287</v>
      </c>
      <c r="J239" s="8" t="s">
        <v>429</v>
      </c>
      <c r="L239" t="str">
        <f t="shared" si="8"/>
        <v>.</v>
      </c>
    </row>
    <row r="240" spans="1:13" hidden="1" x14ac:dyDescent="0.45">
      <c r="A240" t="s">
        <v>36</v>
      </c>
      <c r="B240" t="s">
        <v>36</v>
      </c>
      <c r="C240">
        <v>0.20009874864878779</v>
      </c>
      <c r="D240">
        <v>0.8</v>
      </c>
      <c r="E240">
        <v>0.99987656475506059</v>
      </c>
      <c r="G240" t="str">
        <f t="shared" si="7"/>
        <v>.</v>
      </c>
      <c r="H240" s="8" t="s">
        <v>185</v>
      </c>
      <c r="I240" s="8" t="s">
        <v>186</v>
      </c>
      <c r="J240" s="8" t="s">
        <v>425</v>
      </c>
      <c r="L240" t="str">
        <f t="shared" si="8"/>
        <v>.</v>
      </c>
    </row>
    <row r="241" spans="1:13" hidden="1" x14ac:dyDescent="0.45">
      <c r="A241" t="s">
        <v>51</v>
      </c>
      <c r="B241" t="s">
        <v>51</v>
      </c>
      <c r="C241">
        <v>0.20686223267258</v>
      </c>
      <c r="D241">
        <v>0.8</v>
      </c>
      <c r="E241">
        <v>0.99142231192149144</v>
      </c>
      <c r="G241" t="str">
        <f t="shared" si="7"/>
        <v>.</v>
      </c>
      <c r="H241" s="8" t="s">
        <v>343</v>
      </c>
      <c r="I241" s="8" t="s">
        <v>344</v>
      </c>
      <c r="J241" s="8" t="s">
        <v>438</v>
      </c>
      <c r="L241" t="str">
        <f t="shared" si="8"/>
        <v>.</v>
      </c>
    </row>
    <row r="242" spans="1:13" hidden="1" x14ac:dyDescent="0.45">
      <c r="A242" t="s">
        <v>31</v>
      </c>
      <c r="B242" t="s">
        <v>31</v>
      </c>
      <c r="C242">
        <v>0.23109589351194171</v>
      </c>
      <c r="D242">
        <v>0.8</v>
      </c>
      <c r="E242">
        <v>0.99998979333147131</v>
      </c>
      <c r="G242" t="str">
        <f t="shared" si="7"/>
        <v>.</v>
      </c>
      <c r="H242" s="8" t="s">
        <v>236</v>
      </c>
      <c r="I242" s="8" t="s">
        <v>237</v>
      </c>
      <c r="J242" s="8" t="s">
        <v>422</v>
      </c>
      <c r="L242" t="str">
        <f t="shared" si="8"/>
        <v>.</v>
      </c>
    </row>
    <row r="243" spans="1:13" hidden="1" x14ac:dyDescent="0.45">
      <c r="A243" t="s">
        <v>36</v>
      </c>
      <c r="B243" t="s">
        <v>36</v>
      </c>
      <c r="C243">
        <v>0.20016281613230691</v>
      </c>
      <c r="D243">
        <v>0.8</v>
      </c>
      <c r="E243">
        <v>0.99979648032432844</v>
      </c>
      <c r="G243" t="str">
        <f t="shared" si="7"/>
        <v>.</v>
      </c>
      <c r="H243" s="8" t="s">
        <v>122</v>
      </c>
      <c r="I243" s="8" t="s">
        <v>123</v>
      </c>
      <c r="J243" s="8" t="s">
        <v>425</v>
      </c>
      <c r="L243" t="str">
        <f t="shared" si="8"/>
        <v>.</v>
      </c>
    </row>
    <row r="244" spans="1:13" hidden="1" x14ac:dyDescent="0.45">
      <c r="A244" t="s">
        <v>31</v>
      </c>
      <c r="B244" t="s">
        <v>31</v>
      </c>
      <c r="C244">
        <v>0.32186943113451633</v>
      </c>
      <c r="D244">
        <v>0.8</v>
      </c>
      <c r="E244">
        <v>0.99997846916345023</v>
      </c>
      <c r="G244" t="str">
        <f t="shared" si="7"/>
        <v>.</v>
      </c>
      <c r="H244" s="8" t="s">
        <v>451</v>
      </c>
      <c r="I244" s="8" t="s">
        <v>237</v>
      </c>
      <c r="J244" s="8" t="s">
        <v>422</v>
      </c>
      <c r="L244" t="str">
        <f t="shared" si="8"/>
        <v>.</v>
      </c>
    </row>
    <row r="245" spans="1:13" hidden="1" x14ac:dyDescent="0.45">
      <c r="A245" t="s">
        <v>38</v>
      </c>
      <c r="B245" t="s">
        <v>38</v>
      </c>
      <c r="C245">
        <v>0.21125124708128701</v>
      </c>
      <c r="D245">
        <v>0.8</v>
      </c>
      <c r="E245">
        <v>0.98593597176585357</v>
      </c>
      <c r="G245" t="str">
        <f t="shared" si="7"/>
        <v>.</v>
      </c>
      <c r="H245" s="8" t="s">
        <v>201</v>
      </c>
      <c r="I245" s="8" t="s">
        <v>202</v>
      </c>
      <c r="J245" s="8" t="s">
        <v>426</v>
      </c>
      <c r="L245" t="str">
        <f t="shared" si="8"/>
        <v>.</v>
      </c>
    </row>
    <row r="246" spans="1:13" hidden="1" x14ac:dyDescent="0.45">
      <c r="A246" t="s">
        <v>35</v>
      </c>
      <c r="B246" t="s">
        <v>35</v>
      </c>
      <c r="C246">
        <v>0.26115145688061842</v>
      </c>
      <c r="D246">
        <v>0.8</v>
      </c>
      <c r="E246">
        <v>0.92413943005686894</v>
      </c>
      <c r="G246" t="str">
        <f t="shared" si="7"/>
        <v>.</v>
      </c>
      <c r="H246" s="8" t="s">
        <v>452</v>
      </c>
      <c r="I246" s="8" t="s">
        <v>453</v>
      </c>
      <c r="J246" s="8" t="s">
        <v>420</v>
      </c>
      <c r="L246" t="str">
        <f t="shared" si="8"/>
        <v>.</v>
      </c>
    </row>
    <row r="247" spans="1:13" hidden="1" x14ac:dyDescent="0.45">
      <c r="A247" t="s">
        <v>38</v>
      </c>
      <c r="B247" t="s">
        <v>38</v>
      </c>
      <c r="C247">
        <v>0.20010712641696579</v>
      </c>
      <c r="D247">
        <v>0.8</v>
      </c>
      <c r="E247">
        <v>0.99987656475506059</v>
      </c>
      <c r="G247" t="str">
        <f t="shared" si="7"/>
        <v>.</v>
      </c>
      <c r="H247" s="8" t="s">
        <v>197</v>
      </c>
      <c r="I247" s="8" t="s">
        <v>198</v>
      </c>
      <c r="J247" s="8" t="s">
        <v>426</v>
      </c>
      <c r="L247" t="str">
        <f t="shared" si="8"/>
        <v>.</v>
      </c>
    </row>
    <row r="248" spans="1:13" hidden="1" x14ac:dyDescent="0.45">
      <c r="A248" t="s">
        <v>41</v>
      </c>
      <c r="B248" t="s">
        <v>41</v>
      </c>
      <c r="C248">
        <v>0.200001215224995</v>
      </c>
      <c r="D248">
        <v>0.8</v>
      </c>
      <c r="E248">
        <v>0.99999849514812922</v>
      </c>
      <c r="G248" t="str">
        <f t="shared" si="7"/>
        <v>.</v>
      </c>
      <c r="H248" s="8" t="s">
        <v>454</v>
      </c>
      <c r="I248" s="8" t="s">
        <v>455</v>
      </c>
      <c r="J248" s="8" t="s">
        <v>429</v>
      </c>
      <c r="L248" t="str">
        <f t="shared" si="8"/>
        <v>.</v>
      </c>
    </row>
    <row r="249" spans="1:13" hidden="1" x14ac:dyDescent="0.45">
      <c r="A249" t="s">
        <v>35</v>
      </c>
      <c r="B249" t="s">
        <v>35</v>
      </c>
      <c r="C249">
        <v>0.20417621968890989</v>
      </c>
      <c r="D249">
        <v>0.8</v>
      </c>
      <c r="E249">
        <v>0.99477990856131726</v>
      </c>
      <c r="G249" t="str">
        <f t="shared" si="7"/>
        <v>.</v>
      </c>
      <c r="H249" s="8" t="s">
        <v>263</v>
      </c>
      <c r="I249" s="8" t="s">
        <v>264</v>
      </c>
      <c r="J249" s="8" t="s">
        <v>420</v>
      </c>
      <c r="L249" t="str">
        <f t="shared" si="8"/>
        <v>.</v>
      </c>
    </row>
    <row r="250" spans="1:13" hidden="1" x14ac:dyDescent="0.45">
      <c r="A250" t="s">
        <v>35</v>
      </c>
      <c r="B250" t="s">
        <v>35</v>
      </c>
      <c r="C250">
        <v>0.20328950923001729</v>
      </c>
      <c r="D250">
        <v>0.8</v>
      </c>
      <c r="E250">
        <v>0.99592990413102933</v>
      </c>
      <c r="G250" t="str">
        <f t="shared" si="7"/>
        <v>.</v>
      </c>
      <c r="H250" s="8" t="s">
        <v>120</v>
      </c>
      <c r="I250" s="8" t="s">
        <v>121</v>
      </c>
      <c r="J250" s="8" t="s">
        <v>420</v>
      </c>
      <c r="L250" t="str">
        <f t="shared" si="8"/>
        <v>.</v>
      </c>
    </row>
    <row r="251" spans="1:13" hidden="1" x14ac:dyDescent="0.45">
      <c r="A251" t="s">
        <v>35</v>
      </c>
      <c r="B251" t="s">
        <v>35</v>
      </c>
      <c r="C251">
        <v>0.23794230159113761</v>
      </c>
      <c r="D251">
        <v>0.8</v>
      </c>
      <c r="E251">
        <v>0.95257216044997095</v>
      </c>
      <c r="G251" t="str">
        <f t="shared" si="7"/>
        <v>.</v>
      </c>
      <c r="H251" s="8" t="s">
        <v>414</v>
      </c>
      <c r="I251" s="8" t="s">
        <v>99</v>
      </c>
      <c r="J251" s="8" t="s">
        <v>420</v>
      </c>
      <c r="L251" t="str">
        <f t="shared" si="8"/>
        <v>.</v>
      </c>
    </row>
    <row r="252" spans="1:13" hidden="1" x14ac:dyDescent="0.45">
      <c r="A252" t="s">
        <v>35</v>
      </c>
      <c r="B252" t="s">
        <v>35</v>
      </c>
      <c r="C252">
        <v>0.24806996066598719</v>
      </c>
      <c r="D252">
        <v>0.8</v>
      </c>
      <c r="E252">
        <v>0.93991304523943053</v>
      </c>
      <c r="G252" t="str">
        <f t="shared" si="7"/>
        <v>.</v>
      </c>
      <c r="H252" s="8" t="s">
        <v>456</v>
      </c>
      <c r="I252" s="8" t="s">
        <v>457</v>
      </c>
      <c r="J252" s="10" t="s">
        <v>420</v>
      </c>
      <c r="L252" t="str">
        <f t="shared" si="8"/>
        <v>.</v>
      </c>
    </row>
    <row r="253" spans="1:13" hidden="1" x14ac:dyDescent="0.45">
      <c r="A253" t="s">
        <v>35</v>
      </c>
      <c r="B253" t="s">
        <v>35</v>
      </c>
      <c r="C253">
        <v>0.21438953669863689</v>
      </c>
      <c r="D253">
        <v>0.8</v>
      </c>
      <c r="E253">
        <v>0.98201331327910268</v>
      </c>
      <c r="G253" t="str">
        <f t="shared" si="7"/>
        <v>.</v>
      </c>
      <c r="H253" s="8" t="s">
        <v>357</v>
      </c>
      <c r="I253" s="8" t="s">
        <v>358</v>
      </c>
      <c r="J253" s="8" t="s">
        <v>420</v>
      </c>
      <c r="L253" t="str">
        <f t="shared" si="8"/>
        <v>.</v>
      </c>
    </row>
    <row r="254" spans="1:13" hidden="1" x14ac:dyDescent="0.45">
      <c r="A254" t="s">
        <v>19</v>
      </c>
      <c r="B254" t="s">
        <v>29</v>
      </c>
      <c r="C254">
        <v>0.93945512402949849</v>
      </c>
      <c r="D254">
        <v>0.8</v>
      </c>
      <c r="E254">
        <v>7.5857954454841225E-2</v>
      </c>
      <c r="G254" t="str">
        <f t="shared" si="7"/>
        <v>W</v>
      </c>
      <c r="H254" s="8" t="s">
        <v>204</v>
      </c>
      <c r="I254" s="8" t="s">
        <v>205</v>
      </c>
      <c r="J254" s="8" t="s">
        <v>432</v>
      </c>
      <c r="L254" t="str">
        <f t="shared" si="8"/>
        <v>.</v>
      </c>
      <c r="M254" t="s">
        <v>524</v>
      </c>
    </row>
    <row r="255" spans="1:13" hidden="1" x14ac:dyDescent="0.45">
      <c r="A255" t="s">
        <v>9</v>
      </c>
      <c r="B255" t="s">
        <v>35</v>
      </c>
      <c r="C255">
        <v>0.23907904726779991</v>
      </c>
      <c r="D255">
        <v>0.8</v>
      </c>
      <c r="E255">
        <v>0.99908895173900303</v>
      </c>
      <c r="G255" t="str">
        <f t="shared" si="7"/>
        <v>W</v>
      </c>
      <c r="H255" s="8" t="s">
        <v>288</v>
      </c>
      <c r="I255" s="8" t="s">
        <v>289</v>
      </c>
      <c r="J255" s="8" t="s">
        <v>420</v>
      </c>
      <c r="L255" t="str">
        <f t="shared" si="8"/>
        <v>.</v>
      </c>
    </row>
    <row r="256" spans="1:13" hidden="1" x14ac:dyDescent="0.45">
      <c r="A256" t="s">
        <v>41</v>
      </c>
      <c r="B256" t="s">
        <v>41</v>
      </c>
      <c r="C256">
        <v>0.20000149231247469</v>
      </c>
      <c r="D256">
        <v>0.8</v>
      </c>
      <c r="E256">
        <v>0.99999813753780198</v>
      </c>
      <c r="G256" t="str">
        <f t="shared" si="7"/>
        <v>.</v>
      </c>
      <c r="H256" s="8" t="s">
        <v>458</v>
      </c>
      <c r="I256" s="8" t="s">
        <v>459</v>
      </c>
      <c r="J256" s="8" t="s">
        <v>429</v>
      </c>
      <c r="L256" t="str">
        <f t="shared" si="8"/>
        <v>.</v>
      </c>
    </row>
    <row r="257" spans="1:12" hidden="1" x14ac:dyDescent="0.45">
      <c r="A257" t="s">
        <v>26</v>
      </c>
      <c r="B257" t="s">
        <v>26</v>
      </c>
      <c r="C257">
        <v>0.3781688505168519</v>
      </c>
      <c r="D257">
        <v>0.8</v>
      </c>
      <c r="E257">
        <v>0.77729928734220388</v>
      </c>
      <c r="G257" t="str">
        <f t="shared" si="7"/>
        <v>.</v>
      </c>
      <c r="H257" s="8" t="s">
        <v>247</v>
      </c>
      <c r="I257" s="8" t="s">
        <v>248</v>
      </c>
      <c r="J257" s="8" t="s">
        <v>416</v>
      </c>
      <c r="L257" t="str">
        <f t="shared" si="8"/>
        <v>.</v>
      </c>
    </row>
    <row r="258" spans="1:12" hidden="1" x14ac:dyDescent="0.45">
      <c r="A258" t="s">
        <v>36</v>
      </c>
      <c r="B258" t="s">
        <v>36</v>
      </c>
      <c r="C258">
        <v>0.2004423095083431</v>
      </c>
      <c r="D258">
        <v>0.8</v>
      </c>
      <c r="E258">
        <v>0.99944712016184645</v>
      </c>
      <c r="G258" t="str">
        <f t="shared" si="7"/>
        <v>.</v>
      </c>
      <c r="H258" s="8" t="s">
        <v>410</v>
      </c>
      <c r="I258" s="8" t="s">
        <v>411</v>
      </c>
      <c r="J258" s="8" t="s">
        <v>425</v>
      </c>
      <c r="L258" t="str">
        <f t="shared" si="8"/>
        <v>.</v>
      </c>
    </row>
    <row r="259" spans="1:12" hidden="1" x14ac:dyDescent="0.45">
      <c r="A259" t="s">
        <v>35</v>
      </c>
      <c r="B259" t="s">
        <v>35</v>
      </c>
      <c r="C259">
        <v>0.21134844119802421</v>
      </c>
      <c r="D259">
        <v>0.8</v>
      </c>
      <c r="E259">
        <v>0.98593632069119785</v>
      </c>
      <c r="G259" t="str">
        <f t="shared" ref="G259:G322" si="9">IF(A259=B259,".","W")</f>
        <v>.</v>
      </c>
      <c r="H259" s="8" t="s">
        <v>389</v>
      </c>
      <c r="I259" s="8" t="s">
        <v>390</v>
      </c>
      <c r="J259" s="8" t="s">
        <v>420</v>
      </c>
      <c r="L259" t="str">
        <f t="shared" si="8"/>
        <v>.</v>
      </c>
    </row>
    <row r="260" spans="1:12" hidden="1" x14ac:dyDescent="0.45">
      <c r="A260" t="s">
        <v>50</v>
      </c>
      <c r="B260" t="s">
        <v>50</v>
      </c>
      <c r="C260">
        <v>0.2087897053511801</v>
      </c>
      <c r="D260">
        <v>0.8</v>
      </c>
      <c r="E260">
        <v>0.9890128691951352</v>
      </c>
      <c r="G260" t="str">
        <f t="shared" si="9"/>
        <v>.</v>
      </c>
      <c r="H260" s="8" t="s">
        <v>277</v>
      </c>
      <c r="I260" s="8" t="s">
        <v>278</v>
      </c>
      <c r="J260" s="8" t="s">
        <v>437</v>
      </c>
      <c r="L260" t="str">
        <f t="shared" si="8"/>
        <v>.</v>
      </c>
    </row>
    <row r="261" spans="1:12" hidden="1" x14ac:dyDescent="0.45">
      <c r="A261" t="s">
        <v>40</v>
      </c>
      <c r="B261" t="s">
        <v>40</v>
      </c>
      <c r="C261">
        <v>0.2007288389128663</v>
      </c>
      <c r="D261">
        <v>0.8</v>
      </c>
      <c r="E261">
        <v>0.99908895173900303</v>
      </c>
      <c r="G261" t="str">
        <f t="shared" si="9"/>
        <v>.</v>
      </c>
      <c r="H261" s="8" t="s">
        <v>133</v>
      </c>
      <c r="I261" s="8" t="s">
        <v>134</v>
      </c>
      <c r="J261" s="8" t="s">
        <v>428</v>
      </c>
      <c r="L261" t="str">
        <f t="shared" si="8"/>
        <v>.</v>
      </c>
    </row>
    <row r="262" spans="1:12" x14ac:dyDescent="0.45">
      <c r="A262" t="s">
        <v>35</v>
      </c>
      <c r="B262" t="s">
        <v>37</v>
      </c>
      <c r="C262">
        <v>0.93697227896955271</v>
      </c>
      <c r="D262">
        <v>0.8</v>
      </c>
      <c r="E262">
        <v>0.26894114879361269</v>
      </c>
      <c r="G262" t="str">
        <f t="shared" si="9"/>
        <v>W</v>
      </c>
      <c r="H262" s="8" t="s">
        <v>460</v>
      </c>
      <c r="I262" s="8" t="s">
        <v>461</v>
      </c>
      <c r="J262" s="8" t="s">
        <v>420</v>
      </c>
      <c r="K262" s="8" t="s">
        <v>514</v>
      </c>
      <c r="L262" t="str">
        <f t="shared" si="8"/>
        <v>.</v>
      </c>
    </row>
    <row r="263" spans="1:12" hidden="1" x14ac:dyDescent="0.45">
      <c r="A263" t="s">
        <v>33</v>
      </c>
      <c r="B263" t="s">
        <v>33</v>
      </c>
      <c r="C263">
        <v>0.20005995421614101</v>
      </c>
      <c r="D263">
        <v>0.8</v>
      </c>
      <c r="E263">
        <v>0.99992506849856422</v>
      </c>
      <c r="G263" t="str">
        <f t="shared" si="9"/>
        <v>.</v>
      </c>
      <c r="H263" s="8" t="s">
        <v>165</v>
      </c>
      <c r="I263" s="8" t="s">
        <v>166</v>
      </c>
      <c r="J263" s="8" t="s">
        <v>424</v>
      </c>
      <c r="L263" t="str">
        <f t="shared" si="8"/>
        <v>.</v>
      </c>
    </row>
    <row r="264" spans="1:12" hidden="1" x14ac:dyDescent="0.45">
      <c r="A264" t="s">
        <v>41</v>
      </c>
      <c r="B264" t="s">
        <v>41</v>
      </c>
      <c r="C264">
        <v>0.20000120609533559</v>
      </c>
      <c r="D264">
        <v>0.8</v>
      </c>
      <c r="E264">
        <v>0.99999849514812922</v>
      </c>
      <c r="G264" t="str">
        <f t="shared" si="9"/>
        <v>.</v>
      </c>
      <c r="H264" s="8" t="s">
        <v>325</v>
      </c>
      <c r="I264" s="8" t="s">
        <v>321</v>
      </c>
      <c r="J264" s="8" t="s">
        <v>429</v>
      </c>
      <c r="L264" t="str">
        <f t="shared" si="8"/>
        <v>.</v>
      </c>
    </row>
    <row r="265" spans="1:12" hidden="1" x14ac:dyDescent="0.45">
      <c r="A265" t="s">
        <v>39</v>
      </c>
      <c r="B265" t="s">
        <v>39</v>
      </c>
      <c r="C265">
        <v>0.20253815219121579</v>
      </c>
      <c r="D265">
        <v>0.8</v>
      </c>
      <c r="E265">
        <v>0.99682732998531542</v>
      </c>
      <c r="G265" t="str">
        <f t="shared" si="9"/>
        <v>.</v>
      </c>
      <c r="H265" s="8" t="s">
        <v>316</v>
      </c>
      <c r="I265" s="8" t="s">
        <v>317</v>
      </c>
      <c r="J265" s="8" t="s">
        <v>427</v>
      </c>
      <c r="L265" t="str">
        <f t="shared" si="8"/>
        <v>.</v>
      </c>
    </row>
    <row r="266" spans="1:12" hidden="1" x14ac:dyDescent="0.45">
      <c r="A266" t="s">
        <v>45</v>
      </c>
      <c r="B266" t="s">
        <v>45</v>
      </c>
      <c r="C266">
        <v>0.28621079411249578</v>
      </c>
      <c r="D266">
        <v>0.8</v>
      </c>
      <c r="E266">
        <v>0.99807322600355197</v>
      </c>
      <c r="G266" t="str">
        <f t="shared" si="9"/>
        <v>.</v>
      </c>
      <c r="H266" s="8" t="s">
        <v>206</v>
      </c>
      <c r="I266" s="8" t="s">
        <v>207</v>
      </c>
      <c r="J266" s="8" t="s">
        <v>433</v>
      </c>
      <c r="L266" t="str">
        <f t="shared" si="8"/>
        <v>.</v>
      </c>
    </row>
    <row r="267" spans="1:12" hidden="1" x14ac:dyDescent="0.45">
      <c r="A267" t="s">
        <v>36</v>
      </c>
      <c r="B267" t="s">
        <v>36</v>
      </c>
      <c r="C267">
        <v>0.20020904194421829</v>
      </c>
      <c r="D267">
        <v>0.8</v>
      </c>
      <c r="E267">
        <v>0.99973869830781348</v>
      </c>
      <c r="G267" t="str">
        <f t="shared" si="9"/>
        <v>.</v>
      </c>
      <c r="H267" s="8" t="s">
        <v>375</v>
      </c>
      <c r="I267" s="8" t="s">
        <v>376</v>
      </c>
      <c r="J267" s="8" t="s">
        <v>425</v>
      </c>
      <c r="L267" t="str">
        <f t="shared" si="8"/>
        <v>.</v>
      </c>
    </row>
    <row r="268" spans="1:12" x14ac:dyDescent="0.45">
      <c r="A268" t="s">
        <v>38</v>
      </c>
      <c r="B268" t="s">
        <v>43</v>
      </c>
      <c r="C268">
        <v>0.22445152928354201</v>
      </c>
      <c r="D268">
        <v>0.8</v>
      </c>
      <c r="E268">
        <v>0.97068646418394267</v>
      </c>
      <c r="G268" t="str">
        <f t="shared" si="9"/>
        <v>W</v>
      </c>
      <c r="H268" s="8" t="s">
        <v>129</v>
      </c>
      <c r="I268" s="8" t="s">
        <v>130</v>
      </c>
      <c r="J268" s="8" t="s">
        <v>426</v>
      </c>
      <c r="K268" s="8" t="s">
        <v>515</v>
      </c>
      <c r="L268" t="str">
        <f t="shared" si="8"/>
        <v>.</v>
      </c>
    </row>
    <row r="269" spans="1:12" hidden="1" x14ac:dyDescent="0.45">
      <c r="A269" t="s">
        <v>28</v>
      </c>
      <c r="B269" t="s">
        <v>28</v>
      </c>
      <c r="C269">
        <v>0.5473901302755948</v>
      </c>
      <c r="D269">
        <v>0.8</v>
      </c>
      <c r="E269">
        <v>0.62245888465685084</v>
      </c>
      <c r="G269" t="str">
        <f t="shared" si="9"/>
        <v>.</v>
      </c>
      <c r="H269" s="8" t="s">
        <v>462</v>
      </c>
      <c r="I269" s="8" t="s">
        <v>99</v>
      </c>
      <c r="J269" s="8" t="s">
        <v>418</v>
      </c>
      <c r="L269" t="str">
        <f t="shared" si="8"/>
        <v>.</v>
      </c>
    </row>
    <row r="270" spans="1:12" hidden="1" x14ac:dyDescent="0.45">
      <c r="A270" t="s">
        <v>35</v>
      </c>
      <c r="B270" t="s">
        <v>35</v>
      </c>
      <c r="C270">
        <v>0.30055301568337389</v>
      </c>
      <c r="D270">
        <v>0.8</v>
      </c>
      <c r="E270">
        <v>0.96267277897766457</v>
      </c>
      <c r="G270" t="str">
        <f t="shared" si="9"/>
        <v>.</v>
      </c>
      <c r="H270" s="8" t="s">
        <v>313</v>
      </c>
      <c r="I270" s="8" t="s">
        <v>99</v>
      </c>
      <c r="J270" s="8" t="s">
        <v>420</v>
      </c>
      <c r="L270" t="str">
        <f t="shared" si="8"/>
        <v>.</v>
      </c>
    </row>
    <row r="271" spans="1:12" hidden="1" x14ac:dyDescent="0.45">
      <c r="A271" t="s">
        <v>27</v>
      </c>
      <c r="B271" t="s">
        <v>27</v>
      </c>
      <c r="C271">
        <v>0.2000009281433954</v>
      </c>
      <c r="D271">
        <v>0.8</v>
      </c>
      <c r="E271">
        <v>0.99999885275869793</v>
      </c>
      <c r="G271" t="str">
        <f t="shared" si="9"/>
        <v>.</v>
      </c>
      <c r="H271" s="8" t="s">
        <v>145</v>
      </c>
      <c r="I271" s="8" t="s">
        <v>146</v>
      </c>
      <c r="J271" s="8" t="s">
        <v>417</v>
      </c>
      <c r="L271" t="str">
        <f t="shared" ref="L271:L334" si="10">IF(C271&lt;=$L$1,".","NonID")</f>
        <v>.</v>
      </c>
    </row>
    <row r="272" spans="1:12" hidden="1" x14ac:dyDescent="0.45">
      <c r="A272" t="s">
        <v>39</v>
      </c>
      <c r="B272" t="s">
        <v>39</v>
      </c>
      <c r="C272">
        <v>0.2009569866720162</v>
      </c>
      <c r="D272">
        <v>0.8</v>
      </c>
      <c r="E272">
        <v>0.99883045900532441</v>
      </c>
      <c r="G272" t="str">
        <f t="shared" si="9"/>
        <v>.</v>
      </c>
      <c r="H272" s="8" t="s">
        <v>211</v>
      </c>
      <c r="I272" s="8" t="s">
        <v>212</v>
      </c>
      <c r="J272" s="8" t="s">
        <v>427</v>
      </c>
      <c r="L272" t="str">
        <f t="shared" si="10"/>
        <v>.</v>
      </c>
    </row>
    <row r="273" spans="1:12" hidden="1" x14ac:dyDescent="0.45">
      <c r="A273" t="s">
        <v>38</v>
      </c>
      <c r="B273" t="s">
        <v>38</v>
      </c>
      <c r="C273">
        <v>0.20022037132306331</v>
      </c>
      <c r="D273">
        <v>0.8</v>
      </c>
      <c r="E273">
        <v>0.99973869830781348</v>
      </c>
      <c r="G273" t="str">
        <f t="shared" si="9"/>
        <v>.</v>
      </c>
      <c r="H273" s="8" t="s">
        <v>377</v>
      </c>
      <c r="I273" s="8" t="s">
        <v>378</v>
      </c>
      <c r="J273" s="8" t="s">
        <v>426</v>
      </c>
      <c r="L273" t="str">
        <f t="shared" si="10"/>
        <v>.</v>
      </c>
    </row>
    <row r="274" spans="1:12" hidden="1" x14ac:dyDescent="0.45">
      <c r="A274" t="s">
        <v>41</v>
      </c>
      <c r="B274" t="s">
        <v>41</v>
      </c>
      <c r="C274">
        <v>0.2000015930240632</v>
      </c>
      <c r="D274">
        <v>0.8</v>
      </c>
      <c r="E274">
        <v>0.99999813753780198</v>
      </c>
      <c r="G274" t="str">
        <f t="shared" si="9"/>
        <v>.</v>
      </c>
      <c r="H274" s="8" t="s">
        <v>391</v>
      </c>
      <c r="I274" s="8" t="s">
        <v>392</v>
      </c>
      <c r="J274" s="8" t="s">
        <v>429</v>
      </c>
      <c r="L274" t="str">
        <f t="shared" si="10"/>
        <v>.</v>
      </c>
    </row>
    <row r="275" spans="1:12" hidden="1" x14ac:dyDescent="0.45">
      <c r="A275" t="s">
        <v>40</v>
      </c>
      <c r="B275" t="s">
        <v>40</v>
      </c>
      <c r="C275">
        <v>0.2000466923192866</v>
      </c>
      <c r="D275">
        <v>0.8</v>
      </c>
      <c r="E275">
        <v>0.99994163670334457</v>
      </c>
      <c r="G275" t="str">
        <f t="shared" si="9"/>
        <v>.</v>
      </c>
      <c r="H275" s="8" t="s">
        <v>172</v>
      </c>
      <c r="I275" s="8" t="s">
        <v>173</v>
      </c>
      <c r="J275" s="8" t="s">
        <v>428</v>
      </c>
      <c r="L275" t="str">
        <f t="shared" si="10"/>
        <v>.</v>
      </c>
    </row>
    <row r="276" spans="1:12" hidden="1" x14ac:dyDescent="0.45">
      <c r="A276" t="s">
        <v>35</v>
      </c>
      <c r="B276" t="s">
        <v>35</v>
      </c>
      <c r="C276">
        <v>0.21838349844832081</v>
      </c>
      <c r="D276">
        <v>0.8</v>
      </c>
      <c r="E276">
        <v>0.97702261672772872</v>
      </c>
      <c r="G276" t="str">
        <f t="shared" si="9"/>
        <v>.</v>
      </c>
      <c r="H276" s="8" t="s">
        <v>312</v>
      </c>
      <c r="I276" s="8" t="s">
        <v>99</v>
      </c>
      <c r="J276" s="8" t="s">
        <v>420</v>
      </c>
      <c r="L276" t="str">
        <f t="shared" si="10"/>
        <v>.</v>
      </c>
    </row>
    <row r="277" spans="1:12" hidden="1" x14ac:dyDescent="0.45">
      <c r="A277" t="s">
        <v>51</v>
      </c>
      <c r="B277" t="s">
        <v>51</v>
      </c>
      <c r="C277">
        <v>0.20253816781623329</v>
      </c>
      <c r="D277">
        <v>0.8</v>
      </c>
      <c r="E277">
        <v>0.99682732998531542</v>
      </c>
      <c r="G277" t="str">
        <f t="shared" si="9"/>
        <v>.</v>
      </c>
      <c r="H277" s="8" t="s">
        <v>400</v>
      </c>
      <c r="I277" s="8" t="s">
        <v>401</v>
      </c>
      <c r="J277" s="8" t="s">
        <v>438</v>
      </c>
      <c r="L277" t="str">
        <f t="shared" si="10"/>
        <v>.</v>
      </c>
    </row>
    <row r="278" spans="1:12" hidden="1" x14ac:dyDescent="0.45">
      <c r="A278" t="s">
        <v>47</v>
      </c>
      <c r="B278" t="s">
        <v>47</v>
      </c>
      <c r="C278">
        <v>0.20198446639330231</v>
      </c>
      <c r="D278">
        <v>0.8</v>
      </c>
      <c r="E278">
        <v>0.99752740325115785</v>
      </c>
      <c r="G278" t="str">
        <f t="shared" si="9"/>
        <v>.</v>
      </c>
      <c r="H278" s="8" t="s">
        <v>217</v>
      </c>
      <c r="I278" s="8" t="s">
        <v>218</v>
      </c>
      <c r="J278" s="8" t="s">
        <v>434</v>
      </c>
      <c r="L278" t="str">
        <f t="shared" si="10"/>
        <v>.</v>
      </c>
    </row>
    <row r="279" spans="1:12" hidden="1" x14ac:dyDescent="0.45">
      <c r="A279" t="s">
        <v>30</v>
      </c>
      <c r="B279" t="s">
        <v>30</v>
      </c>
      <c r="C279">
        <v>0.20253823717840941</v>
      </c>
      <c r="D279">
        <v>0.8</v>
      </c>
      <c r="E279">
        <v>0.99682721092215276</v>
      </c>
      <c r="G279" t="str">
        <f t="shared" si="9"/>
        <v>.</v>
      </c>
      <c r="H279" s="8" t="s">
        <v>118</v>
      </c>
      <c r="I279" s="8" t="s">
        <v>119</v>
      </c>
      <c r="J279" s="8" t="s">
        <v>421</v>
      </c>
      <c r="L279" t="str">
        <f t="shared" si="10"/>
        <v>.</v>
      </c>
    </row>
    <row r="280" spans="1:12" hidden="1" x14ac:dyDescent="0.45">
      <c r="A280" t="s">
        <v>35</v>
      </c>
      <c r="B280" t="s">
        <v>35</v>
      </c>
      <c r="C280">
        <v>0.21442708312915751</v>
      </c>
      <c r="D280">
        <v>0.8</v>
      </c>
      <c r="E280">
        <v>0.9820137760522224</v>
      </c>
      <c r="G280" t="str">
        <f t="shared" si="9"/>
        <v>.</v>
      </c>
      <c r="H280" s="8" t="s">
        <v>154</v>
      </c>
      <c r="I280" s="8" t="s">
        <v>99</v>
      </c>
      <c r="J280" s="8" t="s">
        <v>420</v>
      </c>
      <c r="L280" t="str">
        <f t="shared" si="10"/>
        <v>.</v>
      </c>
    </row>
    <row r="281" spans="1:12" hidden="1" x14ac:dyDescent="0.45">
      <c r="A281" t="s">
        <v>51</v>
      </c>
      <c r="B281" t="s">
        <v>51</v>
      </c>
      <c r="C281">
        <v>0.20056774211961981</v>
      </c>
      <c r="D281">
        <v>0.8</v>
      </c>
      <c r="E281">
        <v>0.99929032330932133</v>
      </c>
      <c r="G281" t="str">
        <f t="shared" si="9"/>
        <v>.</v>
      </c>
      <c r="H281" s="8" t="s">
        <v>294</v>
      </c>
      <c r="I281" s="8" t="s">
        <v>295</v>
      </c>
      <c r="J281" s="8" t="s">
        <v>438</v>
      </c>
      <c r="L281" t="str">
        <f t="shared" si="10"/>
        <v>.</v>
      </c>
    </row>
    <row r="282" spans="1:12" hidden="1" x14ac:dyDescent="0.45">
      <c r="A282" t="s">
        <v>49</v>
      </c>
      <c r="B282" t="s">
        <v>49</v>
      </c>
      <c r="C282">
        <v>0.20001045638050249</v>
      </c>
      <c r="D282">
        <v>0.8</v>
      </c>
      <c r="E282">
        <v>0.99998693247732917</v>
      </c>
      <c r="G282" t="str">
        <f t="shared" si="9"/>
        <v>.</v>
      </c>
      <c r="H282" s="8" t="s">
        <v>463</v>
      </c>
      <c r="I282" s="8" t="s">
        <v>464</v>
      </c>
      <c r="J282" s="8" t="s">
        <v>436</v>
      </c>
      <c r="L282" t="str">
        <f t="shared" si="10"/>
        <v>.</v>
      </c>
    </row>
    <row r="283" spans="1:12" hidden="1" x14ac:dyDescent="0.45">
      <c r="A283" t="s">
        <v>38</v>
      </c>
      <c r="B283" t="s">
        <v>38</v>
      </c>
      <c r="C283">
        <v>0.2087920919483752</v>
      </c>
      <c r="D283">
        <v>0.8</v>
      </c>
      <c r="E283">
        <v>0.98901298801575388</v>
      </c>
      <c r="G283" t="str">
        <f t="shared" si="9"/>
        <v>.</v>
      </c>
      <c r="H283" s="8" t="s">
        <v>182</v>
      </c>
      <c r="I283" s="8" t="s">
        <v>99</v>
      </c>
      <c r="J283" s="8" t="s">
        <v>426</v>
      </c>
      <c r="L283" t="str">
        <f t="shared" si="10"/>
        <v>.</v>
      </c>
    </row>
    <row r="284" spans="1:12" hidden="1" x14ac:dyDescent="0.45">
      <c r="A284" t="s">
        <v>47</v>
      </c>
      <c r="B284" t="s">
        <v>47</v>
      </c>
      <c r="C284">
        <v>0.20000072950538331</v>
      </c>
      <c r="D284">
        <v>0.8</v>
      </c>
      <c r="E284">
        <v>0.99999909116577701</v>
      </c>
      <c r="G284" t="str">
        <f t="shared" si="9"/>
        <v>.</v>
      </c>
      <c r="H284" s="8" t="s">
        <v>350</v>
      </c>
      <c r="I284" s="8" t="s">
        <v>351</v>
      </c>
      <c r="J284" s="8" t="s">
        <v>434</v>
      </c>
      <c r="L284" t="str">
        <f t="shared" si="10"/>
        <v>.</v>
      </c>
    </row>
    <row r="285" spans="1:12" hidden="1" x14ac:dyDescent="0.45">
      <c r="A285" t="s">
        <v>36</v>
      </c>
      <c r="B285" t="s">
        <v>36</v>
      </c>
      <c r="C285">
        <v>0.20001722542347861</v>
      </c>
      <c r="D285">
        <v>0.8</v>
      </c>
      <c r="E285">
        <v>0.99997846916345023</v>
      </c>
      <c r="G285" t="str">
        <f t="shared" si="9"/>
        <v>.</v>
      </c>
      <c r="H285" s="8" t="s">
        <v>386</v>
      </c>
      <c r="I285" s="8" t="s">
        <v>387</v>
      </c>
      <c r="J285" s="8" t="s">
        <v>425</v>
      </c>
      <c r="L285" t="str">
        <f t="shared" si="10"/>
        <v>.</v>
      </c>
    </row>
    <row r="286" spans="1:12" x14ac:dyDescent="0.45">
      <c r="A286" t="s">
        <v>30</v>
      </c>
      <c r="B286" t="s">
        <v>37</v>
      </c>
      <c r="C286">
        <v>0.92702616758355638</v>
      </c>
      <c r="D286">
        <v>0.8</v>
      </c>
      <c r="E286">
        <v>0.2226999080497942</v>
      </c>
      <c r="G286" t="str">
        <f t="shared" si="9"/>
        <v>W</v>
      </c>
      <c r="H286" s="8" t="s">
        <v>303</v>
      </c>
      <c r="I286" s="8" t="s">
        <v>304</v>
      </c>
      <c r="J286" s="8" t="s">
        <v>421</v>
      </c>
      <c r="K286" s="8" t="s">
        <v>515</v>
      </c>
      <c r="L286" t="str">
        <f t="shared" si="10"/>
        <v>.</v>
      </c>
    </row>
    <row r="287" spans="1:12" hidden="1" x14ac:dyDescent="0.45">
      <c r="A287" t="s">
        <v>32</v>
      </c>
      <c r="B287" t="s">
        <v>32</v>
      </c>
      <c r="C287">
        <v>5.5288387046392717E-4</v>
      </c>
      <c r="D287">
        <v>1</v>
      </c>
      <c r="E287">
        <v>0.99944712016184645</v>
      </c>
      <c r="G287" t="str">
        <f t="shared" si="9"/>
        <v>.</v>
      </c>
      <c r="H287" s="8" t="s">
        <v>329</v>
      </c>
      <c r="I287" s="8" t="s">
        <v>330</v>
      </c>
      <c r="J287" s="8" t="s">
        <v>423</v>
      </c>
      <c r="L287" t="str">
        <f t="shared" si="10"/>
        <v>.</v>
      </c>
    </row>
    <row r="288" spans="1:12" hidden="1" x14ac:dyDescent="0.45">
      <c r="A288" t="s">
        <v>44</v>
      </c>
      <c r="B288" t="s">
        <v>44</v>
      </c>
      <c r="C288">
        <v>0.27628365757341189</v>
      </c>
      <c r="D288">
        <v>0.8</v>
      </c>
      <c r="E288">
        <v>0.9046501419366757</v>
      </c>
      <c r="G288" t="str">
        <f t="shared" si="9"/>
        <v>.</v>
      </c>
      <c r="H288" s="8" t="s">
        <v>187</v>
      </c>
      <c r="I288" s="8" t="s">
        <v>99</v>
      </c>
      <c r="J288" s="8" t="s">
        <v>431</v>
      </c>
      <c r="L288" t="str">
        <f t="shared" si="10"/>
        <v>.</v>
      </c>
    </row>
    <row r="289" spans="1:13" hidden="1" x14ac:dyDescent="0.45">
      <c r="A289" t="s">
        <v>28</v>
      </c>
      <c r="B289" t="s">
        <v>28</v>
      </c>
      <c r="C289">
        <v>0.20097424021605481</v>
      </c>
      <c r="D289">
        <v>0.8</v>
      </c>
      <c r="E289">
        <v>0.99883045900532441</v>
      </c>
      <c r="G289" t="str">
        <f t="shared" si="9"/>
        <v>.</v>
      </c>
      <c r="H289" s="8" t="s">
        <v>199</v>
      </c>
      <c r="I289" s="8" t="s">
        <v>200</v>
      </c>
      <c r="J289" s="8" t="s">
        <v>418</v>
      </c>
      <c r="L289" t="str">
        <f t="shared" si="10"/>
        <v>.</v>
      </c>
    </row>
    <row r="290" spans="1:13" hidden="1" x14ac:dyDescent="0.45">
      <c r="A290" t="s">
        <v>33</v>
      </c>
      <c r="B290" t="s">
        <v>33</v>
      </c>
      <c r="C290">
        <v>0.20000635361845939</v>
      </c>
      <c r="D290">
        <v>0.8</v>
      </c>
      <c r="E290">
        <v>0.99999205818100989</v>
      </c>
      <c r="G290" t="str">
        <f t="shared" si="9"/>
        <v>.</v>
      </c>
      <c r="H290" s="8" t="s">
        <v>370</v>
      </c>
      <c r="I290" s="8" t="s">
        <v>371</v>
      </c>
      <c r="J290" s="8" t="s">
        <v>424</v>
      </c>
      <c r="L290" t="str">
        <f t="shared" si="10"/>
        <v>.</v>
      </c>
    </row>
    <row r="291" spans="1:13" hidden="1" x14ac:dyDescent="0.45">
      <c r="A291" t="s">
        <v>26</v>
      </c>
      <c r="B291" t="s">
        <v>26</v>
      </c>
      <c r="C291">
        <v>0.27627988964962941</v>
      </c>
      <c r="D291">
        <v>0.8</v>
      </c>
      <c r="E291">
        <v>0.9046501419366757</v>
      </c>
      <c r="G291" t="str">
        <f t="shared" si="9"/>
        <v>.</v>
      </c>
      <c r="H291" s="8" t="s">
        <v>323</v>
      </c>
      <c r="I291" s="8" t="s">
        <v>324</v>
      </c>
      <c r="J291" s="8" t="s">
        <v>416</v>
      </c>
      <c r="L291" t="str">
        <f t="shared" si="10"/>
        <v>.</v>
      </c>
    </row>
    <row r="292" spans="1:13" hidden="1" x14ac:dyDescent="0.45">
      <c r="A292" t="s">
        <v>32</v>
      </c>
      <c r="B292" t="s">
        <v>32</v>
      </c>
      <c r="C292">
        <v>7.0968576954555385E-4</v>
      </c>
      <c r="D292">
        <v>1</v>
      </c>
      <c r="E292">
        <v>0.99929032330932133</v>
      </c>
      <c r="G292" t="str">
        <f t="shared" si="9"/>
        <v>.</v>
      </c>
      <c r="H292" s="8" t="s">
        <v>152</v>
      </c>
      <c r="I292" s="8" t="s">
        <v>153</v>
      </c>
      <c r="J292" s="8" t="s">
        <v>423</v>
      </c>
      <c r="L292" t="str">
        <f t="shared" si="10"/>
        <v>.</v>
      </c>
    </row>
    <row r="293" spans="1:13" hidden="1" x14ac:dyDescent="0.45">
      <c r="A293" t="s">
        <v>35</v>
      </c>
      <c r="B293" t="s">
        <v>35</v>
      </c>
      <c r="C293">
        <v>0.29536463772422289</v>
      </c>
      <c r="D293">
        <v>0.8</v>
      </c>
      <c r="E293">
        <v>0.88079431690861987</v>
      </c>
      <c r="G293" t="str">
        <f t="shared" si="9"/>
        <v>.</v>
      </c>
      <c r="H293" s="8" t="s">
        <v>465</v>
      </c>
      <c r="I293" s="8" t="s">
        <v>466</v>
      </c>
      <c r="J293" s="8" t="s">
        <v>420</v>
      </c>
      <c r="L293" t="str">
        <f t="shared" si="10"/>
        <v>.</v>
      </c>
    </row>
    <row r="294" spans="1:13" hidden="1" x14ac:dyDescent="0.45">
      <c r="A294" t="s">
        <v>19</v>
      </c>
      <c r="B294" t="s">
        <v>58</v>
      </c>
      <c r="C294">
        <v>0.98397961776282428</v>
      </c>
      <c r="D294">
        <v>0.8</v>
      </c>
      <c r="E294">
        <v>2.2977367413042831E-2</v>
      </c>
      <c r="G294" t="str">
        <f t="shared" si="9"/>
        <v>W</v>
      </c>
      <c r="H294" s="8" t="s">
        <v>467</v>
      </c>
      <c r="I294" s="8" t="s">
        <v>468</v>
      </c>
      <c r="J294" s="8" t="s">
        <v>432</v>
      </c>
      <c r="L294" t="str">
        <f t="shared" si="10"/>
        <v>NonID</v>
      </c>
    </row>
    <row r="295" spans="1:13" hidden="1" x14ac:dyDescent="0.45">
      <c r="A295" t="s">
        <v>33</v>
      </c>
      <c r="B295" t="s">
        <v>33</v>
      </c>
      <c r="C295">
        <v>0.20026833169010219</v>
      </c>
      <c r="D295">
        <v>0.8</v>
      </c>
      <c r="E295">
        <v>0.99966459043674005</v>
      </c>
      <c r="G295" t="str">
        <f t="shared" si="9"/>
        <v>.</v>
      </c>
      <c r="H295" s="8" t="s">
        <v>469</v>
      </c>
      <c r="I295" s="8" t="s">
        <v>99</v>
      </c>
      <c r="J295" s="8" t="s">
        <v>424</v>
      </c>
      <c r="L295" t="str">
        <f t="shared" si="10"/>
        <v>.</v>
      </c>
    </row>
    <row r="296" spans="1:13" hidden="1" x14ac:dyDescent="0.45">
      <c r="A296" t="s">
        <v>33</v>
      </c>
      <c r="B296" t="s">
        <v>33</v>
      </c>
      <c r="C296">
        <v>0.21838227225086559</v>
      </c>
      <c r="D296">
        <v>0.8</v>
      </c>
      <c r="E296">
        <v>0.97702216176622525</v>
      </c>
      <c r="G296" t="str">
        <f t="shared" si="9"/>
        <v>.</v>
      </c>
      <c r="H296" s="8" t="s">
        <v>470</v>
      </c>
      <c r="I296" s="8" t="s">
        <v>99</v>
      </c>
      <c r="J296" s="8" t="s">
        <v>424</v>
      </c>
      <c r="L296" t="str">
        <f t="shared" si="10"/>
        <v>.</v>
      </c>
    </row>
    <row r="297" spans="1:13" x14ac:dyDescent="0.45">
      <c r="A297" t="s">
        <v>31</v>
      </c>
      <c r="B297" t="s">
        <v>59</v>
      </c>
      <c r="C297">
        <v>0.95916084666284895</v>
      </c>
      <c r="D297">
        <v>0.8</v>
      </c>
      <c r="E297">
        <v>0.22269985495400491</v>
      </c>
      <c r="G297" t="str">
        <f t="shared" si="9"/>
        <v>W</v>
      </c>
      <c r="H297" s="8" t="s">
        <v>471</v>
      </c>
      <c r="I297" s="8" t="s">
        <v>99</v>
      </c>
      <c r="J297" s="8" t="s">
        <v>422</v>
      </c>
      <c r="K297" s="8" t="s">
        <v>515</v>
      </c>
      <c r="L297" t="str">
        <f t="shared" si="10"/>
        <v>.</v>
      </c>
    </row>
    <row r="298" spans="1:13" hidden="1" x14ac:dyDescent="0.45">
      <c r="A298" t="s">
        <v>28</v>
      </c>
      <c r="B298" t="s">
        <v>28</v>
      </c>
      <c r="C298">
        <v>0.38428756972248268</v>
      </c>
      <c r="D298">
        <v>0.8</v>
      </c>
      <c r="E298">
        <v>0.97068680228831061</v>
      </c>
      <c r="G298" t="str">
        <f t="shared" si="9"/>
        <v>.</v>
      </c>
      <c r="H298" s="8" t="s">
        <v>472</v>
      </c>
      <c r="I298" s="8" t="s">
        <v>99</v>
      </c>
      <c r="J298" s="8" t="s">
        <v>418</v>
      </c>
      <c r="L298" t="str">
        <f t="shared" si="10"/>
        <v>.</v>
      </c>
    </row>
    <row r="299" spans="1:13" hidden="1" x14ac:dyDescent="0.45">
      <c r="A299" t="s">
        <v>9</v>
      </c>
      <c r="B299" t="s">
        <v>35</v>
      </c>
      <c r="C299">
        <v>0.20708836004523781</v>
      </c>
      <c r="D299">
        <v>0.8</v>
      </c>
      <c r="E299">
        <v>0.99142231192149144</v>
      </c>
      <c r="G299" t="str">
        <f t="shared" si="9"/>
        <v>W</v>
      </c>
      <c r="H299" s="8" t="s">
        <v>288</v>
      </c>
      <c r="I299" s="8" t="s">
        <v>289</v>
      </c>
      <c r="J299" s="8" t="s">
        <v>420</v>
      </c>
      <c r="L299" t="str">
        <f t="shared" si="10"/>
        <v>.</v>
      </c>
    </row>
    <row r="300" spans="1:13" hidden="1" x14ac:dyDescent="0.45">
      <c r="A300" t="s">
        <v>41</v>
      </c>
      <c r="B300" t="s">
        <v>41</v>
      </c>
      <c r="C300">
        <v>0.20006361828723371</v>
      </c>
      <c r="D300">
        <v>0.8</v>
      </c>
      <c r="E300">
        <v>0.99992506849856422</v>
      </c>
      <c r="G300" t="str">
        <f t="shared" si="9"/>
        <v>.</v>
      </c>
      <c r="H300" s="8" t="s">
        <v>454</v>
      </c>
      <c r="I300" s="8" t="s">
        <v>455</v>
      </c>
      <c r="J300" s="8" t="s">
        <v>429</v>
      </c>
      <c r="L300" t="str">
        <f t="shared" si="10"/>
        <v>.</v>
      </c>
    </row>
    <row r="301" spans="1:13" hidden="1" x14ac:dyDescent="0.45">
      <c r="A301" t="s">
        <v>49</v>
      </c>
      <c r="B301" t="s">
        <v>49</v>
      </c>
      <c r="C301">
        <v>0.20003639534208889</v>
      </c>
      <c r="D301">
        <v>0.8</v>
      </c>
      <c r="E301">
        <v>0.99995451003057012</v>
      </c>
      <c r="G301" t="str">
        <f t="shared" si="9"/>
        <v>.</v>
      </c>
      <c r="H301" s="8" t="s">
        <v>291</v>
      </c>
      <c r="I301" s="8" t="s">
        <v>292</v>
      </c>
      <c r="J301" s="8" t="s">
        <v>436</v>
      </c>
      <c r="L301" t="str">
        <f t="shared" si="10"/>
        <v>.</v>
      </c>
    </row>
    <row r="302" spans="1:13" hidden="1" x14ac:dyDescent="0.45">
      <c r="A302" t="s">
        <v>33</v>
      </c>
      <c r="B302" t="s">
        <v>33</v>
      </c>
      <c r="C302">
        <v>0.20044230417264289</v>
      </c>
      <c r="D302">
        <v>0.8</v>
      </c>
      <c r="E302">
        <v>0.99944712016184645</v>
      </c>
      <c r="G302" t="str">
        <f t="shared" si="9"/>
        <v>.</v>
      </c>
      <c r="H302" s="8" t="s">
        <v>470</v>
      </c>
      <c r="I302" s="8" t="s">
        <v>99</v>
      </c>
      <c r="J302" s="8" t="s">
        <v>424</v>
      </c>
      <c r="L302" t="str">
        <f t="shared" si="10"/>
        <v>.</v>
      </c>
    </row>
    <row r="303" spans="1:13" hidden="1" x14ac:dyDescent="0.45">
      <c r="A303" t="s">
        <v>49</v>
      </c>
      <c r="B303" t="s">
        <v>49</v>
      </c>
      <c r="C303">
        <v>0.20535441758254311</v>
      </c>
      <c r="D303">
        <v>0.8</v>
      </c>
      <c r="E303">
        <v>0.99330700849498244</v>
      </c>
      <c r="G303" t="str">
        <f t="shared" si="9"/>
        <v>.</v>
      </c>
      <c r="H303" s="8" t="s">
        <v>261</v>
      </c>
      <c r="I303" s="8" t="s">
        <v>262</v>
      </c>
      <c r="J303" s="8" t="s">
        <v>436</v>
      </c>
      <c r="L303" t="str">
        <f t="shared" si="10"/>
        <v>.</v>
      </c>
    </row>
    <row r="304" spans="1:13" x14ac:dyDescent="0.45">
      <c r="A304" t="s">
        <v>45</v>
      </c>
      <c r="B304" t="s">
        <v>37</v>
      </c>
      <c r="C304">
        <v>1</v>
      </c>
      <c r="D304">
        <v>0.8</v>
      </c>
      <c r="E304">
        <v>0.85195246835757599</v>
      </c>
      <c r="G304" t="str">
        <f t="shared" si="9"/>
        <v>W</v>
      </c>
      <c r="H304" s="8" t="s">
        <v>398</v>
      </c>
      <c r="I304" s="8" t="s">
        <v>399</v>
      </c>
      <c r="J304" s="8" t="s">
        <v>433</v>
      </c>
      <c r="K304" s="8" t="s">
        <v>515</v>
      </c>
      <c r="L304" s="13" t="str">
        <f t="shared" si="10"/>
        <v>NonID</v>
      </c>
      <c r="M304" s="8" t="s">
        <v>515</v>
      </c>
    </row>
    <row r="305" spans="1:12" hidden="1" x14ac:dyDescent="0.45">
      <c r="A305" t="s">
        <v>38</v>
      </c>
      <c r="B305" t="s">
        <v>38</v>
      </c>
      <c r="C305">
        <v>0.20083944584109789</v>
      </c>
      <c r="D305">
        <v>0.8</v>
      </c>
      <c r="E305">
        <v>0.99966459043674005</v>
      </c>
      <c r="G305" t="str">
        <f t="shared" si="9"/>
        <v>.</v>
      </c>
      <c r="H305" s="8" t="s">
        <v>377</v>
      </c>
      <c r="I305" s="8" t="s">
        <v>378</v>
      </c>
      <c r="J305" s="8" t="s">
        <v>426</v>
      </c>
      <c r="L305" t="str">
        <f t="shared" si="10"/>
        <v>.</v>
      </c>
    </row>
    <row r="306" spans="1:12" hidden="1" x14ac:dyDescent="0.45">
      <c r="A306" t="s">
        <v>57</v>
      </c>
      <c r="B306" t="s">
        <v>37</v>
      </c>
      <c r="C306">
        <v>1</v>
      </c>
      <c r="D306">
        <v>0.8</v>
      </c>
      <c r="E306">
        <v>1.798621131402731E-2</v>
      </c>
      <c r="G306" t="str">
        <f t="shared" si="9"/>
        <v>W</v>
      </c>
      <c r="H306" s="8" t="s">
        <v>473</v>
      </c>
      <c r="I306" s="8" t="s">
        <v>474</v>
      </c>
      <c r="J306" s="8" t="s">
        <v>497</v>
      </c>
      <c r="L306" t="str">
        <f t="shared" si="10"/>
        <v>NonID</v>
      </c>
    </row>
    <row r="307" spans="1:12" hidden="1" x14ac:dyDescent="0.45">
      <c r="A307" t="s">
        <v>35</v>
      </c>
      <c r="B307" t="s">
        <v>35</v>
      </c>
      <c r="C307">
        <v>0.26115178570510711</v>
      </c>
      <c r="D307">
        <v>0.8</v>
      </c>
      <c r="E307">
        <v>0.92414157141107012</v>
      </c>
      <c r="G307" t="str">
        <f t="shared" si="9"/>
        <v>.</v>
      </c>
      <c r="H307" s="8" t="s">
        <v>159</v>
      </c>
      <c r="I307" s="8" t="s">
        <v>99</v>
      </c>
      <c r="J307" s="8" t="s">
        <v>420</v>
      </c>
      <c r="L307" t="str">
        <f t="shared" si="10"/>
        <v>.</v>
      </c>
    </row>
    <row r="308" spans="1:12" hidden="1" x14ac:dyDescent="0.45">
      <c r="A308" t="s">
        <v>19</v>
      </c>
      <c r="B308" t="s">
        <v>58</v>
      </c>
      <c r="C308">
        <v>0.99060441403893917</v>
      </c>
      <c r="D308">
        <v>0.8</v>
      </c>
      <c r="E308">
        <v>1.798620273753547E-2</v>
      </c>
      <c r="G308" t="str">
        <f t="shared" si="9"/>
        <v>W</v>
      </c>
      <c r="H308" s="8" t="s">
        <v>467</v>
      </c>
      <c r="I308" s="8" t="s">
        <v>468</v>
      </c>
      <c r="J308" s="8" t="s">
        <v>432</v>
      </c>
      <c r="L308" t="str">
        <f t="shared" si="10"/>
        <v>NonID</v>
      </c>
    </row>
    <row r="309" spans="1:12" hidden="1" x14ac:dyDescent="0.45">
      <c r="A309" t="s">
        <v>35</v>
      </c>
      <c r="B309" t="s">
        <v>35</v>
      </c>
      <c r="C309">
        <v>0.41884917238942998</v>
      </c>
      <c r="D309">
        <v>0.8</v>
      </c>
      <c r="E309">
        <v>0.73105552824876119</v>
      </c>
      <c r="G309" t="str">
        <f t="shared" si="9"/>
        <v>.</v>
      </c>
      <c r="H309" s="8" t="s">
        <v>271</v>
      </c>
      <c r="I309" s="8" t="s">
        <v>99</v>
      </c>
      <c r="J309" s="8" t="s">
        <v>420</v>
      </c>
      <c r="L309" t="str">
        <f t="shared" si="10"/>
        <v>.</v>
      </c>
    </row>
    <row r="310" spans="1:12" hidden="1" x14ac:dyDescent="0.45">
      <c r="A310" t="s">
        <v>33</v>
      </c>
      <c r="B310" t="s">
        <v>33</v>
      </c>
      <c r="C310">
        <v>0.2183819079165201</v>
      </c>
      <c r="D310">
        <v>0.8</v>
      </c>
      <c r="E310">
        <v>0.97702261672772872</v>
      </c>
      <c r="G310" t="str">
        <f t="shared" si="9"/>
        <v>.</v>
      </c>
      <c r="H310" s="8" t="s">
        <v>475</v>
      </c>
      <c r="I310" s="8" t="s">
        <v>476</v>
      </c>
      <c r="J310" s="8" t="s">
        <v>424</v>
      </c>
      <c r="L310" t="str">
        <f t="shared" si="10"/>
        <v>.</v>
      </c>
    </row>
    <row r="311" spans="1:12" hidden="1" x14ac:dyDescent="0.45">
      <c r="A311" t="s">
        <v>35</v>
      </c>
      <c r="B311" t="s">
        <v>35</v>
      </c>
      <c r="C311">
        <v>0.25413961197886498</v>
      </c>
      <c r="D311">
        <v>0.8</v>
      </c>
      <c r="E311">
        <v>0.95257237691507302</v>
      </c>
      <c r="G311" t="str">
        <f t="shared" si="9"/>
        <v>.</v>
      </c>
      <c r="H311" s="8" t="s">
        <v>154</v>
      </c>
      <c r="I311" s="8" t="s">
        <v>99</v>
      </c>
      <c r="J311" s="8" t="s">
        <v>420</v>
      </c>
      <c r="L311" t="str">
        <f t="shared" si="10"/>
        <v>.</v>
      </c>
    </row>
    <row r="312" spans="1:12" hidden="1" x14ac:dyDescent="0.45">
      <c r="A312" t="s">
        <v>36</v>
      </c>
      <c r="B312" t="s">
        <v>36</v>
      </c>
      <c r="C312">
        <v>0.20093564183030679</v>
      </c>
      <c r="D312">
        <v>0.8</v>
      </c>
      <c r="E312">
        <v>0.99883045900532441</v>
      </c>
      <c r="G312" t="str">
        <f t="shared" si="9"/>
        <v>.</v>
      </c>
      <c r="H312" s="8" t="s">
        <v>185</v>
      </c>
      <c r="I312" s="8" t="s">
        <v>186</v>
      </c>
      <c r="J312" s="8" t="s">
        <v>425</v>
      </c>
      <c r="L312" t="str">
        <f t="shared" si="10"/>
        <v>.</v>
      </c>
    </row>
    <row r="313" spans="1:12" hidden="1" x14ac:dyDescent="0.45">
      <c r="A313" t="s">
        <v>32</v>
      </c>
      <c r="B313" t="s">
        <v>32</v>
      </c>
      <c r="C313">
        <v>6.2790652490818388E-6</v>
      </c>
      <c r="D313">
        <v>1</v>
      </c>
      <c r="E313">
        <v>0.99999372702007638</v>
      </c>
      <c r="G313" t="str">
        <f t="shared" si="9"/>
        <v>.</v>
      </c>
      <c r="H313" s="8" t="s">
        <v>176</v>
      </c>
      <c r="I313" s="8" t="s">
        <v>177</v>
      </c>
      <c r="J313" s="8" t="s">
        <v>423</v>
      </c>
      <c r="L313" t="str">
        <f t="shared" si="10"/>
        <v>.</v>
      </c>
    </row>
    <row r="314" spans="1:12" hidden="1" x14ac:dyDescent="0.45">
      <c r="A314" t="s">
        <v>35</v>
      </c>
      <c r="B314" t="s">
        <v>35</v>
      </c>
      <c r="C314">
        <v>0.4597690289342512</v>
      </c>
      <c r="D314">
        <v>0.8</v>
      </c>
      <c r="E314">
        <v>0.6791779678132176</v>
      </c>
      <c r="G314" t="str">
        <f t="shared" si="9"/>
        <v>.</v>
      </c>
      <c r="H314" s="8" t="s">
        <v>313</v>
      </c>
      <c r="I314" s="8" t="s">
        <v>99</v>
      </c>
      <c r="J314" s="8" t="s">
        <v>420</v>
      </c>
      <c r="L314" t="str">
        <f t="shared" si="10"/>
        <v>.</v>
      </c>
    </row>
    <row r="315" spans="1:12" hidden="1" x14ac:dyDescent="0.45">
      <c r="A315" t="s">
        <v>32</v>
      </c>
      <c r="B315" t="s">
        <v>32</v>
      </c>
      <c r="C315">
        <v>0.77730039870099388</v>
      </c>
      <c r="D315">
        <v>1</v>
      </c>
      <c r="E315">
        <v>0.22269961602310959</v>
      </c>
      <c r="G315" t="str">
        <f t="shared" si="9"/>
        <v>.</v>
      </c>
      <c r="H315" s="8" t="s">
        <v>477</v>
      </c>
      <c r="I315" s="8" t="s">
        <v>478</v>
      </c>
      <c r="J315" s="8" t="s">
        <v>423</v>
      </c>
      <c r="L315" t="str">
        <f t="shared" si="10"/>
        <v>.</v>
      </c>
    </row>
    <row r="316" spans="1:12" hidden="1" x14ac:dyDescent="0.45">
      <c r="A316" t="s">
        <v>60</v>
      </c>
      <c r="B316" t="s">
        <v>60</v>
      </c>
      <c r="C316">
        <v>0.2003444717251964</v>
      </c>
      <c r="D316">
        <v>0.8</v>
      </c>
      <c r="E316">
        <v>0.99956942349659961</v>
      </c>
      <c r="G316" t="str">
        <f t="shared" si="9"/>
        <v>.</v>
      </c>
      <c r="H316" s="8" t="s">
        <v>479</v>
      </c>
      <c r="I316" s="8" t="s">
        <v>480</v>
      </c>
      <c r="J316" s="8" t="s">
        <v>498</v>
      </c>
      <c r="L316" t="str">
        <f t="shared" si="10"/>
        <v>.</v>
      </c>
    </row>
    <row r="317" spans="1:12" hidden="1" x14ac:dyDescent="0.45">
      <c r="A317" t="s">
        <v>38</v>
      </c>
      <c r="B317" t="s">
        <v>38</v>
      </c>
      <c r="C317">
        <v>0.20002306046758531</v>
      </c>
      <c r="D317">
        <v>0.8</v>
      </c>
      <c r="E317">
        <v>0.99999766072415552</v>
      </c>
      <c r="G317" t="str">
        <f t="shared" si="9"/>
        <v>.</v>
      </c>
      <c r="H317" s="8" t="s">
        <v>178</v>
      </c>
      <c r="I317" s="8" t="s">
        <v>179</v>
      </c>
      <c r="J317" s="8" t="s">
        <v>426</v>
      </c>
      <c r="L317" t="str">
        <f t="shared" si="10"/>
        <v>.</v>
      </c>
    </row>
    <row r="318" spans="1:12" hidden="1" x14ac:dyDescent="0.45">
      <c r="A318" t="s">
        <v>41</v>
      </c>
      <c r="B318" t="s">
        <v>41</v>
      </c>
      <c r="C318">
        <v>0.20020904422138189</v>
      </c>
      <c r="D318">
        <v>0.8</v>
      </c>
      <c r="E318">
        <v>0.99973869830781348</v>
      </c>
      <c r="G318" t="str">
        <f t="shared" si="9"/>
        <v>.</v>
      </c>
      <c r="H318" s="8" t="s">
        <v>412</v>
      </c>
      <c r="I318" s="8" t="s">
        <v>413</v>
      </c>
      <c r="J318" s="8" t="s">
        <v>429</v>
      </c>
      <c r="L318" t="str">
        <f t="shared" si="10"/>
        <v>.</v>
      </c>
    </row>
    <row r="319" spans="1:12" hidden="1" x14ac:dyDescent="0.45">
      <c r="A319" t="s">
        <v>33</v>
      </c>
      <c r="B319" t="s">
        <v>33</v>
      </c>
      <c r="C319">
        <v>0.20000635363897051</v>
      </c>
      <c r="D319">
        <v>0.8</v>
      </c>
      <c r="E319">
        <v>0.99999205818100989</v>
      </c>
      <c r="G319" t="str">
        <f t="shared" si="9"/>
        <v>.</v>
      </c>
      <c r="H319" s="8" t="s">
        <v>370</v>
      </c>
      <c r="I319" s="8" t="s">
        <v>371</v>
      </c>
      <c r="J319" s="8" t="s">
        <v>424</v>
      </c>
      <c r="L319" t="str">
        <f t="shared" si="10"/>
        <v>.</v>
      </c>
    </row>
    <row r="320" spans="1:12" hidden="1" x14ac:dyDescent="0.45">
      <c r="A320" t="s">
        <v>36</v>
      </c>
      <c r="B320" t="s">
        <v>36</v>
      </c>
      <c r="C320">
        <v>0.2005677612694047</v>
      </c>
      <c r="D320">
        <v>0.8</v>
      </c>
      <c r="E320">
        <v>0.99929032330932133</v>
      </c>
      <c r="G320" t="str">
        <f t="shared" si="9"/>
        <v>.</v>
      </c>
      <c r="H320" s="8" t="s">
        <v>386</v>
      </c>
      <c r="I320" s="8" t="s">
        <v>387</v>
      </c>
      <c r="J320" s="8" t="s">
        <v>425</v>
      </c>
      <c r="L320" t="str">
        <f t="shared" si="10"/>
        <v>.</v>
      </c>
    </row>
    <row r="321" spans="1:13" hidden="1" x14ac:dyDescent="0.45">
      <c r="A321" t="s">
        <v>40</v>
      </c>
      <c r="B321" t="s">
        <v>40</v>
      </c>
      <c r="C321">
        <v>0.20072883884105119</v>
      </c>
      <c r="D321">
        <v>0.8</v>
      </c>
      <c r="E321">
        <v>0.99908895173900303</v>
      </c>
      <c r="G321" t="str">
        <f t="shared" si="9"/>
        <v>.</v>
      </c>
      <c r="H321" s="8" t="s">
        <v>133</v>
      </c>
      <c r="I321" s="8" t="s">
        <v>134</v>
      </c>
      <c r="J321" s="8" t="s">
        <v>428</v>
      </c>
      <c r="L321" t="str">
        <f t="shared" si="10"/>
        <v>.</v>
      </c>
    </row>
    <row r="322" spans="1:13" hidden="1" x14ac:dyDescent="0.45">
      <c r="A322" t="s">
        <v>57</v>
      </c>
      <c r="B322" t="s">
        <v>37</v>
      </c>
      <c r="C322">
        <v>1</v>
      </c>
      <c r="D322">
        <v>0.8</v>
      </c>
      <c r="E322">
        <v>4.0701379399835057E-3</v>
      </c>
      <c r="G322" t="str">
        <f t="shared" si="9"/>
        <v>W</v>
      </c>
      <c r="H322" s="8" t="s">
        <v>481</v>
      </c>
      <c r="I322" s="8" t="s">
        <v>482</v>
      </c>
      <c r="J322" s="8" t="s">
        <v>497</v>
      </c>
      <c r="L322" t="str">
        <f t="shared" si="10"/>
        <v>NonID</v>
      </c>
    </row>
    <row r="323" spans="1:13" hidden="1" x14ac:dyDescent="0.45">
      <c r="A323" t="s">
        <v>51</v>
      </c>
      <c r="B323" t="s">
        <v>51</v>
      </c>
      <c r="C323">
        <v>0.2068621522115531</v>
      </c>
      <c r="D323">
        <v>0.8</v>
      </c>
      <c r="E323">
        <v>0.99142231192149144</v>
      </c>
      <c r="G323" t="str">
        <f t="shared" ref="G323:G386" si="11">IF(A323=B323,".","W")</f>
        <v>.</v>
      </c>
      <c r="H323" s="8" t="s">
        <v>343</v>
      </c>
      <c r="I323" s="8" t="s">
        <v>344</v>
      </c>
      <c r="J323" s="8" t="s">
        <v>438</v>
      </c>
      <c r="L323" t="str">
        <f t="shared" si="10"/>
        <v>.</v>
      </c>
    </row>
    <row r="324" spans="1:13" hidden="1" x14ac:dyDescent="0.45">
      <c r="A324" t="s">
        <v>35</v>
      </c>
      <c r="B324" t="s">
        <v>35</v>
      </c>
      <c r="C324">
        <v>0.20535439782496931</v>
      </c>
      <c r="D324">
        <v>0.8</v>
      </c>
      <c r="E324">
        <v>0.99330700849498244</v>
      </c>
      <c r="G324" t="str">
        <f t="shared" si="11"/>
        <v>.</v>
      </c>
      <c r="H324" s="8" t="s">
        <v>360</v>
      </c>
      <c r="I324" s="8" t="s">
        <v>361</v>
      </c>
      <c r="J324" s="8" t="s">
        <v>420</v>
      </c>
      <c r="L324" t="str">
        <f t="shared" si="10"/>
        <v>.</v>
      </c>
    </row>
    <row r="325" spans="1:13" hidden="1" x14ac:dyDescent="0.45">
      <c r="A325" t="s">
        <v>35</v>
      </c>
      <c r="B325" t="s">
        <v>35</v>
      </c>
      <c r="C325">
        <v>0.21126641029320881</v>
      </c>
      <c r="D325">
        <v>0.8</v>
      </c>
      <c r="E325">
        <v>0.98593597176585357</v>
      </c>
      <c r="G325" t="str">
        <f t="shared" si="11"/>
        <v>.</v>
      </c>
      <c r="H325" s="8" t="s">
        <v>440</v>
      </c>
      <c r="I325" s="8" t="s">
        <v>99</v>
      </c>
      <c r="J325" s="8" t="s">
        <v>420</v>
      </c>
      <c r="L325" t="str">
        <f t="shared" si="10"/>
        <v>.</v>
      </c>
    </row>
    <row r="326" spans="1:13" hidden="1" x14ac:dyDescent="0.45">
      <c r="A326" t="s">
        <v>36</v>
      </c>
      <c r="B326" t="s">
        <v>36</v>
      </c>
      <c r="C326">
        <v>0.20120098585877461</v>
      </c>
      <c r="D326">
        <v>0.8</v>
      </c>
      <c r="E326">
        <v>0.99849876799337189</v>
      </c>
      <c r="G326" t="str">
        <f t="shared" si="11"/>
        <v>.</v>
      </c>
      <c r="H326" s="8" t="s">
        <v>162</v>
      </c>
      <c r="I326" s="8" t="s">
        <v>163</v>
      </c>
      <c r="J326" s="8" t="s">
        <v>425</v>
      </c>
      <c r="L326" t="str">
        <f t="shared" si="10"/>
        <v>.</v>
      </c>
    </row>
    <row r="327" spans="1:13" hidden="1" x14ac:dyDescent="0.45">
      <c r="A327" t="s">
        <v>36</v>
      </c>
      <c r="B327" t="s">
        <v>36</v>
      </c>
      <c r="C327">
        <v>0.20154141939901141</v>
      </c>
      <c r="D327">
        <v>0.8</v>
      </c>
      <c r="E327">
        <v>0.99807322600355197</v>
      </c>
      <c r="G327" t="str">
        <f t="shared" si="11"/>
        <v>.</v>
      </c>
      <c r="H327" s="8" t="s">
        <v>375</v>
      </c>
      <c r="I327" s="8" t="s">
        <v>376</v>
      </c>
      <c r="J327" s="8" t="s">
        <v>425</v>
      </c>
      <c r="L327" t="str">
        <f t="shared" si="10"/>
        <v>.</v>
      </c>
    </row>
    <row r="328" spans="1:13" hidden="1" x14ac:dyDescent="0.45">
      <c r="A328" t="s">
        <v>38</v>
      </c>
      <c r="B328" t="s">
        <v>38</v>
      </c>
      <c r="C328">
        <v>0.20879012262563401</v>
      </c>
      <c r="D328">
        <v>0.8</v>
      </c>
      <c r="E328">
        <v>0.98901275129562083</v>
      </c>
      <c r="G328" t="str">
        <f t="shared" si="11"/>
        <v>.</v>
      </c>
      <c r="H328" s="8" t="s">
        <v>372</v>
      </c>
      <c r="I328" s="8" t="s">
        <v>99</v>
      </c>
      <c r="J328" s="8" t="s">
        <v>426</v>
      </c>
      <c r="L328" t="str">
        <f t="shared" si="10"/>
        <v>.</v>
      </c>
    </row>
    <row r="329" spans="1:13" hidden="1" x14ac:dyDescent="0.45">
      <c r="A329" t="s">
        <v>41</v>
      </c>
      <c r="B329" t="s">
        <v>41</v>
      </c>
      <c r="C329">
        <v>0.20001359118390041</v>
      </c>
      <c r="D329">
        <v>0.8</v>
      </c>
      <c r="E329">
        <v>0.99998323721818272</v>
      </c>
      <c r="G329" t="str">
        <f t="shared" si="11"/>
        <v>.</v>
      </c>
      <c r="H329" s="8" t="s">
        <v>391</v>
      </c>
      <c r="I329" s="8" t="s">
        <v>392</v>
      </c>
      <c r="J329" s="8" t="s">
        <v>429</v>
      </c>
      <c r="L329" t="str">
        <f t="shared" si="10"/>
        <v>.</v>
      </c>
    </row>
    <row r="330" spans="1:13" hidden="1" x14ac:dyDescent="0.45">
      <c r="A330" t="s">
        <v>35</v>
      </c>
      <c r="B330" t="s">
        <v>35</v>
      </c>
      <c r="C330">
        <v>0.2114712387335049</v>
      </c>
      <c r="D330">
        <v>0.8</v>
      </c>
      <c r="E330">
        <v>0.98593632069119785</v>
      </c>
      <c r="G330" t="str">
        <f t="shared" si="11"/>
        <v>.</v>
      </c>
      <c r="H330" s="8" t="s">
        <v>263</v>
      </c>
      <c r="I330" s="8" t="s">
        <v>264</v>
      </c>
      <c r="J330" s="8" t="s">
        <v>420</v>
      </c>
      <c r="L330" t="str">
        <f t="shared" si="10"/>
        <v>.</v>
      </c>
    </row>
    <row r="331" spans="1:13" x14ac:dyDescent="0.45">
      <c r="A331" t="s">
        <v>30</v>
      </c>
      <c r="B331" t="s">
        <v>37</v>
      </c>
      <c r="C331">
        <v>0.90413064762903195</v>
      </c>
      <c r="D331">
        <v>0.8</v>
      </c>
      <c r="E331">
        <v>0.26894108467305378</v>
      </c>
      <c r="G331" t="str">
        <f t="shared" si="11"/>
        <v>W</v>
      </c>
      <c r="H331" s="8" t="s">
        <v>111</v>
      </c>
      <c r="I331" s="8" t="s">
        <v>112</v>
      </c>
      <c r="J331" s="8" t="s">
        <v>421</v>
      </c>
      <c r="K331" s="8" t="s">
        <v>515</v>
      </c>
      <c r="L331" s="13" t="str">
        <f t="shared" si="10"/>
        <v>.</v>
      </c>
      <c r="M331" s="8" t="s">
        <v>515</v>
      </c>
    </row>
    <row r="332" spans="1:13" hidden="1" x14ac:dyDescent="0.45">
      <c r="A332" t="s">
        <v>36</v>
      </c>
      <c r="B332" t="s">
        <v>36</v>
      </c>
      <c r="C332">
        <v>0.20154142000556591</v>
      </c>
      <c r="D332">
        <v>0.8</v>
      </c>
      <c r="E332">
        <v>0.99807322600355197</v>
      </c>
      <c r="G332" t="str">
        <f t="shared" si="11"/>
        <v>.</v>
      </c>
      <c r="H332" s="8" t="s">
        <v>233</v>
      </c>
      <c r="I332" s="8" t="s">
        <v>234</v>
      </c>
      <c r="J332" s="8" t="s">
        <v>425</v>
      </c>
      <c r="L332" t="str">
        <f t="shared" si="10"/>
        <v>.</v>
      </c>
    </row>
    <row r="333" spans="1:13" hidden="1" x14ac:dyDescent="0.45">
      <c r="A333" t="s">
        <v>41</v>
      </c>
      <c r="B333" t="s">
        <v>41</v>
      </c>
      <c r="C333">
        <v>0.20000149042935639</v>
      </c>
      <c r="D333">
        <v>0.8</v>
      </c>
      <c r="E333">
        <v>0.99999813753780198</v>
      </c>
      <c r="G333" t="str">
        <f t="shared" si="11"/>
        <v>.</v>
      </c>
      <c r="H333" s="8" t="s">
        <v>458</v>
      </c>
      <c r="I333" s="8" t="s">
        <v>459</v>
      </c>
      <c r="J333" s="8" t="s">
        <v>429</v>
      </c>
      <c r="L333" t="str">
        <f t="shared" si="10"/>
        <v>.</v>
      </c>
    </row>
    <row r="334" spans="1:13" hidden="1" x14ac:dyDescent="0.45">
      <c r="A334" t="s">
        <v>31</v>
      </c>
      <c r="B334" t="s">
        <v>31</v>
      </c>
      <c r="C334">
        <v>0.2002253306272874</v>
      </c>
      <c r="D334">
        <v>0.8</v>
      </c>
      <c r="E334">
        <v>0.99999766072415552</v>
      </c>
      <c r="G334" t="str">
        <f t="shared" si="11"/>
        <v>.</v>
      </c>
      <c r="H334" s="8" t="s">
        <v>451</v>
      </c>
      <c r="I334" s="8" t="s">
        <v>237</v>
      </c>
      <c r="J334" s="8" t="s">
        <v>422</v>
      </c>
      <c r="L334" t="str">
        <f t="shared" si="10"/>
        <v>.</v>
      </c>
    </row>
    <row r="335" spans="1:13" hidden="1" x14ac:dyDescent="0.45">
      <c r="A335" t="s">
        <v>28</v>
      </c>
      <c r="B335" t="s">
        <v>28</v>
      </c>
      <c r="C335">
        <v>0.51791964830143788</v>
      </c>
      <c r="D335">
        <v>0.8</v>
      </c>
      <c r="E335">
        <v>0.93991051719668928</v>
      </c>
      <c r="G335" t="str">
        <f t="shared" si="11"/>
        <v>.</v>
      </c>
      <c r="H335" s="8" t="s">
        <v>472</v>
      </c>
      <c r="I335" s="8" t="s">
        <v>99</v>
      </c>
      <c r="J335" s="8" t="s">
        <v>418</v>
      </c>
      <c r="L335" t="str">
        <f t="shared" ref="L335:L398" si="12">IF(C335&lt;=$L$1,".","NonID")</f>
        <v>.</v>
      </c>
    </row>
    <row r="336" spans="1:13" hidden="1" x14ac:dyDescent="0.45">
      <c r="A336" t="s">
        <v>36</v>
      </c>
      <c r="B336" t="s">
        <v>36</v>
      </c>
      <c r="C336">
        <v>0.20072883880919271</v>
      </c>
      <c r="D336">
        <v>0.8</v>
      </c>
      <c r="E336">
        <v>0.99908895173900303</v>
      </c>
      <c r="G336" t="str">
        <f t="shared" si="11"/>
        <v>.</v>
      </c>
      <c r="H336" s="8" t="s">
        <v>122</v>
      </c>
      <c r="I336" s="8" t="s">
        <v>123</v>
      </c>
      <c r="J336" s="8" t="s">
        <v>425</v>
      </c>
      <c r="L336" t="str">
        <f t="shared" si="12"/>
        <v>.</v>
      </c>
    </row>
    <row r="337" spans="1:12" hidden="1" x14ac:dyDescent="0.45">
      <c r="A337" t="s">
        <v>19</v>
      </c>
      <c r="B337" t="s">
        <v>37</v>
      </c>
      <c r="C337">
        <v>0.99999812503115781</v>
      </c>
      <c r="D337">
        <v>0.8</v>
      </c>
      <c r="E337">
        <v>6.6928512642157227E-3</v>
      </c>
      <c r="G337" t="str">
        <f t="shared" si="11"/>
        <v>W</v>
      </c>
      <c r="H337" s="8" t="s">
        <v>157</v>
      </c>
      <c r="I337" s="8" t="s">
        <v>158</v>
      </c>
      <c r="J337" s="8" t="s">
        <v>430</v>
      </c>
      <c r="L337" t="str">
        <f t="shared" si="12"/>
        <v>NonID</v>
      </c>
    </row>
    <row r="338" spans="1:12" hidden="1" x14ac:dyDescent="0.45">
      <c r="A338" t="s">
        <v>27</v>
      </c>
      <c r="B338" t="s">
        <v>27</v>
      </c>
      <c r="C338">
        <v>0.24362992843458689</v>
      </c>
      <c r="D338">
        <v>0.8</v>
      </c>
      <c r="E338">
        <v>0.99999885275869793</v>
      </c>
      <c r="G338" t="str">
        <f t="shared" si="11"/>
        <v>.</v>
      </c>
      <c r="H338" s="8" t="s">
        <v>145</v>
      </c>
      <c r="I338" s="8" t="s">
        <v>146</v>
      </c>
      <c r="J338" s="8" t="s">
        <v>417</v>
      </c>
      <c r="L338" t="str">
        <f t="shared" si="12"/>
        <v>.</v>
      </c>
    </row>
    <row r="339" spans="1:12" hidden="1" x14ac:dyDescent="0.45">
      <c r="A339" t="s">
        <v>35</v>
      </c>
      <c r="B339" t="s">
        <v>35</v>
      </c>
      <c r="C339">
        <v>0.22350094436940171</v>
      </c>
      <c r="D339">
        <v>0.8</v>
      </c>
      <c r="E339">
        <v>0.9706870301020154</v>
      </c>
      <c r="G339" t="str">
        <f t="shared" si="11"/>
        <v>.</v>
      </c>
      <c r="H339" s="8" t="s">
        <v>389</v>
      </c>
      <c r="I339" s="8" t="s">
        <v>390</v>
      </c>
      <c r="J339" s="8" t="s">
        <v>420</v>
      </c>
      <c r="L339" t="str">
        <f t="shared" si="12"/>
        <v>.</v>
      </c>
    </row>
    <row r="340" spans="1:12" hidden="1" x14ac:dyDescent="0.45">
      <c r="A340" t="s">
        <v>35</v>
      </c>
      <c r="B340" t="s">
        <v>35</v>
      </c>
      <c r="C340">
        <v>0.20417616999797991</v>
      </c>
      <c r="D340">
        <v>0.8</v>
      </c>
      <c r="E340">
        <v>0.99477978997431815</v>
      </c>
      <c r="G340" t="str">
        <f t="shared" si="11"/>
        <v>.</v>
      </c>
      <c r="H340" s="8" t="s">
        <v>449</v>
      </c>
      <c r="I340" s="8" t="s">
        <v>450</v>
      </c>
      <c r="J340" s="8" t="s">
        <v>420</v>
      </c>
      <c r="L340" t="str">
        <f t="shared" si="12"/>
        <v>.</v>
      </c>
    </row>
    <row r="341" spans="1:12" hidden="1" x14ac:dyDescent="0.45">
      <c r="A341" t="s">
        <v>32</v>
      </c>
      <c r="B341" t="s">
        <v>32</v>
      </c>
      <c r="C341">
        <v>2.4727176289918158E-3</v>
      </c>
      <c r="D341">
        <v>1</v>
      </c>
      <c r="E341">
        <v>0.99752728456888673</v>
      </c>
      <c r="G341" t="str">
        <f t="shared" si="11"/>
        <v>.</v>
      </c>
      <c r="H341" s="8" t="s">
        <v>152</v>
      </c>
      <c r="I341" s="8" t="s">
        <v>153</v>
      </c>
      <c r="J341" s="8" t="s">
        <v>423</v>
      </c>
      <c r="L341" t="str">
        <f t="shared" si="12"/>
        <v>.</v>
      </c>
    </row>
    <row r="342" spans="1:12" hidden="1" x14ac:dyDescent="0.45">
      <c r="A342" t="s">
        <v>38</v>
      </c>
      <c r="B342" t="s">
        <v>38</v>
      </c>
      <c r="C342">
        <v>0.20031377132110861</v>
      </c>
      <c r="D342">
        <v>0.8</v>
      </c>
      <c r="E342">
        <v>0.99966459043674005</v>
      </c>
      <c r="G342" t="str">
        <f t="shared" si="11"/>
        <v>.</v>
      </c>
      <c r="H342" s="8" t="s">
        <v>219</v>
      </c>
      <c r="I342" s="8" t="s">
        <v>220</v>
      </c>
      <c r="J342" s="8" t="s">
        <v>426</v>
      </c>
      <c r="L342" t="str">
        <f t="shared" si="12"/>
        <v>.</v>
      </c>
    </row>
    <row r="343" spans="1:12" hidden="1" x14ac:dyDescent="0.45">
      <c r="A343" t="s">
        <v>47</v>
      </c>
      <c r="B343" t="s">
        <v>47</v>
      </c>
      <c r="C343">
        <v>0.20009874833895949</v>
      </c>
      <c r="D343">
        <v>0.8</v>
      </c>
      <c r="E343">
        <v>0.99987656475506059</v>
      </c>
      <c r="G343" t="str">
        <f t="shared" si="11"/>
        <v>.</v>
      </c>
      <c r="H343" s="8" t="s">
        <v>350</v>
      </c>
      <c r="I343" s="8" t="s">
        <v>351</v>
      </c>
      <c r="J343" s="8" t="s">
        <v>434</v>
      </c>
      <c r="L343" t="str">
        <f t="shared" si="12"/>
        <v>.</v>
      </c>
    </row>
    <row r="344" spans="1:12" hidden="1" x14ac:dyDescent="0.45">
      <c r="A344" t="s">
        <v>51</v>
      </c>
      <c r="B344" t="s">
        <v>51</v>
      </c>
      <c r="C344">
        <v>0.20056774138558831</v>
      </c>
      <c r="D344">
        <v>0.8</v>
      </c>
      <c r="E344">
        <v>0.99929032330932133</v>
      </c>
      <c r="G344" t="str">
        <f t="shared" si="11"/>
        <v>.</v>
      </c>
      <c r="H344" s="8" t="s">
        <v>294</v>
      </c>
      <c r="I344" s="8" t="s">
        <v>295</v>
      </c>
      <c r="J344" s="8" t="s">
        <v>438</v>
      </c>
      <c r="L344" t="str">
        <f t="shared" si="12"/>
        <v>.</v>
      </c>
    </row>
    <row r="345" spans="1:12" hidden="1" x14ac:dyDescent="0.45">
      <c r="A345" t="s">
        <v>28</v>
      </c>
      <c r="B345" t="s">
        <v>28</v>
      </c>
      <c r="C345">
        <v>0.29662258284343668</v>
      </c>
      <c r="D345">
        <v>0.8</v>
      </c>
      <c r="E345">
        <v>0.880796810635188</v>
      </c>
      <c r="G345" t="str">
        <f t="shared" si="11"/>
        <v>.</v>
      </c>
      <c r="H345" s="8" t="s">
        <v>98</v>
      </c>
      <c r="I345" s="8" t="s">
        <v>99</v>
      </c>
      <c r="J345" s="8" t="s">
        <v>418</v>
      </c>
      <c r="L345" t="str">
        <f t="shared" si="12"/>
        <v>.</v>
      </c>
    </row>
    <row r="346" spans="1:12" hidden="1" x14ac:dyDescent="0.45">
      <c r="A346" t="s">
        <v>31</v>
      </c>
      <c r="B346" t="s">
        <v>31</v>
      </c>
      <c r="C346">
        <v>0.20325610466683039</v>
      </c>
      <c r="D346">
        <v>0.8</v>
      </c>
      <c r="E346">
        <v>0.99592990413102933</v>
      </c>
      <c r="G346" t="str">
        <f t="shared" si="11"/>
        <v>.</v>
      </c>
      <c r="H346" s="8" t="s">
        <v>471</v>
      </c>
      <c r="I346" s="8" t="s">
        <v>99</v>
      </c>
      <c r="J346" s="8" t="s">
        <v>422</v>
      </c>
      <c r="L346" t="str">
        <f t="shared" si="12"/>
        <v>.</v>
      </c>
    </row>
    <row r="347" spans="1:12" hidden="1" x14ac:dyDescent="0.45">
      <c r="A347" t="s">
        <v>35</v>
      </c>
      <c r="B347" t="s">
        <v>35</v>
      </c>
      <c r="C347">
        <v>0.21271000600862369</v>
      </c>
      <c r="D347">
        <v>0.8</v>
      </c>
      <c r="E347">
        <v>0.99330700849498244</v>
      </c>
      <c r="G347" t="str">
        <f t="shared" si="11"/>
        <v>.</v>
      </c>
      <c r="H347" s="8" t="s">
        <v>120</v>
      </c>
      <c r="I347" s="8" t="s">
        <v>121</v>
      </c>
      <c r="J347" s="8" t="s">
        <v>420</v>
      </c>
      <c r="L347" t="str">
        <f t="shared" si="12"/>
        <v>.</v>
      </c>
    </row>
    <row r="348" spans="1:12" hidden="1" x14ac:dyDescent="0.45">
      <c r="A348" t="s">
        <v>41</v>
      </c>
      <c r="B348" t="s">
        <v>41</v>
      </c>
      <c r="C348">
        <v>0.20007692646900979</v>
      </c>
      <c r="D348">
        <v>0.8</v>
      </c>
      <c r="E348">
        <v>0.99990385206411014</v>
      </c>
      <c r="G348" t="str">
        <f t="shared" si="11"/>
        <v>.</v>
      </c>
      <c r="H348" s="8" t="s">
        <v>155</v>
      </c>
      <c r="I348" s="8" t="s">
        <v>156</v>
      </c>
      <c r="J348" s="8" t="s">
        <v>429</v>
      </c>
      <c r="L348" t="str">
        <f t="shared" si="12"/>
        <v>.</v>
      </c>
    </row>
    <row r="349" spans="1:12" hidden="1" x14ac:dyDescent="0.45">
      <c r="A349" t="s">
        <v>48</v>
      </c>
      <c r="B349" t="s">
        <v>48</v>
      </c>
      <c r="C349">
        <v>0.98313339133767041</v>
      </c>
      <c r="D349">
        <v>0.8</v>
      </c>
      <c r="E349">
        <v>2.2977361934812202E-2</v>
      </c>
      <c r="G349" t="str">
        <f t="shared" si="11"/>
        <v>.</v>
      </c>
      <c r="H349" s="8" t="s">
        <v>238</v>
      </c>
      <c r="I349" s="8" t="s">
        <v>239</v>
      </c>
      <c r="J349" s="8" t="s">
        <v>435</v>
      </c>
      <c r="L349" t="str">
        <f t="shared" si="12"/>
        <v>NonID</v>
      </c>
    </row>
    <row r="350" spans="1:12" hidden="1" x14ac:dyDescent="0.45">
      <c r="A350" t="s">
        <v>35</v>
      </c>
      <c r="B350" t="s">
        <v>35</v>
      </c>
      <c r="C350">
        <v>0.26081610800219279</v>
      </c>
      <c r="D350">
        <v>0.8</v>
      </c>
      <c r="E350">
        <v>0.92413993957478202</v>
      </c>
      <c r="G350" t="str">
        <f t="shared" si="11"/>
        <v>.</v>
      </c>
      <c r="H350" s="8" t="s">
        <v>312</v>
      </c>
      <c r="I350" s="8" t="s">
        <v>99</v>
      </c>
      <c r="J350" s="8" t="s">
        <v>420</v>
      </c>
      <c r="L350" t="str">
        <f t="shared" si="12"/>
        <v>.</v>
      </c>
    </row>
    <row r="351" spans="1:12" hidden="1" x14ac:dyDescent="0.45">
      <c r="A351" t="s">
        <v>32</v>
      </c>
      <c r="B351" t="s">
        <v>32</v>
      </c>
      <c r="C351">
        <v>7.0968240328095344E-4</v>
      </c>
      <c r="D351">
        <v>1</v>
      </c>
      <c r="E351">
        <v>0.99929032330932133</v>
      </c>
      <c r="G351" t="str">
        <f t="shared" si="11"/>
        <v>.</v>
      </c>
      <c r="H351" s="8" t="s">
        <v>329</v>
      </c>
      <c r="I351" s="8" t="s">
        <v>330</v>
      </c>
      <c r="J351" s="8" t="s">
        <v>423</v>
      </c>
      <c r="L351" t="str">
        <f t="shared" si="12"/>
        <v>.</v>
      </c>
    </row>
    <row r="352" spans="1:12" hidden="1" x14ac:dyDescent="0.45">
      <c r="A352" t="s">
        <v>38</v>
      </c>
      <c r="B352" t="s">
        <v>38</v>
      </c>
      <c r="C352">
        <v>0.21916836314542851</v>
      </c>
      <c r="D352">
        <v>0.8</v>
      </c>
      <c r="E352">
        <v>0.98201331327910268</v>
      </c>
      <c r="G352" t="str">
        <f t="shared" si="11"/>
        <v>.</v>
      </c>
      <c r="H352" s="8" t="s">
        <v>182</v>
      </c>
      <c r="I352" s="8" t="s">
        <v>99</v>
      </c>
      <c r="J352" s="8" t="s">
        <v>426</v>
      </c>
      <c r="L352" t="str">
        <f t="shared" si="12"/>
        <v>.</v>
      </c>
    </row>
    <row r="353" spans="1:13" hidden="1" x14ac:dyDescent="0.45">
      <c r="A353" t="s">
        <v>50</v>
      </c>
      <c r="B353" t="s">
        <v>50</v>
      </c>
      <c r="C353">
        <v>0.20878962032017029</v>
      </c>
      <c r="D353">
        <v>0.8</v>
      </c>
      <c r="E353">
        <v>0.98901298801575388</v>
      </c>
      <c r="G353" t="str">
        <f t="shared" si="11"/>
        <v>.</v>
      </c>
      <c r="H353" s="8" t="s">
        <v>277</v>
      </c>
      <c r="I353" s="8" t="s">
        <v>278</v>
      </c>
      <c r="J353" s="8" t="s">
        <v>437</v>
      </c>
      <c r="L353" t="str">
        <f t="shared" si="12"/>
        <v>.</v>
      </c>
    </row>
    <row r="354" spans="1:13" hidden="1" x14ac:dyDescent="0.45">
      <c r="A354" t="s">
        <v>30</v>
      </c>
      <c r="B354" t="s">
        <v>30</v>
      </c>
      <c r="C354">
        <v>0.20197830624971511</v>
      </c>
      <c r="D354">
        <v>0.8</v>
      </c>
      <c r="E354">
        <v>0.99752740325115785</v>
      </c>
      <c r="G354" t="str">
        <f t="shared" si="11"/>
        <v>.</v>
      </c>
      <c r="H354" s="8" t="s">
        <v>118</v>
      </c>
      <c r="I354" s="8" t="s">
        <v>119</v>
      </c>
      <c r="J354" s="8" t="s">
        <v>421</v>
      </c>
      <c r="L354" t="str">
        <f t="shared" si="12"/>
        <v>.</v>
      </c>
    </row>
    <row r="355" spans="1:13" hidden="1" x14ac:dyDescent="0.45">
      <c r="A355" t="s">
        <v>32</v>
      </c>
      <c r="B355" t="s">
        <v>32</v>
      </c>
      <c r="C355">
        <v>0.73105907624265476</v>
      </c>
      <c r="D355">
        <v>1</v>
      </c>
      <c r="E355">
        <v>0.26894092437172351</v>
      </c>
      <c r="G355" t="str">
        <f t="shared" si="11"/>
        <v>.</v>
      </c>
      <c r="H355" s="8" t="s">
        <v>354</v>
      </c>
      <c r="I355" s="8" t="s">
        <v>355</v>
      </c>
      <c r="J355" s="8" t="s">
        <v>423</v>
      </c>
      <c r="L355" t="str">
        <f t="shared" si="12"/>
        <v>.</v>
      </c>
    </row>
    <row r="356" spans="1:13" hidden="1" x14ac:dyDescent="0.45">
      <c r="A356" t="s">
        <v>39</v>
      </c>
      <c r="B356" t="s">
        <v>39</v>
      </c>
      <c r="C356">
        <v>0.59995489646276345</v>
      </c>
      <c r="D356">
        <v>0.8</v>
      </c>
      <c r="E356">
        <v>0.99682732998531542</v>
      </c>
      <c r="G356" t="str">
        <f t="shared" si="11"/>
        <v>.</v>
      </c>
      <c r="H356" s="8" t="s">
        <v>316</v>
      </c>
      <c r="I356" s="8" t="s">
        <v>317</v>
      </c>
      <c r="J356" s="8" t="s">
        <v>427</v>
      </c>
      <c r="L356" t="str">
        <f t="shared" si="12"/>
        <v>.</v>
      </c>
    </row>
    <row r="357" spans="1:13" hidden="1" x14ac:dyDescent="0.45">
      <c r="A357" t="s">
        <v>31</v>
      </c>
      <c r="B357" t="s">
        <v>31</v>
      </c>
      <c r="C357">
        <v>0.23157181695177709</v>
      </c>
      <c r="D357">
        <v>0.8</v>
      </c>
      <c r="E357">
        <v>0.99973869830781348</v>
      </c>
      <c r="G357" t="str">
        <f t="shared" si="11"/>
        <v>.</v>
      </c>
      <c r="H357" s="8" t="s">
        <v>236</v>
      </c>
      <c r="I357" s="8" t="s">
        <v>237</v>
      </c>
      <c r="J357" s="8" t="s">
        <v>422</v>
      </c>
      <c r="L357" t="str">
        <f t="shared" si="12"/>
        <v>.</v>
      </c>
    </row>
    <row r="358" spans="1:13" hidden="1" x14ac:dyDescent="0.45">
      <c r="A358" t="s">
        <v>41</v>
      </c>
      <c r="B358" t="s">
        <v>41</v>
      </c>
      <c r="C358">
        <v>0.2000081655162779</v>
      </c>
      <c r="D358">
        <v>0.8</v>
      </c>
      <c r="E358">
        <v>0.99998979333147131</v>
      </c>
      <c r="G358" t="str">
        <f t="shared" si="11"/>
        <v>.</v>
      </c>
      <c r="H358" s="8" t="s">
        <v>325</v>
      </c>
      <c r="I358" s="8" t="s">
        <v>321</v>
      </c>
      <c r="J358" s="8" t="s">
        <v>429</v>
      </c>
      <c r="L358" t="str">
        <f t="shared" si="12"/>
        <v>.</v>
      </c>
    </row>
    <row r="359" spans="1:13" hidden="1" x14ac:dyDescent="0.45">
      <c r="A359" t="s">
        <v>26</v>
      </c>
      <c r="B359" t="s">
        <v>26</v>
      </c>
      <c r="C359">
        <v>0.2068620566071778</v>
      </c>
      <c r="D359">
        <v>0.8</v>
      </c>
      <c r="E359">
        <v>0.99142243010824804</v>
      </c>
      <c r="G359" t="str">
        <f t="shared" si="11"/>
        <v>.</v>
      </c>
      <c r="H359" s="8" t="s">
        <v>94</v>
      </c>
      <c r="I359" s="8" t="s">
        <v>95</v>
      </c>
      <c r="J359" s="8" t="s">
        <v>416</v>
      </c>
      <c r="L359" t="str">
        <f t="shared" si="12"/>
        <v>.</v>
      </c>
    </row>
    <row r="360" spans="1:13" hidden="1" x14ac:dyDescent="0.45">
      <c r="A360" t="s">
        <v>28</v>
      </c>
      <c r="B360" t="s">
        <v>28</v>
      </c>
      <c r="C360">
        <v>0.2087898101739093</v>
      </c>
      <c r="D360">
        <v>0.8</v>
      </c>
      <c r="E360">
        <v>0.98901275129562083</v>
      </c>
      <c r="G360" t="str">
        <f t="shared" si="11"/>
        <v>.</v>
      </c>
      <c r="H360" s="8" t="s">
        <v>199</v>
      </c>
      <c r="I360" s="8" t="s">
        <v>200</v>
      </c>
      <c r="J360" s="8" t="s">
        <v>418</v>
      </c>
      <c r="L360" t="str">
        <f t="shared" si="12"/>
        <v>.</v>
      </c>
    </row>
    <row r="361" spans="1:13" hidden="1" x14ac:dyDescent="0.45">
      <c r="A361" t="s">
        <v>41</v>
      </c>
      <c r="B361" t="s">
        <v>41</v>
      </c>
      <c r="C361">
        <v>0.22986303634944971</v>
      </c>
      <c r="D361">
        <v>0.8</v>
      </c>
      <c r="E361">
        <v>0.96267122613891776</v>
      </c>
      <c r="G361" t="str">
        <f t="shared" si="11"/>
        <v>.</v>
      </c>
      <c r="H361" s="8" t="s">
        <v>445</v>
      </c>
      <c r="I361" s="8" t="s">
        <v>446</v>
      </c>
      <c r="J361" s="8" t="s">
        <v>429</v>
      </c>
      <c r="L361" t="str">
        <f t="shared" si="12"/>
        <v>.</v>
      </c>
    </row>
    <row r="362" spans="1:13" hidden="1" x14ac:dyDescent="0.45">
      <c r="A362" t="s">
        <v>35</v>
      </c>
      <c r="B362" t="s">
        <v>35</v>
      </c>
      <c r="C362">
        <v>0.31845462701028632</v>
      </c>
      <c r="D362">
        <v>0.8</v>
      </c>
      <c r="E362">
        <v>0.85194910416773717</v>
      </c>
      <c r="G362" t="str">
        <f t="shared" si="11"/>
        <v>.</v>
      </c>
      <c r="H362" s="8" t="s">
        <v>452</v>
      </c>
      <c r="I362" s="8" t="s">
        <v>453</v>
      </c>
      <c r="J362" s="8" t="s">
        <v>420</v>
      </c>
      <c r="L362" t="str">
        <f t="shared" si="12"/>
        <v>.</v>
      </c>
    </row>
    <row r="363" spans="1:13" hidden="1" x14ac:dyDescent="0.45">
      <c r="A363" t="s">
        <v>35</v>
      </c>
      <c r="B363" t="s">
        <v>35</v>
      </c>
      <c r="C363">
        <v>0.34594072293905648</v>
      </c>
      <c r="D363">
        <v>0.8</v>
      </c>
      <c r="E363">
        <v>0.81757418721671737</v>
      </c>
      <c r="G363" t="str">
        <f t="shared" si="11"/>
        <v>.</v>
      </c>
      <c r="H363" s="8" t="s">
        <v>447</v>
      </c>
      <c r="I363" s="8" t="s">
        <v>448</v>
      </c>
      <c r="J363" s="8" t="s">
        <v>420</v>
      </c>
      <c r="L363" t="str">
        <f t="shared" si="12"/>
        <v>.</v>
      </c>
    </row>
    <row r="364" spans="1:13" hidden="1" x14ac:dyDescent="0.45">
      <c r="A364" t="s">
        <v>19</v>
      </c>
      <c r="B364" t="s">
        <v>29</v>
      </c>
      <c r="C364">
        <v>0.93948414333279406</v>
      </c>
      <c r="D364">
        <v>0.8</v>
      </c>
      <c r="E364">
        <v>7.5858008712697766E-2</v>
      </c>
      <c r="G364" t="str">
        <f t="shared" si="11"/>
        <v>W</v>
      </c>
      <c r="H364" s="8" t="s">
        <v>204</v>
      </c>
      <c r="I364" s="8" t="s">
        <v>205</v>
      </c>
      <c r="J364" s="9" t="s">
        <v>432</v>
      </c>
      <c r="L364" t="str">
        <f t="shared" si="12"/>
        <v>.</v>
      </c>
      <c r="M364" t="s">
        <v>524</v>
      </c>
    </row>
    <row r="365" spans="1:13" hidden="1" x14ac:dyDescent="0.45">
      <c r="A365" t="s">
        <v>31</v>
      </c>
      <c r="B365" t="s">
        <v>31</v>
      </c>
      <c r="C365">
        <v>0.20092063400402041</v>
      </c>
      <c r="D365">
        <v>0.8</v>
      </c>
      <c r="E365">
        <v>0.99998979333147131</v>
      </c>
      <c r="G365" t="str">
        <f t="shared" si="11"/>
        <v>.</v>
      </c>
      <c r="H365" s="8" t="s">
        <v>104</v>
      </c>
      <c r="I365" s="8" t="s">
        <v>105</v>
      </c>
      <c r="J365" s="8" t="s">
        <v>422</v>
      </c>
      <c r="L365" t="str">
        <f t="shared" si="12"/>
        <v>.</v>
      </c>
    </row>
    <row r="366" spans="1:13" hidden="1" x14ac:dyDescent="0.45">
      <c r="A366" t="s">
        <v>35</v>
      </c>
      <c r="B366" t="s">
        <v>35</v>
      </c>
      <c r="C366">
        <v>0.23794194479673869</v>
      </c>
      <c r="D366">
        <v>0.8</v>
      </c>
      <c r="E366">
        <v>0.95257259338022438</v>
      </c>
      <c r="G366" t="str">
        <f t="shared" si="11"/>
        <v>.</v>
      </c>
      <c r="H366" s="8" t="s">
        <v>442</v>
      </c>
      <c r="I366" s="8" t="s">
        <v>443</v>
      </c>
      <c r="J366" s="8" t="s">
        <v>420</v>
      </c>
      <c r="L366" t="str">
        <f t="shared" si="12"/>
        <v>.</v>
      </c>
    </row>
    <row r="367" spans="1:13" hidden="1" x14ac:dyDescent="0.45">
      <c r="A367" t="s">
        <v>56</v>
      </c>
      <c r="B367" t="s">
        <v>56</v>
      </c>
      <c r="C367">
        <v>0.45674642175755298</v>
      </c>
      <c r="D367">
        <v>0.8</v>
      </c>
      <c r="E367">
        <v>0.67917355527194689</v>
      </c>
      <c r="G367" t="str">
        <f t="shared" si="11"/>
        <v>.</v>
      </c>
      <c r="H367" s="8" t="s">
        <v>333</v>
      </c>
      <c r="I367" s="8" t="s">
        <v>334</v>
      </c>
      <c r="J367" s="8" t="s">
        <v>435</v>
      </c>
      <c r="L367" t="str">
        <f t="shared" si="12"/>
        <v>.</v>
      </c>
    </row>
    <row r="368" spans="1:13" hidden="1" x14ac:dyDescent="0.45">
      <c r="A368" t="s">
        <v>26</v>
      </c>
      <c r="B368" t="s">
        <v>26</v>
      </c>
      <c r="C368">
        <v>0.23228112322801639</v>
      </c>
      <c r="D368">
        <v>0.8</v>
      </c>
      <c r="E368">
        <v>0.96267178200469405</v>
      </c>
      <c r="G368" t="str">
        <f t="shared" si="11"/>
        <v>.</v>
      </c>
      <c r="H368" s="8" t="s">
        <v>247</v>
      </c>
      <c r="I368" s="8" t="s">
        <v>248</v>
      </c>
      <c r="J368" s="8" t="s">
        <v>416</v>
      </c>
      <c r="L368" t="str">
        <f t="shared" si="12"/>
        <v>.</v>
      </c>
    </row>
    <row r="369" spans="1:12" x14ac:dyDescent="0.45">
      <c r="A369" t="s">
        <v>30</v>
      </c>
      <c r="B369" t="s">
        <v>34</v>
      </c>
      <c r="C369">
        <v>0.93941215869355732</v>
      </c>
      <c r="D369">
        <v>0.8</v>
      </c>
      <c r="E369">
        <v>7.5858135314513964E-2</v>
      </c>
      <c r="G369" t="str">
        <f t="shared" si="11"/>
        <v>W</v>
      </c>
      <c r="H369" s="8" t="s">
        <v>115</v>
      </c>
      <c r="I369" s="8" t="s">
        <v>116</v>
      </c>
      <c r="J369" s="8" t="s">
        <v>421</v>
      </c>
      <c r="K369" s="8" t="s">
        <v>515</v>
      </c>
      <c r="L369" t="str">
        <f t="shared" si="12"/>
        <v>.</v>
      </c>
    </row>
    <row r="370" spans="1:12" hidden="1" x14ac:dyDescent="0.45">
      <c r="A370" t="s">
        <v>49</v>
      </c>
      <c r="B370" t="s">
        <v>49</v>
      </c>
      <c r="C370">
        <v>0.200010454976144</v>
      </c>
      <c r="D370">
        <v>0.8</v>
      </c>
      <c r="E370">
        <v>0.99998693247732917</v>
      </c>
      <c r="G370" t="str">
        <f t="shared" si="11"/>
        <v>.</v>
      </c>
      <c r="H370" s="8" t="s">
        <v>463</v>
      </c>
      <c r="I370" s="8" t="s">
        <v>464</v>
      </c>
      <c r="J370" s="8" t="s">
        <v>436</v>
      </c>
      <c r="L370" t="str">
        <f t="shared" si="12"/>
        <v>.</v>
      </c>
    </row>
    <row r="371" spans="1:12" hidden="1" x14ac:dyDescent="0.45">
      <c r="A371" t="s">
        <v>51</v>
      </c>
      <c r="B371" t="s">
        <v>51</v>
      </c>
      <c r="C371">
        <v>0.20026867151271349</v>
      </c>
      <c r="D371">
        <v>0.8</v>
      </c>
      <c r="E371">
        <v>0.99966459043674005</v>
      </c>
      <c r="G371" t="str">
        <f t="shared" si="11"/>
        <v>.</v>
      </c>
      <c r="H371" s="8" t="s">
        <v>483</v>
      </c>
      <c r="I371" s="8" t="s">
        <v>484</v>
      </c>
      <c r="J371" s="8" t="s">
        <v>438</v>
      </c>
      <c r="L371" t="str">
        <f t="shared" si="12"/>
        <v>.</v>
      </c>
    </row>
    <row r="372" spans="1:12" hidden="1" x14ac:dyDescent="0.45">
      <c r="A372" t="s">
        <v>26</v>
      </c>
      <c r="B372" t="s">
        <v>26</v>
      </c>
      <c r="C372">
        <v>0.24807305871243909</v>
      </c>
      <c r="D372">
        <v>0.8</v>
      </c>
      <c r="E372">
        <v>0.93991304523943053</v>
      </c>
      <c r="G372" t="str">
        <f t="shared" si="11"/>
        <v>.</v>
      </c>
      <c r="H372" s="8" t="s">
        <v>269</v>
      </c>
      <c r="I372" s="8" t="s">
        <v>270</v>
      </c>
      <c r="J372" s="8" t="s">
        <v>416</v>
      </c>
      <c r="L372" t="str">
        <f t="shared" si="12"/>
        <v>.</v>
      </c>
    </row>
    <row r="373" spans="1:12" hidden="1" x14ac:dyDescent="0.45">
      <c r="A373" t="s">
        <v>38</v>
      </c>
      <c r="B373" t="s">
        <v>38</v>
      </c>
      <c r="C373">
        <v>0.2207089048108746</v>
      </c>
      <c r="D373">
        <v>0.8</v>
      </c>
      <c r="E373">
        <v>0.99682732998531542</v>
      </c>
      <c r="G373" t="str">
        <f t="shared" si="11"/>
        <v>.</v>
      </c>
      <c r="H373" s="8" t="s">
        <v>275</v>
      </c>
      <c r="I373" s="8" t="s">
        <v>276</v>
      </c>
      <c r="J373" s="8" t="s">
        <v>426</v>
      </c>
      <c r="L373" t="str">
        <f t="shared" si="12"/>
        <v>.</v>
      </c>
    </row>
    <row r="374" spans="1:12" hidden="1" x14ac:dyDescent="0.45">
      <c r="A374" t="s">
        <v>35</v>
      </c>
      <c r="B374" t="s">
        <v>35</v>
      </c>
      <c r="C374">
        <v>0.2379407306276364</v>
      </c>
      <c r="D374">
        <v>0.8</v>
      </c>
      <c r="E374">
        <v>0.95257410863766068</v>
      </c>
      <c r="G374" t="str">
        <f t="shared" si="11"/>
        <v>.</v>
      </c>
      <c r="H374" s="8" t="s">
        <v>460</v>
      </c>
      <c r="I374" s="8" t="s">
        <v>461</v>
      </c>
      <c r="J374" s="8" t="s">
        <v>420</v>
      </c>
      <c r="L374" t="str">
        <f t="shared" si="12"/>
        <v>.</v>
      </c>
    </row>
    <row r="375" spans="1:12" hidden="1" x14ac:dyDescent="0.45">
      <c r="A375" t="s">
        <v>41</v>
      </c>
      <c r="B375" t="s">
        <v>41</v>
      </c>
      <c r="C375">
        <v>0.20004669113888701</v>
      </c>
      <c r="D375">
        <v>0.8</v>
      </c>
      <c r="E375">
        <v>0.99994163670334457</v>
      </c>
      <c r="G375" t="str">
        <f t="shared" si="11"/>
        <v>.</v>
      </c>
      <c r="H375" s="8" t="s">
        <v>286</v>
      </c>
      <c r="I375" s="8" t="s">
        <v>287</v>
      </c>
      <c r="J375" s="8" t="s">
        <v>429</v>
      </c>
      <c r="L375" t="str">
        <f t="shared" si="12"/>
        <v>.</v>
      </c>
    </row>
    <row r="376" spans="1:12" hidden="1" x14ac:dyDescent="0.45">
      <c r="A376" t="s">
        <v>33</v>
      </c>
      <c r="B376" t="s">
        <v>33</v>
      </c>
      <c r="C376">
        <v>0.2003444621004575</v>
      </c>
      <c r="D376">
        <v>0.8</v>
      </c>
      <c r="E376">
        <v>0.99956942349659961</v>
      </c>
      <c r="G376" t="str">
        <f t="shared" si="11"/>
        <v>.</v>
      </c>
      <c r="H376" s="8" t="s">
        <v>469</v>
      </c>
      <c r="I376" s="8" t="s">
        <v>99</v>
      </c>
      <c r="J376" s="8" t="s">
        <v>424</v>
      </c>
      <c r="L376" t="str">
        <f t="shared" si="12"/>
        <v>.</v>
      </c>
    </row>
    <row r="377" spans="1:12" hidden="1" x14ac:dyDescent="0.45">
      <c r="A377" t="s">
        <v>60</v>
      </c>
      <c r="B377" t="s">
        <v>60</v>
      </c>
      <c r="C377">
        <v>0.42847290527828702</v>
      </c>
      <c r="D377">
        <v>0.8</v>
      </c>
      <c r="E377">
        <v>0.99682732998531542</v>
      </c>
      <c r="G377" t="str">
        <f t="shared" si="11"/>
        <v>.</v>
      </c>
      <c r="H377" s="8" t="s">
        <v>485</v>
      </c>
      <c r="I377" s="8" t="s">
        <v>486</v>
      </c>
      <c r="J377" s="8" t="s">
        <v>498</v>
      </c>
      <c r="L377" t="str">
        <f t="shared" si="12"/>
        <v>.</v>
      </c>
    </row>
    <row r="378" spans="1:12" hidden="1" x14ac:dyDescent="0.45">
      <c r="A378" t="s">
        <v>38</v>
      </c>
      <c r="B378" t="s">
        <v>38</v>
      </c>
      <c r="C378">
        <v>0.2009357630092472</v>
      </c>
      <c r="D378">
        <v>0.8</v>
      </c>
      <c r="E378">
        <v>0.99883045900532441</v>
      </c>
      <c r="G378" t="str">
        <f t="shared" si="11"/>
        <v>.</v>
      </c>
      <c r="H378" s="8" t="s">
        <v>379</v>
      </c>
      <c r="I378" s="8" t="s">
        <v>380</v>
      </c>
      <c r="J378" s="8" t="s">
        <v>426</v>
      </c>
      <c r="L378" t="str">
        <f t="shared" si="12"/>
        <v>.</v>
      </c>
    </row>
    <row r="379" spans="1:12" hidden="1" x14ac:dyDescent="0.45">
      <c r="A379" t="s">
        <v>40</v>
      </c>
      <c r="B379" t="s">
        <v>40</v>
      </c>
      <c r="C379">
        <v>0.20003639302543569</v>
      </c>
      <c r="D379">
        <v>0.8</v>
      </c>
      <c r="E379">
        <v>0.99995451003057012</v>
      </c>
      <c r="G379" t="str">
        <f t="shared" si="11"/>
        <v>.</v>
      </c>
      <c r="H379" s="8" t="s">
        <v>172</v>
      </c>
      <c r="I379" s="8" t="s">
        <v>173</v>
      </c>
      <c r="J379" s="8" t="s">
        <v>428</v>
      </c>
      <c r="L379" t="str">
        <f t="shared" si="12"/>
        <v>.</v>
      </c>
    </row>
    <row r="380" spans="1:12" hidden="1" x14ac:dyDescent="0.45">
      <c r="A380" t="s">
        <v>26</v>
      </c>
      <c r="B380" t="s">
        <v>26</v>
      </c>
      <c r="C380">
        <v>0.26238468557667072</v>
      </c>
      <c r="D380">
        <v>0.8</v>
      </c>
      <c r="E380">
        <v>0.92414157141107012</v>
      </c>
      <c r="G380" t="str">
        <f t="shared" si="11"/>
        <v>.</v>
      </c>
      <c r="H380" s="8" t="s">
        <v>213</v>
      </c>
      <c r="I380" s="8" t="s">
        <v>214</v>
      </c>
      <c r="J380" s="8" t="s">
        <v>416</v>
      </c>
      <c r="L380" t="str">
        <f t="shared" si="12"/>
        <v>.</v>
      </c>
    </row>
    <row r="381" spans="1:12" hidden="1" x14ac:dyDescent="0.45">
      <c r="A381" t="s">
        <v>45</v>
      </c>
      <c r="B381" t="s">
        <v>45</v>
      </c>
      <c r="C381">
        <v>0.2002720909021494</v>
      </c>
      <c r="D381">
        <v>0.8</v>
      </c>
      <c r="E381">
        <v>0.99973869830781348</v>
      </c>
      <c r="G381" t="str">
        <f t="shared" si="11"/>
        <v>.</v>
      </c>
      <c r="H381" s="8" t="s">
        <v>206</v>
      </c>
      <c r="I381" s="8" t="s">
        <v>207</v>
      </c>
      <c r="J381" s="8" t="s">
        <v>433</v>
      </c>
      <c r="L381" t="str">
        <f t="shared" si="12"/>
        <v>.</v>
      </c>
    </row>
    <row r="382" spans="1:12" hidden="1" x14ac:dyDescent="0.45">
      <c r="A382" t="s">
        <v>44</v>
      </c>
      <c r="B382" t="s">
        <v>44</v>
      </c>
      <c r="C382">
        <v>0.2012018391804383</v>
      </c>
      <c r="D382">
        <v>0.8</v>
      </c>
      <c r="E382">
        <v>0.99849876799337189</v>
      </c>
      <c r="G382" t="str">
        <f t="shared" si="11"/>
        <v>.</v>
      </c>
      <c r="H382" s="8" t="s">
        <v>187</v>
      </c>
      <c r="I382" s="8" t="s">
        <v>99</v>
      </c>
      <c r="J382" s="8" t="s">
        <v>431</v>
      </c>
      <c r="L382" t="str">
        <f t="shared" si="12"/>
        <v>.</v>
      </c>
    </row>
    <row r="383" spans="1:12" hidden="1" x14ac:dyDescent="0.45">
      <c r="A383" t="s">
        <v>19</v>
      </c>
      <c r="B383" t="s">
        <v>37</v>
      </c>
      <c r="C383">
        <v>1</v>
      </c>
      <c r="D383">
        <v>0.8</v>
      </c>
      <c r="E383">
        <v>2.2977367413042831E-2</v>
      </c>
      <c r="G383" t="str">
        <f t="shared" si="11"/>
        <v>W</v>
      </c>
      <c r="H383" s="8" t="s">
        <v>487</v>
      </c>
      <c r="I383" s="8" t="s">
        <v>488</v>
      </c>
      <c r="J383" s="8" t="s">
        <v>430</v>
      </c>
      <c r="L383" t="str">
        <f t="shared" si="12"/>
        <v>NonID</v>
      </c>
    </row>
    <row r="384" spans="1:12" hidden="1" x14ac:dyDescent="0.45">
      <c r="A384" t="s">
        <v>38</v>
      </c>
      <c r="B384" t="s">
        <v>38</v>
      </c>
      <c r="C384">
        <v>0.2015755404466503</v>
      </c>
      <c r="D384">
        <v>0.8</v>
      </c>
      <c r="E384">
        <v>0.99807322600355197</v>
      </c>
      <c r="G384" t="str">
        <f t="shared" si="11"/>
        <v>.</v>
      </c>
      <c r="H384" s="8" t="s">
        <v>138</v>
      </c>
      <c r="I384" s="8" t="s">
        <v>139</v>
      </c>
      <c r="J384" s="8" t="s">
        <v>426</v>
      </c>
      <c r="L384" t="str">
        <f t="shared" si="12"/>
        <v>.</v>
      </c>
    </row>
    <row r="385" spans="1:12" hidden="1" x14ac:dyDescent="0.45">
      <c r="A385" t="s">
        <v>60</v>
      </c>
      <c r="B385" t="s">
        <v>60</v>
      </c>
      <c r="C385">
        <v>0.2015420128066169</v>
      </c>
      <c r="D385">
        <v>0.8</v>
      </c>
      <c r="E385">
        <v>0.99807322600355197</v>
      </c>
      <c r="G385" t="str">
        <f t="shared" si="11"/>
        <v>.</v>
      </c>
      <c r="H385" s="8" t="s">
        <v>489</v>
      </c>
      <c r="I385" s="8" t="s">
        <v>490</v>
      </c>
      <c r="J385" s="8" t="s">
        <v>498</v>
      </c>
      <c r="L385" t="str">
        <f t="shared" si="12"/>
        <v>.</v>
      </c>
    </row>
    <row r="386" spans="1:12" hidden="1" x14ac:dyDescent="0.45">
      <c r="A386" t="s">
        <v>32</v>
      </c>
      <c r="B386" t="s">
        <v>32</v>
      </c>
      <c r="C386">
        <v>0.23794167853618439</v>
      </c>
      <c r="D386">
        <v>0.8</v>
      </c>
      <c r="E386">
        <v>0.95257291630373819</v>
      </c>
      <c r="G386" t="str">
        <f t="shared" si="11"/>
        <v>.</v>
      </c>
      <c r="H386" s="8" t="s">
        <v>491</v>
      </c>
      <c r="I386" s="8" t="s">
        <v>492</v>
      </c>
      <c r="J386" s="8" t="s">
        <v>423</v>
      </c>
      <c r="L386" t="str">
        <f t="shared" si="12"/>
        <v>.</v>
      </c>
    </row>
    <row r="387" spans="1:12" hidden="1" x14ac:dyDescent="0.45">
      <c r="A387" t="s">
        <v>35</v>
      </c>
      <c r="B387" t="s">
        <v>35</v>
      </c>
      <c r="C387">
        <v>0.2068620608084939</v>
      </c>
      <c r="D387">
        <v>0.8</v>
      </c>
      <c r="E387">
        <v>0.99142243010824804</v>
      </c>
      <c r="G387" t="str">
        <f t="shared" ref="G387:G408" si="13">IF(A387=B387,".","W")</f>
        <v>.</v>
      </c>
      <c r="H387" s="8" t="s">
        <v>357</v>
      </c>
      <c r="I387" s="8" t="s">
        <v>358</v>
      </c>
      <c r="J387" s="8" t="s">
        <v>420</v>
      </c>
      <c r="L387" t="str">
        <f t="shared" si="12"/>
        <v>.</v>
      </c>
    </row>
    <row r="388" spans="1:12" hidden="1" x14ac:dyDescent="0.45">
      <c r="A388" t="s">
        <v>39</v>
      </c>
      <c r="B388" t="s">
        <v>39</v>
      </c>
      <c r="C388">
        <v>0.2005677414013721</v>
      </c>
      <c r="D388">
        <v>0.8</v>
      </c>
      <c r="E388">
        <v>0.99929032330932133</v>
      </c>
      <c r="G388" t="str">
        <f t="shared" si="13"/>
        <v>.</v>
      </c>
      <c r="H388" s="8" t="s">
        <v>65</v>
      </c>
      <c r="I388" s="8" t="s">
        <v>395</v>
      </c>
      <c r="J388" s="8" t="s">
        <v>427</v>
      </c>
      <c r="L388" t="str">
        <f t="shared" si="12"/>
        <v>.</v>
      </c>
    </row>
    <row r="389" spans="1:12" hidden="1" x14ac:dyDescent="0.45">
      <c r="A389" t="s">
        <v>35</v>
      </c>
      <c r="B389" t="s">
        <v>35</v>
      </c>
      <c r="C389">
        <v>0.23794269851257341</v>
      </c>
      <c r="D389">
        <v>0.8</v>
      </c>
      <c r="E389">
        <v>0.95257259338022438</v>
      </c>
      <c r="G389" t="str">
        <f t="shared" si="13"/>
        <v>.</v>
      </c>
      <c r="H389" s="8" t="s">
        <v>414</v>
      </c>
      <c r="I389" s="8" t="s">
        <v>99</v>
      </c>
      <c r="J389" s="8" t="s">
        <v>420</v>
      </c>
      <c r="L389" t="str">
        <f t="shared" si="12"/>
        <v>.</v>
      </c>
    </row>
    <row r="390" spans="1:12" hidden="1" x14ac:dyDescent="0.45">
      <c r="A390" t="s">
        <v>35</v>
      </c>
      <c r="B390" t="s">
        <v>35</v>
      </c>
      <c r="C390">
        <v>0.21125161382419441</v>
      </c>
      <c r="D390">
        <v>0.8</v>
      </c>
      <c r="E390">
        <v>0.98593632069119785</v>
      </c>
      <c r="G390" t="str">
        <f t="shared" si="13"/>
        <v>.</v>
      </c>
      <c r="H390" s="8" t="s">
        <v>359</v>
      </c>
      <c r="I390" s="8" t="s">
        <v>99</v>
      </c>
      <c r="J390" s="8" t="s">
        <v>420</v>
      </c>
      <c r="L390" t="str">
        <f t="shared" si="12"/>
        <v>.</v>
      </c>
    </row>
    <row r="391" spans="1:12" hidden="1" x14ac:dyDescent="0.45">
      <c r="A391" t="s">
        <v>28</v>
      </c>
      <c r="B391" t="s">
        <v>28</v>
      </c>
      <c r="C391">
        <v>0.74667106821762785</v>
      </c>
      <c r="D391">
        <v>0.8</v>
      </c>
      <c r="E391">
        <v>0.3208209266699501</v>
      </c>
      <c r="G391" t="str">
        <f t="shared" si="13"/>
        <v>.</v>
      </c>
      <c r="H391" s="8" t="s">
        <v>462</v>
      </c>
      <c r="I391" s="8" t="s">
        <v>99</v>
      </c>
      <c r="J391" s="8" t="s">
        <v>418</v>
      </c>
      <c r="L391" t="str">
        <f t="shared" si="12"/>
        <v>.</v>
      </c>
    </row>
    <row r="392" spans="1:12" hidden="1" x14ac:dyDescent="0.45">
      <c r="A392" t="s">
        <v>60</v>
      </c>
      <c r="B392" t="s">
        <v>60</v>
      </c>
      <c r="C392">
        <v>0.2019783482227907</v>
      </c>
      <c r="D392">
        <v>0.8</v>
      </c>
      <c r="E392">
        <v>0.99752728456888673</v>
      </c>
      <c r="G392" t="str">
        <f t="shared" si="13"/>
        <v>.</v>
      </c>
      <c r="H392" s="8" t="s">
        <v>493</v>
      </c>
      <c r="I392" s="8" t="s">
        <v>494</v>
      </c>
      <c r="J392" s="8" t="s">
        <v>498</v>
      </c>
      <c r="L392" t="str">
        <f t="shared" si="12"/>
        <v>.</v>
      </c>
    </row>
    <row r="393" spans="1:12" hidden="1" x14ac:dyDescent="0.45">
      <c r="A393" t="s">
        <v>51</v>
      </c>
      <c r="B393" t="s">
        <v>51</v>
      </c>
      <c r="C393">
        <v>0.20154143699780749</v>
      </c>
      <c r="D393">
        <v>0.8</v>
      </c>
      <c r="E393">
        <v>0.99807322600355197</v>
      </c>
      <c r="G393" t="str">
        <f t="shared" si="13"/>
        <v>.</v>
      </c>
      <c r="H393" s="8" t="s">
        <v>400</v>
      </c>
      <c r="I393" s="8" t="s">
        <v>401</v>
      </c>
      <c r="J393" s="8" t="s">
        <v>438</v>
      </c>
      <c r="L393" t="str">
        <f t="shared" si="12"/>
        <v>.</v>
      </c>
    </row>
    <row r="394" spans="1:12" hidden="1" x14ac:dyDescent="0.45">
      <c r="A394" t="s">
        <v>35</v>
      </c>
      <c r="B394" t="s">
        <v>35</v>
      </c>
      <c r="C394">
        <v>0.2480695658927454</v>
      </c>
      <c r="D394">
        <v>0.8</v>
      </c>
      <c r="E394">
        <v>0.93991304523943053</v>
      </c>
      <c r="G394" t="str">
        <f t="shared" si="13"/>
        <v>.</v>
      </c>
      <c r="H394" s="8" t="s">
        <v>456</v>
      </c>
      <c r="I394" s="8" t="s">
        <v>457</v>
      </c>
      <c r="J394" s="8" t="s">
        <v>420</v>
      </c>
      <c r="L394" t="str">
        <f t="shared" si="12"/>
        <v>.</v>
      </c>
    </row>
    <row r="395" spans="1:12" hidden="1" x14ac:dyDescent="0.45">
      <c r="A395" t="s">
        <v>39</v>
      </c>
      <c r="B395" t="s">
        <v>39</v>
      </c>
      <c r="C395">
        <v>0.2012011624717587</v>
      </c>
      <c r="D395">
        <v>0.8</v>
      </c>
      <c r="E395">
        <v>0.99849876799337189</v>
      </c>
      <c r="G395" t="str">
        <f t="shared" si="13"/>
        <v>.</v>
      </c>
      <c r="H395" s="8" t="s">
        <v>211</v>
      </c>
      <c r="I395" s="8" t="s">
        <v>212</v>
      </c>
      <c r="J395" s="8" t="s">
        <v>427</v>
      </c>
      <c r="L395" t="str">
        <f t="shared" si="12"/>
        <v>.</v>
      </c>
    </row>
    <row r="396" spans="1:12" hidden="1" x14ac:dyDescent="0.45">
      <c r="A396" t="s">
        <v>19</v>
      </c>
      <c r="B396" t="s">
        <v>37</v>
      </c>
      <c r="C396">
        <v>1</v>
      </c>
      <c r="D396">
        <v>0.8</v>
      </c>
      <c r="E396">
        <v>1.169510307496603E-3</v>
      </c>
      <c r="G396" t="str">
        <f t="shared" si="13"/>
        <v>W</v>
      </c>
      <c r="H396" s="8" t="s">
        <v>495</v>
      </c>
      <c r="I396" s="8" t="s">
        <v>496</v>
      </c>
      <c r="J396" s="8" t="s">
        <v>497</v>
      </c>
      <c r="L396" t="str">
        <f t="shared" si="12"/>
        <v>NonID</v>
      </c>
    </row>
    <row r="397" spans="1:12" hidden="1" x14ac:dyDescent="0.45">
      <c r="A397" t="s">
        <v>36</v>
      </c>
      <c r="B397" t="s">
        <v>36</v>
      </c>
      <c r="C397">
        <v>0.20197807772460599</v>
      </c>
      <c r="D397">
        <v>0.8</v>
      </c>
      <c r="E397">
        <v>0.99752740325115785</v>
      </c>
      <c r="G397" t="str">
        <f t="shared" si="13"/>
        <v>.</v>
      </c>
      <c r="H397" s="8" t="s">
        <v>410</v>
      </c>
      <c r="I397" s="8" t="s">
        <v>411</v>
      </c>
      <c r="J397" s="8" t="s">
        <v>425</v>
      </c>
      <c r="L397" t="str">
        <f t="shared" si="12"/>
        <v>.</v>
      </c>
    </row>
    <row r="398" spans="1:12" hidden="1" x14ac:dyDescent="0.45">
      <c r="A398" t="s">
        <v>33</v>
      </c>
      <c r="B398" t="s">
        <v>33</v>
      </c>
      <c r="C398">
        <v>0.20004669271560249</v>
      </c>
      <c r="D398">
        <v>0.8</v>
      </c>
      <c r="E398">
        <v>0.99994163670334457</v>
      </c>
      <c r="G398" t="str">
        <f t="shared" si="13"/>
        <v>.</v>
      </c>
      <c r="H398" s="8" t="s">
        <v>165</v>
      </c>
      <c r="I398" s="8" t="s">
        <v>166</v>
      </c>
      <c r="J398" s="8" t="s">
        <v>424</v>
      </c>
      <c r="L398" t="str">
        <f t="shared" si="12"/>
        <v>.</v>
      </c>
    </row>
    <row r="399" spans="1:12" x14ac:dyDescent="0.45">
      <c r="A399" t="s">
        <v>38</v>
      </c>
      <c r="B399" t="s">
        <v>43</v>
      </c>
      <c r="C399">
        <v>0.21855039944342991</v>
      </c>
      <c r="D399">
        <v>0.8</v>
      </c>
      <c r="E399">
        <v>0.97702170862477833</v>
      </c>
      <c r="G399" t="str">
        <f t="shared" si="13"/>
        <v>W</v>
      </c>
      <c r="H399" s="8" t="s">
        <v>197</v>
      </c>
      <c r="I399" s="8" t="s">
        <v>198</v>
      </c>
      <c r="J399" s="8" t="s">
        <v>426</v>
      </c>
      <c r="K399" s="8" t="s">
        <v>515</v>
      </c>
      <c r="L399" t="str">
        <f t="shared" ref="L399:L408" si="14">IF(C399&lt;=$L$1,".","NonID")</f>
        <v>.</v>
      </c>
    </row>
    <row r="400" spans="1:12" hidden="1" x14ac:dyDescent="0.45">
      <c r="A400" t="s">
        <v>35</v>
      </c>
      <c r="B400" t="s">
        <v>35</v>
      </c>
      <c r="C400">
        <v>0.50203441713516117</v>
      </c>
      <c r="D400">
        <v>0.8</v>
      </c>
      <c r="E400">
        <v>0.62245899596118281</v>
      </c>
      <c r="G400" t="str">
        <f t="shared" si="13"/>
        <v>.</v>
      </c>
      <c r="H400" s="8" t="s">
        <v>465</v>
      </c>
      <c r="I400" s="8" t="s">
        <v>466</v>
      </c>
      <c r="J400" s="8" t="s">
        <v>420</v>
      </c>
      <c r="L400" t="str">
        <f t="shared" si="14"/>
        <v>.</v>
      </c>
    </row>
    <row r="401" spans="1:13" hidden="1" x14ac:dyDescent="0.45">
      <c r="A401" t="s">
        <v>26</v>
      </c>
      <c r="B401" t="s">
        <v>26</v>
      </c>
      <c r="C401">
        <v>0.20570939558813531</v>
      </c>
      <c r="D401">
        <v>0.8</v>
      </c>
      <c r="E401">
        <v>0.9933068896210222</v>
      </c>
      <c r="G401" t="str">
        <f t="shared" si="13"/>
        <v>.</v>
      </c>
      <c r="H401" s="8" t="s">
        <v>323</v>
      </c>
      <c r="I401" s="8" t="s">
        <v>324</v>
      </c>
      <c r="J401" s="8" t="s">
        <v>416</v>
      </c>
      <c r="L401" t="str">
        <f t="shared" si="14"/>
        <v>.</v>
      </c>
    </row>
    <row r="402" spans="1:13" hidden="1" x14ac:dyDescent="0.45">
      <c r="A402" t="s">
        <v>35</v>
      </c>
      <c r="B402" t="s">
        <v>35</v>
      </c>
      <c r="C402">
        <v>0.20878972162426709</v>
      </c>
      <c r="D402">
        <v>0.8</v>
      </c>
      <c r="E402">
        <v>0.98901298801575388</v>
      </c>
      <c r="G402" t="str">
        <f t="shared" si="13"/>
        <v>.</v>
      </c>
      <c r="H402" s="8" t="s">
        <v>127</v>
      </c>
      <c r="I402" s="8" t="s">
        <v>128</v>
      </c>
      <c r="J402" s="8" t="s">
        <v>420</v>
      </c>
      <c r="L402" t="str">
        <f t="shared" si="14"/>
        <v>.</v>
      </c>
    </row>
    <row r="403" spans="1:13" hidden="1" x14ac:dyDescent="0.45">
      <c r="A403" t="s">
        <v>35</v>
      </c>
      <c r="B403" t="s">
        <v>35</v>
      </c>
      <c r="C403">
        <v>0.21838259893142409</v>
      </c>
      <c r="D403">
        <v>0.8</v>
      </c>
      <c r="E403">
        <v>0.97702216176622525</v>
      </c>
      <c r="G403" t="str">
        <f t="shared" si="13"/>
        <v>.</v>
      </c>
      <c r="H403" s="8" t="s">
        <v>441</v>
      </c>
      <c r="I403" s="8" t="s">
        <v>99</v>
      </c>
      <c r="J403" s="8" t="s">
        <v>420</v>
      </c>
      <c r="L403" t="str">
        <f t="shared" si="14"/>
        <v>.</v>
      </c>
    </row>
    <row r="404" spans="1:13" x14ac:dyDescent="0.45">
      <c r="A404" t="s">
        <v>38</v>
      </c>
      <c r="B404" t="s">
        <v>43</v>
      </c>
      <c r="C404">
        <v>0.24832340566980071</v>
      </c>
      <c r="D404">
        <v>0.8</v>
      </c>
      <c r="E404">
        <v>0.97068725068359007</v>
      </c>
      <c r="G404" t="str">
        <f t="shared" si="13"/>
        <v>W</v>
      </c>
      <c r="H404" s="8" t="s">
        <v>129</v>
      </c>
      <c r="I404" s="8" t="s">
        <v>130</v>
      </c>
      <c r="J404" s="8" t="s">
        <v>426</v>
      </c>
      <c r="K404" s="8" t="s">
        <v>515</v>
      </c>
      <c r="L404" t="str">
        <f t="shared" si="14"/>
        <v>.</v>
      </c>
    </row>
    <row r="405" spans="1:13" hidden="1" x14ac:dyDescent="0.45">
      <c r="A405" t="s">
        <v>47</v>
      </c>
      <c r="B405" t="s">
        <v>47</v>
      </c>
      <c r="C405">
        <v>0.20093565750005959</v>
      </c>
      <c r="D405">
        <v>0.8</v>
      </c>
      <c r="E405">
        <v>0.99883045900532441</v>
      </c>
      <c r="G405" t="str">
        <f t="shared" si="13"/>
        <v>.</v>
      </c>
      <c r="H405" s="8" t="s">
        <v>217</v>
      </c>
      <c r="I405" s="8" t="s">
        <v>218</v>
      </c>
      <c r="J405" s="8" t="s">
        <v>434</v>
      </c>
      <c r="L405" t="str">
        <f t="shared" si="14"/>
        <v>.</v>
      </c>
    </row>
    <row r="406" spans="1:13" hidden="1" x14ac:dyDescent="0.45">
      <c r="A406" t="s">
        <v>38</v>
      </c>
      <c r="B406" t="s">
        <v>38</v>
      </c>
      <c r="C406">
        <v>0.20236936418899451</v>
      </c>
      <c r="D406">
        <v>0.8</v>
      </c>
      <c r="E406">
        <v>0.99752740325115785</v>
      </c>
      <c r="G406" t="str">
        <f t="shared" si="13"/>
        <v>.</v>
      </c>
      <c r="H406" s="8" t="s">
        <v>201</v>
      </c>
      <c r="I406" s="8" t="s">
        <v>202</v>
      </c>
      <c r="J406" s="8" t="s">
        <v>426</v>
      </c>
      <c r="L406" t="str">
        <f t="shared" si="14"/>
        <v>.</v>
      </c>
    </row>
    <row r="407" spans="1:13" hidden="1" x14ac:dyDescent="0.45">
      <c r="A407" t="s">
        <v>19</v>
      </c>
      <c r="B407" t="s">
        <v>29</v>
      </c>
      <c r="C407">
        <v>0.20264870002471849</v>
      </c>
      <c r="D407">
        <v>0.8</v>
      </c>
      <c r="E407">
        <v>0.99682732998531542</v>
      </c>
      <c r="G407" t="str">
        <f t="shared" si="13"/>
        <v>W</v>
      </c>
      <c r="H407" s="8" t="s">
        <v>444</v>
      </c>
      <c r="I407" s="8" t="s">
        <v>99</v>
      </c>
      <c r="J407" s="8" t="s">
        <v>432</v>
      </c>
      <c r="L407" s="13" t="str">
        <f t="shared" si="14"/>
        <v>.</v>
      </c>
      <c r="M407" s="8" t="s">
        <v>514</v>
      </c>
    </row>
    <row r="408" spans="1:13" hidden="1" x14ac:dyDescent="0.45">
      <c r="A408" t="s">
        <v>39</v>
      </c>
      <c r="B408" t="s">
        <v>39</v>
      </c>
      <c r="C408">
        <v>0.20093563433127579</v>
      </c>
      <c r="D408">
        <v>0.8</v>
      </c>
      <c r="E408">
        <v>0.99883045900532441</v>
      </c>
      <c r="G408" t="str">
        <f t="shared" si="13"/>
        <v>.</v>
      </c>
      <c r="H408" s="8" t="s">
        <v>191</v>
      </c>
      <c r="I408" s="8" t="s">
        <v>192</v>
      </c>
      <c r="J408" s="8" t="s">
        <v>427</v>
      </c>
      <c r="L408" t="str">
        <f t="shared" si="14"/>
        <v>.</v>
      </c>
    </row>
  </sheetData>
  <autoFilter ref="A1:M408" xr:uid="{00000000-0001-0000-0100-000000000000}">
    <filterColumn colId="0">
      <filters>
        <filter val="Degree"/>
        <filter val="Dimensionless"/>
        <filter val="GramPerCubicCentimetre"/>
        <filter val="MetrePerHour"/>
        <filter val="Percent"/>
        <filter val="Second"/>
        <filter val="ShockPerSecond, ReciprocalSecond, Hertz"/>
        <filter val="ThousandKilogramForce"/>
      </filters>
    </filterColumn>
    <filterColumn colId="6">
      <filters>
        <filter val="W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M408"/>
  <sheetViews>
    <sheetView workbookViewId="0">
      <selection activeCell="C430" sqref="C430"/>
    </sheetView>
  </sheetViews>
  <sheetFormatPr defaultRowHeight="14.25" x14ac:dyDescent="0.45"/>
  <cols>
    <col min="1" max="1" width="22.9296875" bestFit="1" customWidth="1"/>
    <col min="2" max="2" width="20.06640625" bestFit="1" customWidth="1"/>
    <col min="7" max="7" width="2.46484375" bestFit="1" customWidth="1"/>
    <col min="8" max="8" width="14.06640625" style="8" bestFit="1" customWidth="1"/>
    <col min="9" max="9" width="32.06640625" style="8" bestFit="1" customWidth="1"/>
    <col min="10" max="10" width="7.33203125" style="8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7" t="s">
        <v>92</v>
      </c>
      <c r="I1" s="7" t="s">
        <v>93</v>
      </c>
      <c r="J1" s="7" t="s">
        <v>415</v>
      </c>
      <c r="K1" s="11" t="s">
        <v>512</v>
      </c>
      <c r="L1" s="12">
        <v>0.26101762932926798</v>
      </c>
      <c r="M1" s="11" t="s">
        <v>512</v>
      </c>
    </row>
    <row r="2" spans="1:13" hidden="1" x14ac:dyDescent="0.45">
      <c r="A2" t="s">
        <v>61</v>
      </c>
      <c r="B2" t="s">
        <v>61</v>
      </c>
      <c r="C2">
        <v>0.21136017301831239</v>
      </c>
      <c r="D2">
        <v>0.8</v>
      </c>
      <c r="E2">
        <v>0.98593573670042811</v>
      </c>
      <c r="G2" t="str">
        <f t="shared" ref="G2:G65" si="0">IF(A2=B2,".","W")</f>
        <v>.</v>
      </c>
      <c r="H2" s="8" t="s">
        <v>94</v>
      </c>
      <c r="I2" s="8" t="s">
        <v>95</v>
      </c>
      <c r="J2" s="8" t="s">
        <v>416</v>
      </c>
      <c r="L2" t="str">
        <f>IF(C2&lt;=$L$1,".","NonID")</f>
        <v>.</v>
      </c>
    </row>
    <row r="3" spans="1:13" hidden="1" x14ac:dyDescent="0.45">
      <c r="A3" t="s">
        <v>19</v>
      </c>
      <c r="B3" t="s">
        <v>62</v>
      </c>
      <c r="C3">
        <v>0.20016503525489701</v>
      </c>
      <c r="D3">
        <v>0.8</v>
      </c>
      <c r="E3">
        <v>0.99979648032432844</v>
      </c>
      <c r="G3" t="str">
        <f t="shared" si="0"/>
        <v>W</v>
      </c>
      <c r="H3" t="s">
        <v>96</v>
      </c>
      <c r="I3" t="s">
        <v>97</v>
      </c>
      <c r="J3" t="s">
        <v>417</v>
      </c>
      <c r="L3" s="13" t="str">
        <f t="shared" ref="L3:L66" si="1">IF(C3&lt;=$L$1,".","NonID")</f>
        <v>.</v>
      </c>
      <c r="M3" t="s">
        <v>524</v>
      </c>
    </row>
    <row r="4" spans="1:13" hidden="1" x14ac:dyDescent="0.45">
      <c r="A4" t="s">
        <v>57</v>
      </c>
      <c r="B4" t="s">
        <v>63</v>
      </c>
      <c r="C4">
        <v>1</v>
      </c>
      <c r="D4">
        <v>0.8</v>
      </c>
      <c r="E4">
        <v>0.9046472099680013</v>
      </c>
      <c r="G4" t="str">
        <f t="shared" si="0"/>
        <v>W</v>
      </c>
      <c r="H4" t="s">
        <v>98</v>
      </c>
      <c r="I4" t="s">
        <v>99</v>
      </c>
      <c r="J4" t="s">
        <v>418</v>
      </c>
      <c r="L4" t="str">
        <f t="shared" si="1"/>
        <v>NonID</v>
      </c>
    </row>
    <row r="5" spans="1:13" x14ac:dyDescent="0.45">
      <c r="A5" t="s">
        <v>64</v>
      </c>
      <c r="B5" t="s">
        <v>65</v>
      </c>
      <c r="C5">
        <v>0.78487339261484301</v>
      </c>
      <c r="D5">
        <v>0.8</v>
      </c>
      <c r="E5">
        <v>0.26894121291418688</v>
      </c>
      <c r="G5" t="str">
        <f t="shared" si="0"/>
        <v>W</v>
      </c>
      <c r="H5" s="8" t="s">
        <v>100</v>
      </c>
      <c r="I5" s="8" t="s">
        <v>101</v>
      </c>
      <c r="J5" s="8" t="s">
        <v>419</v>
      </c>
      <c r="K5" s="8" t="s">
        <v>515</v>
      </c>
      <c r="L5" s="13" t="str">
        <f t="shared" si="1"/>
        <v>NonID</v>
      </c>
      <c r="M5" s="8" t="s">
        <v>515</v>
      </c>
    </row>
    <row r="6" spans="1:13" hidden="1" x14ac:dyDescent="0.45">
      <c r="A6" t="s">
        <v>9</v>
      </c>
      <c r="B6" t="s">
        <v>61</v>
      </c>
      <c r="C6">
        <v>0.56704029780337462</v>
      </c>
      <c r="D6">
        <v>0.8</v>
      </c>
      <c r="E6">
        <v>0.56217194545414562</v>
      </c>
      <c r="G6" t="str">
        <f t="shared" si="0"/>
        <v>W</v>
      </c>
      <c r="H6" t="s">
        <v>102</v>
      </c>
      <c r="I6" t="s">
        <v>99</v>
      </c>
      <c r="J6" t="s">
        <v>420</v>
      </c>
      <c r="L6" t="str">
        <f t="shared" si="1"/>
        <v>NonID</v>
      </c>
    </row>
    <row r="7" spans="1:13" hidden="1" x14ac:dyDescent="0.45">
      <c r="A7" t="s">
        <v>19</v>
      </c>
      <c r="B7" t="s">
        <v>66</v>
      </c>
      <c r="C7">
        <v>0.29683793381890461</v>
      </c>
      <c r="D7">
        <v>0.8</v>
      </c>
      <c r="E7">
        <v>0.8807967056360323</v>
      </c>
      <c r="G7" t="str">
        <f t="shared" si="0"/>
        <v>W</v>
      </c>
      <c r="H7" t="s">
        <v>103</v>
      </c>
      <c r="I7" t="s">
        <v>99</v>
      </c>
      <c r="J7" t="s">
        <v>421</v>
      </c>
      <c r="L7" t="str">
        <f t="shared" si="1"/>
        <v>NonID</v>
      </c>
    </row>
    <row r="8" spans="1:13" hidden="1" x14ac:dyDescent="0.45">
      <c r="A8" t="s">
        <v>67</v>
      </c>
      <c r="B8" t="s">
        <v>67</v>
      </c>
      <c r="C8">
        <v>0.2000058306392809</v>
      </c>
      <c r="D8">
        <v>0.8</v>
      </c>
      <c r="E8">
        <v>0.99999372702007638</v>
      </c>
      <c r="G8" t="str">
        <f t="shared" si="0"/>
        <v>.</v>
      </c>
      <c r="H8" s="8" t="s">
        <v>104</v>
      </c>
      <c r="I8" s="8" t="s">
        <v>105</v>
      </c>
      <c r="J8" s="8" t="s">
        <v>422</v>
      </c>
      <c r="L8" t="str">
        <f t="shared" si="1"/>
        <v>.</v>
      </c>
    </row>
    <row r="9" spans="1:13" hidden="1" x14ac:dyDescent="0.45">
      <c r="A9" t="s">
        <v>68</v>
      </c>
      <c r="B9" t="s">
        <v>68</v>
      </c>
      <c r="C9">
        <v>4.3072926036236142E-4</v>
      </c>
      <c r="D9">
        <v>1</v>
      </c>
      <c r="E9">
        <v>0.99956942349659961</v>
      </c>
      <c r="G9" t="str">
        <f t="shared" si="0"/>
        <v>.</v>
      </c>
      <c r="H9" s="8" t="s">
        <v>106</v>
      </c>
      <c r="I9" s="8" t="s">
        <v>99</v>
      </c>
      <c r="J9" s="8" t="s">
        <v>423</v>
      </c>
      <c r="L9" t="str">
        <f t="shared" si="1"/>
        <v>.</v>
      </c>
    </row>
    <row r="10" spans="1:13" hidden="1" x14ac:dyDescent="0.45">
      <c r="A10" t="s">
        <v>19</v>
      </c>
      <c r="B10" t="s">
        <v>62</v>
      </c>
      <c r="C10">
        <v>0.20000409985599141</v>
      </c>
      <c r="D10">
        <v>0.8</v>
      </c>
      <c r="E10">
        <v>0.9999951574562983</v>
      </c>
      <c r="G10" t="str">
        <f t="shared" si="0"/>
        <v>W</v>
      </c>
      <c r="H10" t="s">
        <v>107</v>
      </c>
      <c r="I10" t="s">
        <v>108</v>
      </c>
      <c r="J10" t="s">
        <v>417</v>
      </c>
      <c r="L10" s="13" t="str">
        <f t="shared" si="1"/>
        <v>.</v>
      </c>
      <c r="M10" t="s">
        <v>524</v>
      </c>
    </row>
    <row r="11" spans="1:13" hidden="1" x14ac:dyDescent="0.45">
      <c r="A11" t="s">
        <v>19</v>
      </c>
      <c r="B11" t="s">
        <v>62</v>
      </c>
      <c r="C11">
        <v>0.20005035564697471</v>
      </c>
      <c r="D11">
        <v>0.8</v>
      </c>
      <c r="E11">
        <v>0.99994163670334457</v>
      </c>
      <c r="G11" t="str">
        <f t="shared" si="0"/>
        <v>W</v>
      </c>
      <c r="H11" t="s">
        <v>109</v>
      </c>
      <c r="I11" t="s">
        <v>110</v>
      </c>
      <c r="J11" t="s">
        <v>417</v>
      </c>
      <c r="L11" s="13" t="str">
        <f t="shared" si="1"/>
        <v>.</v>
      </c>
      <c r="M11" t="s">
        <v>524</v>
      </c>
    </row>
    <row r="12" spans="1:13" hidden="1" x14ac:dyDescent="0.45">
      <c r="A12" t="s">
        <v>19</v>
      </c>
      <c r="B12" t="s">
        <v>66</v>
      </c>
      <c r="C12">
        <v>0.55183942983779133</v>
      </c>
      <c r="D12">
        <v>0.8</v>
      </c>
      <c r="E12">
        <v>0.56217620099375953</v>
      </c>
      <c r="G12" t="str">
        <f t="shared" si="0"/>
        <v>W</v>
      </c>
      <c r="H12" t="s">
        <v>111</v>
      </c>
      <c r="I12" t="s">
        <v>112</v>
      </c>
      <c r="J12" t="s">
        <v>421</v>
      </c>
      <c r="L12" t="str">
        <f t="shared" si="1"/>
        <v>NonID</v>
      </c>
    </row>
    <row r="13" spans="1:13" hidden="1" x14ac:dyDescent="0.45">
      <c r="A13" t="s">
        <v>19</v>
      </c>
      <c r="B13" t="s">
        <v>69</v>
      </c>
      <c r="C13">
        <v>0.20535441189740061</v>
      </c>
      <c r="D13">
        <v>0.8</v>
      </c>
      <c r="E13">
        <v>0.99330700849498244</v>
      </c>
      <c r="G13" t="str">
        <f t="shared" si="0"/>
        <v>W</v>
      </c>
      <c r="H13" t="s">
        <v>113</v>
      </c>
      <c r="I13" t="s">
        <v>114</v>
      </c>
      <c r="J13" t="s">
        <v>424</v>
      </c>
      <c r="L13" s="13" t="str">
        <f t="shared" si="1"/>
        <v>.</v>
      </c>
      <c r="M13" t="s">
        <v>524</v>
      </c>
    </row>
    <row r="14" spans="1:13" x14ac:dyDescent="0.45">
      <c r="A14" t="s">
        <v>70</v>
      </c>
      <c r="B14" t="s">
        <v>63</v>
      </c>
      <c r="C14">
        <v>1</v>
      </c>
      <c r="D14">
        <v>0.8</v>
      </c>
      <c r="E14">
        <v>6.0086562878915298E-2</v>
      </c>
      <c r="G14" t="str">
        <f t="shared" si="0"/>
        <v>W</v>
      </c>
      <c r="H14" s="8" t="s">
        <v>115</v>
      </c>
      <c r="I14" s="8" t="s">
        <v>116</v>
      </c>
      <c r="J14" s="8" t="s">
        <v>421</v>
      </c>
      <c r="K14" s="8" t="s">
        <v>515</v>
      </c>
      <c r="L14" s="13" t="str">
        <f t="shared" si="1"/>
        <v>NonID</v>
      </c>
      <c r="M14" s="8" t="s">
        <v>515</v>
      </c>
    </row>
    <row r="15" spans="1:13" hidden="1" x14ac:dyDescent="0.45">
      <c r="A15" t="s">
        <v>57</v>
      </c>
      <c r="B15" t="s">
        <v>63</v>
      </c>
      <c r="C15">
        <v>0.99999385111434969</v>
      </c>
      <c r="D15">
        <v>0.8</v>
      </c>
      <c r="E15">
        <v>0.99142243010824804</v>
      </c>
      <c r="G15" t="str">
        <f t="shared" si="0"/>
        <v>W</v>
      </c>
      <c r="H15" t="s">
        <v>117</v>
      </c>
      <c r="I15" t="s">
        <v>99</v>
      </c>
      <c r="J15" t="s">
        <v>420</v>
      </c>
      <c r="L15" t="str">
        <f t="shared" si="1"/>
        <v>NonID</v>
      </c>
    </row>
    <row r="16" spans="1:13" hidden="1" x14ac:dyDescent="0.45">
      <c r="A16" t="s">
        <v>66</v>
      </c>
      <c r="B16" t="s">
        <v>66</v>
      </c>
      <c r="C16">
        <v>0.2009356333378495</v>
      </c>
      <c r="D16">
        <v>0.8</v>
      </c>
      <c r="E16">
        <v>0.99883045900532441</v>
      </c>
      <c r="G16" t="str">
        <f t="shared" si="0"/>
        <v>.</v>
      </c>
      <c r="H16" s="8" t="s">
        <v>118</v>
      </c>
      <c r="I16" s="8" t="s">
        <v>119</v>
      </c>
      <c r="J16" s="8" t="s">
        <v>421</v>
      </c>
      <c r="L16" t="str">
        <f t="shared" si="1"/>
        <v>.</v>
      </c>
    </row>
    <row r="17" spans="1:13" hidden="1" x14ac:dyDescent="0.45">
      <c r="A17" t="s">
        <v>19</v>
      </c>
      <c r="B17" t="s">
        <v>63</v>
      </c>
      <c r="C17">
        <v>0.9999684055739595</v>
      </c>
      <c r="D17">
        <v>0.8</v>
      </c>
      <c r="E17">
        <v>0.99849876799337189</v>
      </c>
      <c r="G17" t="str">
        <f t="shared" si="0"/>
        <v>W</v>
      </c>
      <c r="H17" t="s">
        <v>120</v>
      </c>
      <c r="I17" t="s">
        <v>121</v>
      </c>
      <c r="J17" t="s">
        <v>420</v>
      </c>
      <c r="L17" t="str">
        <f t="shared" si="1"/>
        <v>NonID</v>
      </c>
    </row>
    <row r="18" spans="1:13" hidden="1" x14ac:dyDescent="0.45">
      <c r="A18" t="s">
        <v>19</v>
      </c>
      <c r="B18" t="s">
        <v>63</v>
      </c>
      <c r="C18">
        <v>1</v>
      </c>
      <c r="D18">
        <v>0.8</v>
      </c>
      <c r="E18">
        <v>0.99929032330932133</v>
      </c>
      <c r="G18" t="str">
        <f t="shared" si="0"/>
        <v>W</v>
      </c>
      <c r="H18" t="s">
        <v>122</v>
      </c>
      <c r="I18" t="s">
        <v>123</v>
      </c>
      <c r="J18" t="s">
        <v>425</v>
      </c>
      <c r="L18" t="str">
        <f t="shared" si="1"/>
        <v>NonID</v>
      </c>
    </row>
    <row r="19" spans="1:13" hidden="1" x14ac:dyDescent="0.45">
      <c r="A19" t="s">
        <v>57</v>
      </c>
      <c r="B19" t="s">
        <v>63</v>
      </c>
      <c r="C19">
        <v>1</v>
      </c>
      <c r="D19">
        <v>0.8</v>
      </c>
      <c r="E19">
        <v>0.9706870301020154</v>
      </c>
      <c r="G19" t="str">
        <f t="shared" si="0"/>
        <v>W</v>
      </c>
      <c r="H19" t="s">
        <v>124</v>
      </c>
      <c r="I19" t="s">
        <v>99</v>
      </c>
      <c r="J19" t="s">
        <v>418</v>
      </c>
      <c r="L19" t="str">
        <f t="shared" si="1"/>
        <v>NonID</v>
      </c>
    </row>
    <row r="20" spans="1:13" hidden="1" x14ac:dyDescent="0.45">
      <c r="A20" t="s">
        <v>19</v>
      </c>
      <c r="B20" t="s">
        <v>62</v>
      </c>
      <c r="C20">
        <v>0.2000283846696278</v>
      </c>
      <c r="D20">
        <v>0.8</v>
      </c>
      <c r="E20">
        <v>0.99996452273258829</v>
      </c>
      <c r="G20" t="str">
        <f t="shared" si="0"/>
        <v>W</v>
      </c>
      <c r="H20" t="s">
        <v>125</v>
      </c>
      <c r="I20" t="s">
        <v>126</v>
      </c>
      <c r="J20" t="s">
        <v>417</v>
      </c>
      <c r="L20" s="13" t="str">
        <f t="shared" si="1"/>
        <v>.</v>
      </c>
      <c r="M20" t="s">
        <v>515</v>
      </c>
    </row>
    <row r="21" spans="1:13" hidden="1" x14ac:dyDescent="0.45">
      <c r="A21" t="s">
        <v>19</v>
      </c>
      <c r="B21" t="s">
        <v>63</v>
      </c>
      <c r="C21">
        <v>0.99958740734132157</v>
      </c>
      <c r="D21">
        <v>0.8</v>
      </c>
      <c r="E21">
        <v>0.98593632069119785</v>
      </c>
      <c r="G21" t="str">
        <f t="shared" si="0"/>
        <v>W</v>
      </c>
      <c r="H21" t="s">
        <v>127</v>
      </c>
      <c r="I21" t="s">
        <v>128</v>
      </c>
      <c r="J21" t="s">
        <v>420</v>
      </c>
      <c r="L21" t="str">
        <f t="shared" si="1"/>
        <v>NonID</v>
      </c>
    </row>
    <row r="22" spans="1:13" hidden="1" x14ac:dyDescent="0.45">
      <c r="A22" t="s">
        <v>19</v>
      </c>
      <c r="B22" t="s">
        <v>71</v>
      </c>
      <c r="C22">
        <v>0.45186654521506919</v>
      </c>
      <c r="D22">
        <v>0.8</v>
      </c>
      <c r="E22">
        <v>0.98593632069119785</v>
      </c>
      <c r="G22" t="str">
        <f t="shared" si="0"/>
        <v>W</v>
      </c>
      <c r="H22" t="s">
        <v>129</v>
      </c>
      <c r="I22" t="s">
        <v>130</v>
      </c>
      <c r="J22" t="s">
        <v>426</v>
      </c>
      <c r="L22" t="str">
        <f t="shared" si="1"/>
        <v>NonID</v>
      </c>
    </row>
    <row r="23" spans="1:13" hidden="1" x14ac:dyDescent="0.45">
      <c r="A23" t="s">
        <v>65</v>
      </c>
      <c r="B23" t="s">
        <v>65</v>
      </c>
      <c r="C23">
        <v>0.20002208834717231</v>
      </c>
      <c r="D23">
        <v>0.8</v>
      </c>
      <c r="E23">
        <v>0.99997238992645676</v>
      </c>
      <c r="G23" t="str">
        <f t="shared" si="0"/>
        <v>.</v>
      </c>
      <c r="H23" s="8" t="s">
        <v>131</v>
      </c>
      <c r="I23" s="8" t="s">
        <v>132</v>
      </c>
      <c r="J23" s="8" t="s">
        <v>427</v>
      </c>
      <c r="L23" t="str">
        <f t="shared" si="1"/>
        <v>.</v>
      </c>
    </row>
    <row r="24" spans="1:13" hidden="1" x14ac:dyDescent="0.45">
      <c r="A24" t="s">
        <v>57</v>
      </c>
      <c r="B24" t="s">
        <v>72</v>
      </c>
      <c r="C24">
        <v>0.26392887009777638</v>
      </c>
      <c r="D24">
        <v>0.8</v>
      </c>
      <c r="E24">
        <v>0.99883045900532441</v>
      </c>
      <c r="G24" t="str">
        <f t="shared" si="0"/>
        <v>W</v>
      </c>
      <c r="H24" t="s">
        <v>133</v>
      </c>
      <c r="I24" t="s">
        <v>134</v>
      </c>
      <c r="J24" t="s">
        <v>428</v>
      </c>
      <c r="L24" t="str">
        <f t="shared" si="1"/>
        <v>NonID</v>
      </c>
    </row>
    <row r="25" spans="1:13" hidden="1" x14ac:dyDescent="0.45">
      <c r="A25" t="s">
        <v>57</v>
      </c>
      <c r="B25" t="s">
        <v>63</v>
      </c>
      <c r="C25">
        <v>0.99990522408984006</v>
      </c>
      <c r="D25">
        <v>0.8</v>
      </c>
      <c r="E25">
        <v>0.851952557223148</v>
      </c>
      <c r="G25" t="str">
        <f t="shared" si="0"/>
        <v>W</v>
      </c>
      <c r="H25" t="s">
        <v>135</v>
      </c>
      <c r="I25" t="s">
        <v>99</v>
      </c>
      <c r="J25" t="s">
        <v>420</v>
      </c>
      <c r="L25" t="str">
        <f t="shared" si="1"/>
        <v>NonID</v>
      </c>
    </row>
    <row r="26" spans="1:13" hidden="1" x14ac:dyDescent="0.45">
      <c r="A26" t="s">
        <v>57</v>
      </c>
      <c r="B26" t="s">
        <v>63</v>
      </c>
      <c r="C26">
        <v>0.99974571810151192</v>
      </c>
      <c r="D26">
        <v>0.8</v>
      </c>
      <c r="E26">
        <v>0.97702261672772872</v>
      </c>
      <c r="G26" t="str">
        <f t="shared" si="0"/>
        <v>W</v>
      </c>
      <c r="H26" t="s">
        <v>136</v>
      </c>
      <c r="I26" t="s">
        <v>99</v>
      </c>
      <c r="J26" t="s">
        <v>420</v>
      </c>
      <c r="L26" t="str">
        <f t="shared" si="1"/>
        <v>NonID</v>
      </c>
    </row>
    <row r="27" spans="1:13" hidden="1" x14ac:dyDescent="0.45">
      <c r="A27" t="s">
        <v>9</v>
      </c>
      <c r="B27" t="s">
        <v>73</v>
      </c>
      <c r="C27">
        <v>0.20325607712067689</v>
      </c>
      <c r="D27">
        <v>0.8</v>
      </c>
      <c r="E27">
        <v>0.99592990413102933</v>
      </c>
      <c r="G27" t="str">
        <f t="shared" si="0"/>
        <v>W</v>
      </c>
      <c r="H27" t="s">
        <v>137</v>
      </c>
      <c r="I27" t="s">
        <v>99</v>
      </c>
      <c r="J27" t="s">
        <v>424</v>
      </c>
      <c r="L27" t="str">
        <f t="shared" si="1"/>
        <v>.</v>
      </c>
    </row>
    <row r="28" spans="1:13" hidden="1" x14ac:dyDescent="0.45">
      <c r="A28" t="s">
        <v>74</v>
      </c>
      <c r="B28" t="s">
        <v>74</v>
      </c>
      <c r="C28">
        <v>0.2004423045885938</v>
      </c>
      <c r="D28">
        <v>0.8</v>
      </c>
      <c r="E28">
        <v>0.99944712016184645</v>
      </c>
      <c r="G28" t="str">
        <f t="shared" si="0"/>
        <v>.</v>
      </c>
      <c r="H28" s="8" t="s">
        <v>138</v>
      </c>
      <c r="I28" s="8" t="s">
        <v>139</v>
      </c>
      <c r="J28" s="8" t="s">
        <v>426</v>
      </c>
      <c r="L28" t="str">
        <f t="shared" si="1"/>
        <v>.</v>
      </c>
    </row>
    <row r="29" spans="1:13" hidden="1" x14ac:dyDescent="0.45">
      <c r="A29" t="s">
        <v>19</v>
      </c>
      <c r="B29" t="s">
        <v>63</v>
      </c>
      <c r="C29">
        <v>0.55306586199309926</v>
      </c>
      <c r="D29">
        <v>0.8</v>
      </c>
      <c r="E29">
        <v>0.99330700849498244</v>
      </c>
      <c r="G29" t="str">
        <f t="shared" si="0"/>
        <v>W</v>
      </c>
      <c r="H29" t="s">
        <v>140</v>
      </c>
      <c r="I29" t="s">
        <v>141</v>
      </c>
      <c r="J29" t="s">
        <v>420</v>
      </c>
      <c r="L29" t="str">
        <f t="shared" si="1"/>
        <v>NonID</v>
      </c>
    </row>
    <row r="30" spans="1:13" hidden="1" x14ac:dyDescent="0.45">
      <c r="A30" t="s">
        <v>74</v>
      </c>
      <c r="B30" t="s">
        <v>74</v>
      </c>
      <c r="C30">
        <v>0.20005995525376241</v>
      </c>
      <c r="D30">
        <v>0.8</v>
      </c>
      <c r="E30">
        <v>0.99992506849856422</v>
      </c>
      <c r="G30" t="str">
        <f t="shared" si="0"/>
        <v>.</v>
      </c>
      <c r="H30" s="8" t="s">
        <v>142</v>
      </c>
      <c r="I30" s="8" t="s">
        <v>99</v>
      </c>
      <c r="J30" s="8" t="s">
        <v>426</v>
      </c>
      <c r="L30" t="str">
        <f t="shared" si="1"/>
        <v>.</v>
      </c>
    </row>
    <row r="31" spans="1:13" hidden="1" x14ac:dyDescent="0.45">
      <c r="A31" t="s">
        <v>19</v>
      </c>
      <c r="B31" t="s">
        <v>62</v>
      </c>
      <c r="C31">
        <v>0.2001705286560603</v>
      </c>
      <c r="D31">
        <v>0.8</v>
      </c>
      <c r="E31">
        <v>0.99979648032432844</v>
      </c>
      <c r="G31" t="str">
        <f t="shared" si="0"/>
        <v>W</v>
      </c>
      <c r="H31" t="s">
        <v>143</v>
      </c>
      <c r="I31" t="s">
        <v>144</v>
      </c>
      <c r="J31" t="s">
        <v>417</v>
      </c>
      <c r="L31" s="13" t="str">
        <f t="shared" si="1"/>
        <v>.</v>
      </c>
      <c r="M31" t="s">
        <v>524</v>
      </c>
    </row>
    <row r="32" spans="1:13" hidden="1" x14ac:dyDescent="0.45">
      <c r="A32" t="s">
        <v>19</v>
      </c>
      <c r="B32" t="s">
        <v>62</v>
      </c>
      <c r="C32">
        <v>0.20001050946621551</v>
      </c>
      <c r="D32">
        <v>0.8</v>
      </c>
      <c r="E32">
        <v>0.99998693247732917</v>
      </c>
      <c r="G32" t="str">
        <f t="shared" si="0"/>
        <v>W</v>
      </c>
      <c r="H32" t="s">
        <v>145</v>
      </c>
      <c r="I32" t="s">
        <v>146</v>
      </c>
      <c r="J32" t="s">
        <v>417</v>
      </c>
      <c r="L32" s="13" t="str">
        <f t="shared" si="1"/>
        <v>.</v>
      </c>
      <c r="M32" t="s">
        <v>524</v>
      </c>
    </row>
    <row r="33" spans="1:13" hidden="1" x14ac:dyDescent="0.45">
      <c r="A33" t="s">
        <v>19</v>
      </c>
      <c r="B33" t="s">
        <v>62</v>
      </c>
      <c r="C33">
        <v>0.20002845479644821</v>
      </c>
      <c r="D33">
        <v>0.8</v>
      </c>
      <c r="E33">
        <v>0.99996452273258829</v>
      </c>
      <c r="G33" t="str">
        <f t="shared" si="0"/>
        <v>W</v>
      </c>
      <c r="H33" t="s">
        <v>147</v>
      </c>
      <c r="I33" t="s">
        <v>148</v>
      </c>
      <c r="J33" t="s">
        <v>417</v>
      </c>
      <c r="L33" s="13" t="str">
        <f t="shared" si="1"/>
        <v>.</v>
      </c>
      <c r="M33" t="s">
        <v>524</v>
      </c>
    </row>
    <row r="34" spans="1:13" hidden="1" x14ac:dyDescent="0.45">
      <c r="A34" t="s">
        <v>57</v>
      </c>
      <c r="B34" t="s">
        <v>63</v>
      </c>
      <c r="C34">
        <v>0.99999973073584114</v>
      </c>
      <c r="D34">
        <v>0.8</v>
      </c>
      <c r="E34">
        <v>0.97702193246570779</v>
      </c>
      <c r="G34" t="str">
        <f t="shared" si="0"/>
        <v>W</v>
      </c>
      <c r="H34" t="s">
        <v>149</v>
      </c>
      <c r="I34" t="s">
        <v>99</v>
      </c>
      <c r="J34" t="s">
        <v>420</v>
      </c>
      <c r="L34" t="str">
        <f t="shared" si="1"/>
        <v>NonID</v>
      </c>
    </row>
    <row r="35" spans="1:13" hidden="1" x14ac:dyDescent="0.45">
      <c r="A35" t="s">
        <v>19</v>
      </c>
      <c r="B35" t="s">
        <v>63</v>
      </c>
      <c r="C35">
        <v>0.99439010163020025</v>
      </c>
      <c r="D35">
        <v>0.8</v>
      </c>
      <c r="E35">
        <v>0.9890128691951352</v>
      </c>
      <c r="G35" t="str">
        <f t="shared" si="0"/>
        <v>W</v>
      </c>
      <c r="H35" t="s">
        <v>150</v>
      </c>
      <c r="I35" t="s">
        <v>151</v>
      </c>
      <c r="J35" t="s">
        <v>420</v>
      </c>
      <c r="L35" t="str">
        <f t="shared" si="1"/>
        <v>NonID</v>
      </c>
    </row>
    <row r="36" spans="1:13" hidden="1" x14ac:dyDescent="0.45">
      <c r="A36" t="s">
        <v>68</v>
      </c>
      <c r="B36" t="s">
        <v>68</v>
      </c>
      <c r="C36">
        <v>7.0968530107629046E-4</v>
      </c>
      <c r="D36">
        <v>1</v>
      </c>
      <c r="E36">
        <v>0.99929032330932133</v>
      </c>
      <c r="G36" t="str">
        <f t="shared" si="0"/>
        <v>.</v>
      </c>
      <c r="H36" s="8" t="s">
        <v>152</v>
      </c>
      <c r="I36" s="8" t="s">
        <v>153</v>
      </c>
      <c r="J36" s="8" t="s">
        <v>423</v>
      </c>
      <c r="L36" t="str">
        <f t="shared" si="1"/>
        <v>.</v>
      </c>
    </row>
    <row r="37" spans="1:13" hidden="1" x14ac:dyDescent="0.45">
      <c r="A37" t="s">
        <v>57</v>
      </c>
      <c r="B37" t="s">
        <v>63</v>
      </c>
      <c r="C37">
        <v>0.99789846856849629</v>
      </c>
      <c r="D37">
        <v>0.8</v>
      </c>
      <c r="E37">
        <v>0.95257313276901201</v>
      </c>
      <c r="G37" t="str">
        <f t="shared" si="0"/>
        <v>W</v>
      </c>
      <c r="H37" t="s">
        <v>154</v>
      </c>
      <c r="I37" t="s">
        <v>99</v>
      </c>
      <c r="J37" t="s">
        <v>420</v>
      </c>
      <c r="L37" t="str">
        <f t="shared" si="1"/>
        <v>NonID</v>
      </c>
    </row>
    <row r="38" spans="1:13" hidden="1" x14ac:dyDescent="0.45">
      <c r="A38" t="s">
        <v>75</v>
      </c>
      <c r="B38" t="s">
        <v>75</v>
      </c>
      <c r="C38">
        <v>0.20005994908183991</v>
      </c>
      <c r="D38">
        <v>0.8</v>
      </c>
      <c r="E38">
        <v>0.99992506849856422</v>
      </c>
      <c r="G38" t="str">
        <f t="shared" si="0"/>
        <v>.</v>
      </c>
      <c r="H38" s="8" t="s">
        <v>155</v>
      </c>
      <c r="I38" s="8" t="s">
        <v>156</v>
      </c>
      <c r="J38" s="8" t="s">
        <v>429</v>
      </c>
      <c r="L38" t="str">
        <f t="shared" si="1"/>
        <v>.</v>
      </c>
    </row>
    <row r="39" spans="1:13" hidden="1" x14ac:dyDescent="0.45">
      <c r="A39" t="s">
        <v>19</v>
      </c>
      <c r="B39" t="s">
        <v>63</v>
      </c>
      <c r="C39">
        <v>1</v>
      </c>
      <c r="D39">
        <v>0.8</v>
      </c>
      <c r="E39">
        <v>1.406362652037949E-2</v>
      </c>
      <c r="G39" t="str">
        <f t="shared" si="0"/>
        <v>W</v>
      </c>
      <c r="H39" s="2" t="s">
        <v>157</v>
      </c>
      <c r="I39" t="s">
        <v>158</v>
      </c>
      <c r="J39" t="s">
        <v>430</v>
      </c>
      <c r="L39" t="str">
        <f t="shared" si="1"/>
        <v>NonID</v>
      </c>
    </row>
    <row r="40" spans="1:13" hidden="1" x14ac:dyDescent="0.45">
      <c r="A40" t="s">
        <v>57</v>
      </c>
      <c r="B40" t="s">
        <v>63</v>
      </c>
      <c r="C40">
        <v>0.99998447314170458</v>
      </c>
      <c r="D40">
        <v>0.8</v>
      </c>
      <c r="E40">
        <v>0.85194876140197107</v>
      </c>
      <c r="G40" t="str">
        <f t="shared" si="0"/>
        <v>W</v>
      </c>
      <c r="H40" t="s">
        <v>159</v>
      </c>
      <c r="I40" t="s">
        <v>99</v>
      </c>
      <c r="J40" t="s">
        <v>420</v>
      </c>
      <c r="L40" t="str">
        <f t="shared" si="1"/>
        <v>NonID</v>
      </c>
    </row>
    <row r="41" spans="1:13" hidden="1" x14ac:dyDescent="0.45">
      <c r="A41" t="s">
        <v>57</v>
      </c>
      <c r="B41" t="s">
        <v>63</v>
      </c>
      <c r="C41">
        <v>0.99935832022740401</v>
      </c>
      <c r="D41">
        <v>0.8</v>
      </c>
      <c r="E41">
        <v>0.9820137760522224</v>
      </c>
      <c r="G41" t="str">
        <f t="shared" si="0"/>
        <v>W</v>
      </c>
      <c r="H41" s="2" t="s">
        <v>160</v>
      </c>
      <c r="I41" t="s">
        <v>161</v>
      </c>
      <c r="J41" t="s">
        <v>420</v>
      </c>
      <c r="L41" t="str">
        <f t="shared" si="1"/>
        <v>NonID</v>
      </c>
    </row>
    <row r="42" spans="1:13" hidden="1" x14ac:dyDescent="0.45">
      <c r="A42" t="s">
        <v>19</v>
      </c>
      <c r="B42" t="s">
        <v>63</v>
      </c>
      <c r="C42">
        <v>1</v>
      </c>
      <c r="D42">
        <v>0.8</v>
      </c>
      <c r="E42">
        <v>0.99908895173900303</v>
      </c>
      <c r="G42" t="str">
        <f t="shared" si="0"/>
        <v>W</v>
      </c>
      <c r="H42" t="s">
        <v>162</v>
      </c>
      <c r="I42" t="s">
        <v>163</v>
      </c>
      <c r="J42" t="s">
        <v>425</v>
      </c>
      <c r="L42" t="str">
        <f t="shared" si="1"/>
        <v>NonID</v>
      </c>
    </row>
    <row r="43" spans="1:13" hidden="1" x14ac:dyDescent="0.45">
      <c r="A43" t="s">
        <v>66</v>
      </c>
      <c r="B43" t="s">
        <v>66</v>
      </c>
      <c r="C43">
        <v>0.2015414311090267</v>
      </c>
      <c r="D43">
        <v>0.8</v>
      </c>
      <c r="E43">
        <v>0.99807322600355197</v>
      </c>
      <c r="G43" t="str">
        <f t="shared" si="0"/>
        <v>.</v>
      </c>
      <c r="H43" s="8" t="s">
        <v>164</v>
      </c>
      <c r="I43" s="8" t="s">
        <v>99</v>
      </c>
      <c r="J43" s="8" t="s">
        <v>421</v>
      </c>
      <c r="L43" t="str">
        <f t="shared" si="1"/>
        <v>.</v>
      </c>
    </row>
    <row r="44" spans="1:13" hidden="1" x14ac:dyDescent="0.45">
      <c r="A44" t="s">
        <v>73</v>
      </c>
      <c r="B44" t="s">
        <v>73</v>
      </c>
      <c r="C44">
        <v>0.2000599472328484</v>
      </c>
      <c r="D44">
        <v>0.8</v>
      </c>
      <c r="E44">
        <v>0.99992506849856422</v>
      </c>
      <c r="G44" t="str">
        <f t="shared" si="0"/>
        <v>.</v>
      </c>
      <c r="H44" s="8" t="s">
        <v>165</v>
      </c>
      <c r="I44" s="8" t="s">
        <v>166</v>
      </c>
      <c r="J44" s="8" t="s">
        <v>424</v>
      </c>
      <c r="L44" t="str">
        <f t="shared" si="1"/>
        <v>.</v>
      </c>
    </row>
    <row r="45" spans="1:13" hidden="1" x14ac:dyDescent="0.45">
      <c r="A45" t="s">
        <v>19</v>
      </c>
      <c r="B45" t="s">
        <v>63</v>
      </c>
      <c r="C45">
        <v>0.99997427248598125</v>
      </c>
      <c r="D45">
        <v>0.8</v>
      </c>
      <c r="E45">
        <v>0.99142231192149144</v>
      </c>
      <c r="G45" t="str">
        <f t="shared" si="0"/>
        <v>W</v>
      </c>
      <c r="H45" t="s">
        <v>167</v>
      </c>
      <c r="I45" t="s">
        <v>168</v>
      </c>
      <c r="J45" t="s">
        <v>420</v>
      </c>
      <c r="L45" t="str">
        <f t="shared" si="1"/>
        <v>NonID</v>
      </c>
    </row>
    <row r="46" spans="1:13" hidden="1" x14ac:dyDescent="0.45">
      <c r="A46" t="s">
        <v>57</v>
      </c>
      <c r="B46" t="s">
        <v>63</v>
      </c>
      <c r="C46">
        <v>1</v>
      </c>
      <c r="D46">
        <v>0.8</v>
      </c>
      <c r="E46">
        <v>1.6701414089010929E-5</v>
      </c>
      <c r="G46" t="str">
        <f t="shared" si="0"/>
        <v>W</v>
      </c>
      <c r="H46" t="s">
        <v>169</v>
      </c>
      <c r="I46" t="s">
        <v>99</v>
      </c>
      <c r="J46" t="s">
        <v>421</v>
      </c>
      <c r="L46" t="str">
        <f t="shared" si="1"/>
        <v>NonID</v>
      </c>
    </row>
    <row r="47" spans="1:13" hidden="1" x14ac:dyDescent="0.45">
      <c r="A47" t="s">
        <v>19</v>
      </c>
      <c r="B47" t="s">
        <v>63</v>
      </c>
      <c r="C47">
        <v>0.99968951743381307</v>
      </c>
      <c r="D47">
        <v>0.8</v>
      </c>
      <c r="E47">
        <v>0.97068713858475075</v>
      </c>
      <c r="G47" t="str">
        <f t="shared" si="0"/>
        <v>W</v>
      </c>
      <c r="H47" t="s">
        <v>170</v>
      </c>
      <c r="I47" t="s">
        <v>171</v>
      </c>
      <c r="J47" t="s">
        <v>420</v>
      </c>
      <c r="L47" t="str">
        <f t="shared" si="1"/>
        <v>NonID</v>
      </c>
    </row>
    <row r="48" spans="1:13" hidden="1" x14ac:dyDescent="0.45">
      <c r="A48" t="s">
        <v>76</v>
      </c>
      <c r="B48" t="s">
        <v>76</v>
      </c>
      <c r="C48">
        <v>0.2054140246589182</v>
      </c>
      <c r="D48">
        <v>0.8</v>
      </c>
      <c r="E48">
        <v>0.99996452273258829</v>
      </c>
      <c r="G48" t="str">
        <f t="shared" si="0"/>
        <v>.</v>
      </c>
      <c r="H48" s="8" t="s">
        <v>172</v>
      </c>
      <c r="I48" s="8" t="s">
        <v>173</v>
      </c>
      <c r="J48" s="8" t="s">
        <v>428</v>
      </c>
      <c r="L48" t="str">
        <f t="shared" si="1"/>
        <v>.</v>
      </c>
    </row>
    <row r="49" spans="1:13" hidden="1" x14ac:dyDescent="0.45">
      <c r="A49" t="s">
        <v>57</v>
      </c>
      <c r="B49" t="s">
        <v>63</v>
      </c>
      <c r="C49">
        <v>1</v>
      </c>
      <c r="D49">
        <v>0.8</v>
      </c>
      <c r="E49">
        <v>0.92413993957478202</v>
      </c>
      <c r="G49" t="str">
        <f t="shared" si="0"/>
        <v>W</v>
      </c>
      <c r="H49" t="s">
        <v>174</v>
      </c>
      <c r="I49" t="s">
        <v>99</v>
      </c>
      <c r="J49" t="s">
        <v>418</v>
      </c>
      <c r="L49" t="str">
        <f t="shared" si="1"/>
        <v>NonID</v>
      </c>
    </row>
    <row r="50" spans="1:13" hidden="1" x14ac:dyDescent="0.45">
      <c r="A50" t="s">
        <v>57</v>
      </c>
      <c r="B50" t="s">
        <v>63</v>
      </c>
      <c r="C50">
        <v>0.99996717096043475</v>
      </c>
      <c r="D50">
        <v>0.8</v>
      </c>
      <c r="E50">
        <v>0.62245888465685084</v>
      </c>
      <c r="G50" t="str">
        <f t="shared" si="0"/>
        <v>W</v>
      </c>
      <c r="H50" t="s">
        <v>175</v>
      </c>
      <c r="I50" t="s">
        <v>99</v>
      </c>
      <c r="J50" t="s">
        <v>420</v>
      </c>
      <c r="L50" t="str">
        <f t="shared" si="1"/>
        <v>NonID</v>
      </c>
    </row>
    <row r="51" spans="1:13" hidden="1" x14ac:dyDescent="0.45">
      <c r="A51" t="s">
        <v>68</v>
      </c>
      <c r="B51" t="s">
        <v>68</v>
      </c>
      <c r="C51">
        <v>7.9427159070943887E-6</v>
      </c>
      <c r="D51">
        <v>1</v>
      </c>
      <c r="E51">
        <v>0.99999205818100989</v>
      </c>
      <c r="G51" t="str">
        <f t="shared" si="0"/>
        <v>.</v>
      </c>
      <c r="H51" s="8" t="s">
        <v>176</v>
      </c>
      <c r="I51" s="8" t="s">
        <v>177</v>
      </c>
      <c r="J51" s="8" t="s">
        <v>423</v>
      </c>
      <c r="L51" t="str">
        <f t="shared" si="1"/>
        <v>.</v>
      </c>
    </row>
    <row r="52" spans="1:13" hidden="1" x14ac:dyDescent="0.45">
      <c r="A52" t="s">
        <v>74</v>
      </c>
      <c r="B52" t="s">
        <v>74</v>
      </c>
      <c r="C52">
        <v>0.20005994630961291</v>
      </c>
      <c r="D52">
        <v>0.8</v>
      </c>
      <c r="E52">
        <v>0.99992506849856422</v>
      </c>
      <c r="G52" t="str">
        <f t="shared" si="0"/>
        <v>.</v>
      </c>
      <c r="H52" s="8" t="s">
        <v>178</v>
      </c>
      <c r="I52" s="8" t="s">
        <v>179</v>
      </c>
      <c r="J52" s="8" t="s">
        <v>426</v>
      </c>
      <c r="L52" t="str">
        <f t="shared" si="1"/>
        <v>.</v>
      </c>
    </row>
    <row r="53" spans="1:13" hidden="1" x14ac:dyDescent="0.45">
      <c r="A53" t="s">
        <v>19</v>
      </c>
      <c r="B53" t="s">
        <v>62</v>
      </c>
      <c r="C53">
        <v>0.20016286884451939</v>
      </c>
      <c r="D53">
        <v>0.8</v>
      </c>
      <c r="E53">
        <v>0.99979648032432844</v>
      </c>
      <c r="G53" t="str">
        <f t="shared" si="0"/>
        <v>W</v>
      </c>
      <c r="H53" t="s">
        <v>180</v>
      </c>
      <c r="I53" t="s">
        <v>181</v>
      </c>
      <c r="J53" t="s">
        <v>417</v>
      </c>
      <c r="L53" s="13" t="str">
        <f t="shared" si="1"/>
        <v>.</v>
      </c>
      <c r="M53" t="s">
        <v>524</v>
      </c>
    </row>
    <row r="54" spans="1:13" hidden="1" x14ac:dyDescent="0.45">
      <c r="A54" t="s">
        <v>74</v>
      </c>
      <c r="B54" t="s">
        <v>74</v>
      </c>
      <c r="C54">
        <v>0.22989995186054249</v>
      </c>
      <c r="D54">
        <v>0.8</v>
      </c>
      <c r="E54">
        <v>0.96267167083151306</v>
      </c>
      <c r="G54" t="str">
        <f t="shared" si="0"/>
        <v>.</v>
      </c>
      <c r="H54" s="8" t="s">
        <v>182</v>
      </c>
      <c r="I54" s="8" t="s">
        <v>99</v>
      </c>
      <c r="J54" s="8" t="s">
        <v>426</v>
      </c>
      <c r="L54" s="13" t="str">
        <f t="shared" si="1"/>
        <v>.</v>
      </c>
      <c r="M54" s="8" t="s">
        <v>514</v>
      </c>
    </row>
    <row r="55" spans="1:13" hidden="1" x14ac:dyDescent="0.45">
      <c r="A55" t="s">
        <v>61</v>
      </c>
      <c r="B55" t="s">
        <v>61</v>
      </c>
      <c r="C55">
        <v>0.2314495465246218</v>
      </c>
      <c r="D55">
        <v>0.8</v>
      </c>
      <c r="E55">
        <v>0.96267277897766457</v>
      </c>
      <c r="G55" t="str">
        <f t="shared" si="0"/>
        <v>.</v>
      </c>
      <c r="H55" s="8" t="s">
        <v>183</v>
      </c>
      <c r="I55" s="8" t="s">
        <v>184</v>
      </c>
      <c r="J55" s="8" t="s">
        <v>416</v>
      </c>
      <c r="L55" t="str">
        <f t="shared" si="1"/>
        <v>.</v>
      </c>
    </row>
    <row r="56" spans="1:13" hidden="1" x14ac:dyDescent="0.45">
      <c r="A56" t="s">
        <v>19</v>
      </c>
      <c r="B56" t="s">
        <v>63</v>
      </c>
      <c r="C56">
        <v>1</v>
      </c>
      <c r="D56">
        <v>0.8</v>
      </c>
      <c r="E56">
        <v>0.99807322600355197</v>
      </c>
      <c r="G56" t="str">
        <f t="shared" si="0"/>
        <v>W</v>
      </c>
      <c r="H56" t="s">
        <v>185</v>
      </c>
      <c r="I56" t="s">
        <v>186</v>
      </c>
      <c r="J56" t="s">
        <v>425</v>
      </c>
      <c r="L56" t="str">
        <f t="shared" si="1"/>
        <v>NonID</v>
      </c>
    </row>
    <row r="57" spans="1:13" hidden="1" x14ac:dyDescent="0.45">
      <c r="A57" t="s">
        <v>57</v>
      </c>
      <c r="B57" t="s">
        <v>63</v>
      </c>
      <c r="C57">
        <v>1</v>
      </c>
      <c r="D57">
        <v>0.8</v>
      </c>
      <c r="E57">
        <v>0.96267122613891776</v>
      </c>
      <c r="G57" t="str">
        <f t="shared" si="0"/>
        <v>W</v>
      </c>
      <c r="H57" t="s">
        <v>187</v>
      </c>
      <c r="I57" t="s">
        <v>99</v>
      </c>
      <c r="J57" t="s">
        <v>431</v>
      </c>
      <c r="L57" t="str">
        <f t="shared" si="1"/>
        <v>NonID</v>
      </c>
    </row>
    <row r="58" spans="1:13" hidden="1" x14ac:dyDescent="0.45">
      <c r="A58" t="s">
        <v>77</v>
      </c>
      <c r="B58" t="s">
        <v>77</v>
      </c>
      <c r="C58">
        <v>0.24226712438029399</v>
      </c>
      <c r="D58">
        <v>0.8</v>
      </c>
      <c r="E58">
        <v>0.99956942349659961</v>
      </c>
      <c r="G58" t="str">
        <f t="shared" si="0"/>
        <v>.</v>
      </c>
      <c r="H58" s="8" t="s">
        <v>188</v>
      </c>
      <c r="I58" s="8" t="s">
        <v>99</v>
      </c>
      <c r="J58" s="8" t="s">
        <v>422</v>
      </c>
      <c r="L58" t="str">
        <f t="shared" si="1"/>
        <v>.</v>
      </c>
    </row>
    <row r="59" spans="1:13" hidden="1" x14ac:dyDescent="0.45">
      <c r="A59" t="s">
        <v>19</v>
      </c>
      <c r="B59" t="s">
        <v>62</v>
      </c>
      <c r="C59">
        <v>0.20000381829253161</v>
      </c>
      <c r="D59">
        <v>0.8</v>
      </c>
      <c r="E59">
        <v>0.99999813753780198</v>
      </c>
      <c r="G59" t="str">
        <f t="shared" si="0"/>
        <v>W</v>
      </c>
      <c r="H59" t="s">
        <v>189</v>
      </c>
      <c r="I59" t="s">
        <v>190</v>
      </c>
      <c r="J59" t="s">
        <v>417</v>
      </c>
      <c r="L59" s="13" t="str">
        <f t="shared" si="1"/>
        <v>.</v>
      </c>
      <c r="M59" t="s">
        <v>524</v>
      </c>
    </row>
    <row r="60" spans="1:13" hidden="1" x14ac:dyDescent="0.45">
      <c r="A60" t="s">
        <v>65</v>
      </c>
      <c r="B60" t="s">
        <v>65</v>
      </c>
      <c r="C60">
        <v>0.20002838197785319</v>
      </c>
      <c r="D60">
        <v>0.8</v>
      </c>
      <c r="E60">
        <v>0.99996452273258829</v>
      </c>
      <c r="G60" t="str">
        <f t="shared" si="0"/>
        <v>.</v>
      </c>
      <c r="H60" s="8" t="s">
        <v>191</v>
      </c>
      <c r="I60" s="8" t="s">
        <v>192</v>
      </c>
      <c r="J60" s="8" t="s">
        <v>427</v>
      </c>
      <c r="L60" t="str">
        <f t="shared" si="1"/>
        <v>.</v>
      </c>
    </row>
    <row r="61" spans="1:13" hidden="1" x14ac:dyDescent="0.45">
      <c r="A61" t="s">
        <v>57</v>
      </c>
      <c r="B61" t="s">
        <v>78</v>
      </c>
      <c r="C61">
        <v>0.61485014760952117</v>
      </c>
      <c r="D61">
        <v>0.8</v>
      </c>
      <c r="E61">
        <v>0.99987656475506059</v>
      </c>
      <c r="G61" t="str">
        <f t="shared" si="0"/>
        <v>W</v>
      </c>
      <c r="H61" t="s">
        <v>193</v>
      </c>
      <c r="I61" t="s">
        <v>99</v>
      </c>
      <c r="J61" t="s">
        <v>429</v>
      </c>
      <c r="L61" t="str">
        <f t="shared" si="1"/>
        <v>NonID</v>
      </c>
    </row>
    <row r="62" spans="1:13" hidden="1" x14ac:dyDescent="0.45">
      <c r="A62" t="s">
        <v>75</v>
      </c>
      <c r="B62" t="s">
        <v>75</v>
      </c>
      <c r="C62">
        <v>0.20020904199345271</v>
      </c>
      <c r="D62">
        <v>0.8</v>
      </c>
      <c r="E62">
        <v>0.99973869830781348</v>
      </c>
      <c r="G62" t="str">
        <f t="shared" si="0"/>
        <v>.</v>
      </c>
      <c r="H62" s="8" t="s">
        <v>194</v>
      </c>
      <c r="I62" s="8" t="s">
        <v>99</v>
      </c>
      <c r="J62" s="8" t="s">
        <v>429</v>
      </c>
      <c r="L62" t="str">
        <f t="shared" si="1"/>
        <v>.</v>
      </c>
    </row>
    <row r="63" spans="1:13" x14ac:dyDescent="0.45">
      <c r="A63" t="s">
        <v>64</v>
      </c>
      <c r="B63" t="s">
        <v>65</v>
      </c>
      <c r="C63">
        <v>0.23911381365250259</v>
      </c>
      <c r="D63">
        <v>0.8</v>
      </c>
      <c r="E63">
        <v>0.95257269983851356</v>
      </c>
      <c r="G63" t="str">
        <f t="shared" si="0"/>
        <v>W</v>
      </c>
      <c r="H63" s="8" t="s">
        <v>195</v>
      </c>
      <c r="I63" s="8" t="s">
        <v>196</v>
      </c>
      <c r="J63" s="8" t="s">
        <v>419</v>
      </c>
      <c r="K63" s="8" t="s">
        <v>514</v>
      </c>
      <c r="L63" t="str">
        <f t="shared" si="1"/>
        <v>.</v>
      </c>
    </row>
    <row r="64" spans="1:13" hidden="1" x14ac:dyDescent="0.45">
      <c r="A64" t="s">
        <v>71</v>
      </c>
      <c r="B64" t="s">
        <v>71</v>
      </c>
      <c r="C64">
        <v>0.2009440178021131</v>
      </c>
      <c r="D64">
        <v>0.8</v>
      </c>
      <c r="E64">
        <v>0.99883045900532441</v>
      </c>
      <c r="G64" t="str">
        <f t="shared" si="0"/>
        <v>.</v>
      </c>
      <c r="H64" s="8" t="s">
        <v>197</v>
      </c>
      <c r="I64" s="8" t="s">
        <v>198</v>
      </c>
      <c r="J64" s="8" t="s">
        <v>426</v>
      </c>
      <c r="L64" t="str">
        <f t="shared" si="1"/>
        <v>.</v>
      </c>
    </row>
    <row r="65" spans="1:13" hidden="1" x14ac:dyDescent="0.45">
      <c r="A65" t="s">
        <v>19</v>
      </c>
      <c r="B65" t="s">
        <v>63</v>
      </c>
      <c r="C65">
        <v>1</v>
      </c>
      <c r="D65">
        <v>0.8</v>
      </c>
      <c r="E65">
        <v>0.98593608654391374</v>
      </c>
      <c r="G65" t="str">
        <f t="shared" si="0"/>
        <v>W</v>
      </c>
      <c r="H65" t="s">
        <v>199</v>
      </c>
      <c r="I65" t="s">
        <v>200</v>
      </c>
      <c r="J65" t="s">
        <v>418</v>
      </c>
      <c r="L65" t="str">
        <f t="shared" si="1"/>
        <v>NonID</v>
      </c>
    </row>
    <row r="66" spans="1:13" hidden="1" x14ac:dyDescent="0.45">
      <c r="A66" t="s">
        <v>71</v>
      </c>
      <c r="B66" t="s">
        <v>71</v>
      </c>
      <c r="C66">
        <v>0.2007288513168107</v>
      </c>
      <c r="D66">
        <v>0.8</v>
      </c>
      <c r="E66">
        <v>0.99908895173900303</v>
      </c>
      <c r="G66" t="str">
        <f t="shared" ref="G66:G129" si="2">IF(A66=B66,".","W")</f>
        <v>.</v>
      </c>
      <c r="H66" s="8" t="s">
        <v>201</v>
      </c>
      <c r="I66" s="8" t="s">
        <v>202</v>
      </c>
      <c r="J66" s="8" t="s">
        <v>426</v>
      </c>
      <c r="L66" t="str">
        <f t="shared" si="1"/>
        <v>.</v>
      </c>
    </row>
    <row r="67" spans="1:13" hidden="1" x14ac:dyDescent="0.45">
      <c r="A67" t="s">
        <v>71</v>
      </c>
      <c r="B67" t="s">
        <v>71</v>
      </c>
      <c r="C67">
        <v>0.23037662142132331</v>
      </c>
      <c r="D67">
        <v>0.8</v>
      </c>
      <c r="E67">
        <v>0.96267155965834494</v>
      </c>
      <c r="G67" t="str">
        <f t="shared" si="2"/>
        <v>.</v>
      </c>
      <c r="H67" s="8" t="s">
        <v>203</v>
      </c>
      <c r="I67" s="8" t="s">
        <v>99</v>
      </c>
      <c r="J67" s="8" t="s">
        <v>426</v>
      </c>
      <c r="L67" t="str">
        <f t="shared" ref="L67:L130" si="3">IF(C67&lt;=$L$1,".","NonID")</f>
        <v>.</v>
      </c>
    </row>
    <row r="68" spans="1:13" hidden="1" x14ac:dyDescent="0.45">
      <c r="A68" t="s">
        <v>19</v>
      </c>
      <c r="B68" t="s">
        <v>65</v>
      </c>
      <c r="C68">
        <v>0.98161812255315517</v>
      </c>
      <c r="D68">
        <v>0.8</v>
      </c>
      <c r="E68">
        <v>2.2977350978354839E-2</v>
      </c>
      <c r="G68" t="str">
        <f t="shared" si="2"/>
        <v>W</v>
      </c>
      <c r="H68" t="s">
        <v>204</v>
      </c>
      <c r="I68" t="s">
        <v>205</v>
      </c>
      <c r="J68" t="s">
        <v>432</v>
      </c>
      <c r="L68" t="str">
        <f t="shared" si="3"/>
        <v>NonID</v>
      </c>
    </row>
    <row r="69" spans="1:13" hidden="1" x14ac:dyDescent="0.45">
      <c r="A69" t="s">
        <v>19</v>
      </c>
      <c r="B69" t="s">
        <v>63</v>
      </c>
      <c r="C69">
        <v>1</v>
      </c>
      <c r="D69">
        <v>0.8</v>
      </c>
      <c r="E69">
        <v>0.851952557223148</v>
      </c>
      <c r="G69" t="str">
        <f t="shared" si="2"/>
        <v>W</v>
      </c>
      <c r="H69" t="s">
        <v>206</v>
      </c>
      <c r="I69" t="s">
        <v>207</v>
      </c>
      <c r="J69" t="s">
        <v>433</v>
      </c>
      <c r="L69" t="str">
        <f t="shared" si="3"/>
        <v>NonID</v>
      </c>
    </row>
    <row r="70" spans="1:13" hidden="1" x14ac:dyDescent="0.45">
      <c r="A70" t="s">
        <v>19</v>
      </c>
      <c r="B70" t="s">
        <v>63</v>
      </c>
      <c r="C70">
        <v>0.99999551910347373</v>
      </c>
      <c r="D70">
        <v>0.8</v>
      </c>
      <c r="E70">
        <v>0.90464760089660889</v>
      </c>
      <c r="G70" t="str">
        <f t="shared" si="2"/>
        <v>W</v>
      </c>
      <c r="H70" t="s">
        <v>208</v>
      </c>
      <c r="I70" t="s">
        <v>99</v>
      </c>
      <c r="J70" t="s">
        <v>420</v>
      </c>
      <c r="L70" t="str">
        <f t="shared" si="3"/>
        <v>NonID</v>
      </c>
    </row>
    <row r="71" spans="1:13" hidden="1" x14ac:dyDescent="0.45">
      <c r="A71" t="s">
        <v>19</v>
      </c>
      <c r="B71" t="s">
        <v>62</v>
      </c>
      <c r="C71">
        <v>0.2000172509019307</v>
      </c>
      <c r="D71">
        <v>0.8</v>
      </c>
      <c r="E71">
        <v>0.99997846916345023</v>
      </c>
      <c r="G71" t="str">
        <f t="shared" si="2"/>
        <v>W</v>
      </c>
      <c r="H71" t="s">
        <v>209</v>
      </c>
      <c r="I71" t="s">
        <v>210</v>
      </c>
      <c r="J71" t="s">
        <v>417</v>
      </c>
      <c r="L71" s="13" t="str">
        <f t="shared" si="3"/>
        <v>.</v>
      </c>
      <c r="M71" t="s">
        <v>524</v>
      </c>
    </row>
    <row r="72" spans="1:13" hidden="1" x14ac:dyDescent="0.45">
      <c r="A72" t="s">
        <v>65</v>
      </c>
      <c r="B72" t="s">
        <v>65</v>
      </c>
      <c r="C72">
        <v>0.20154141932268621</v>
      </c>
      <c r="D72">
        <v>0.8</v>
      </c>
      <c r="E72">
        <v>0.99807322600355197</v>
      </c>
      <c r="G72" t="str">
        <f t="shared" si="2"/>
        <v>.</v>
      </c>
      <c r="H72" s="8" t="s">
        <v>211</v>
      </c>
      <c r="I72" s="8" t="s">
        <v>212</v>
      </c>
      <c r="J72" s="8" t="s">
        <v>427</v>
      </c>
      <c r="L72" t="str">
        <f t="shared" si="3"/>
        <v>.</v>
      </c>
    </row>
    <row r="73" spans="1:13" hidden="1" x14ac:dyDescent="0.45">
      <c r="A73" t="s">
        <v>61</v>
      </c>
      <c r="B73" t="s">
        <v>61</v>
      </c>
      <c r="C73">
        <v>0.20421131620592781</v>
      </c>
      <c r="D73">
        <v>0.8</v>
      </c>
      <c r="E73">
        <v>0.99477978997431815</v>
      </c>
      <c r="G73" t="str">
        <f t="shared" si="2"/>
        <v>.</v>
      </c>
      <c r="H73" s="8" t="s">
        <v>213</v>
      </c>
      <c r="I73" s="8" t="s">
        <v>214</v>
      </c>
      <c r="J73" s="8" t="s">
        <v>416</v>
      </c>
      <c r="L73" t="str">
        <f t="shared" si="3"/>
        <v>.</v>
      </c>
    </row>
    <row r="74" spans="1:13" hidden="1" x14ac:dyDescent="0.45">
      <c r="A74" t="s">
        <v>57</v>
      </c>
      <c r="B74" t="s">
        <v>78</v>
      </c>
      <c r="C74">
        <v>0.50040506389468709</v>
      </c>
      <c r="D74">
        <v>0.8</v>
      </c>
      <c r="E74">
        <v>0.9046501419366757</v>
      </c>
      <c r="G74" t="str">
        <f t="shared" si="2"/>
        <v>W</v>
      </c>
      <c r="H74" t="s">
        <v>215</v>
      </c>
      <c r="I74" t="s">
        <v>99</v>
      </c>
      <c r="J74" t="s">
        <v>429</v>
      </c>
      <c r="L74" t="str">
        <f t="shared" si="3"/>
        <v>NonID</v>
      </c>
    </row>
    <row r="75" spans="1:13" hidden="1" x14ac:dyDescent="0.45">
      <c r="A75" t="s">
        <v>57</v>
      </c>
      <c r="B75" t="s">
        <v>63</v>
      </c>
      <c r="C75">
        <v>0.9999996072095082</v>
      </c>
      <c r="D75">
        <v>0.8</v>
      </c>
      <c r="E75">
        <v>0.97702261672772872</v>
      </c>
      <c r="G75" t="str">
        <f t="shared" si="2"/>
        <v>W</v>
      </c>
      <c r="H75" t="s">
        <v>216</v>
      </c>
      <c r="I75" t="s">
        <v>99</v>
      </c>
      <c r="J75" t="s">
        <v>420</v>
      </c>
      <c r="L75" t="str">
        <f t="shared" si="3"/>
        <v>NonID</v>
      </c>
    </row>
    <row r="76" spans="1:13" hidden="1" x14ac:dyDescent="0.45">
      <c r="A76" t="s">
        <v>79</v>
      </c>
      <c r="B76" t="s">
        <v>79</v>
      </c>
      <c r="C76">
        <v>0.2019788494004208</v>
      </c>
      <c r="D76">
        <v>0.8</v>
      </c>
      <c r="E76">
        <v>0.99752740325115785</v>
      </c>
      <c r="G76" t="str">
        <f t="shared" si="2"/>
        <v>.</v>
      </c>
      <c r="H76" s="8" t="s">
        <v>217</v>
      </c>
      <c r="I76" s="8" t="s">
        <v>218</v>
      </c>
      <c r="J76" s="8" t="s">
        <v>434</v>
      </c>
      <c r="L76" t="str">
        <f t="shared" si="3"/>
        <v>.</v>
      </c>
    </row>
    <row r="77" spans="1:13" hidden="1" x14ac:dyDescent="0.45">
      <c r="A77" t="s">
        <v>71</v>
      </c>
      <c r="B77" t="s">
        <v>71</v>
      </c>
      <c r="C77">
        <v>0.2041799352695173</v>
      </c>
      <c r="D77">
        <v>0.8</v>
      </c>
      <c r="E77">
        <v>0.99477978997431815</v>
      </c>
      <c r="G77" t="str">
        <f t="shared" si="2"/>
        <v>.</v>
      </c>
      <c r="H77" s="8" t="s">
        <v>219</v>
      </c>
      <c r="I77" s="8" t="s">
        <v>220</v>
      </c>
      <c r="J77" s="8" t="s">
        <v>426</v>
      </c>
      <c r="L77" t="str">
        <f t="shared" si="3"/>
        <v>.</v>
      </c>
    </row>
    <row r="78" spans="1:13" x14ac:dyDescent="0.45">
      <c r="A78" t="s">
        <v>80</v>
      </c>
      <c r="B78" t="s">
        <v>78</v>
      </c>
      <c r="C78">
        <v>0.23707436762736189</v>
      </c>
      <c r="D78">
        <v>0.8</v>
      </c>
      <c r="E78">
        <v>0.99987656475506059</v>
      </c>
      <c r="G78" t="str">
        <f t="shared" si="2"/>
        <v>W</v>
      </c>
      <c r="H78" s="8" t="s">
        <v>221</v>
      </c>
      <c r="I78" s="8" t="s">
        <v>222</v>
      </c>
      <c r="J78" s="8" t="s">
        <v>429</v>
      </c>
      <c r="K78" s="8" t="s">
        <v>515</v>
      </c>
      <c r="L78" t="str">
        <f t="shared" si="3"/>
        <v>.</v>
      </c>
    </row>
    <row r="79" spans="1:13" hidden="1" x14ac:dyDescent="0.45">
      <c r="A79" t="s">
        <v>81</v>
      </c>
      <c r="B79" t="s">
        <v>81</v>
      </c>
      <c r="C79">
        <v>0.55430587185104607</v>
      </c>
      <c r="D79">
        <v>0.8</v>
      </c>
      <c r="E79">
        <v>0.99682732998531542</v>
      </c>
      <c r="G79" t="str">
        <f t="shared" si="2"/>
        <v>.</v>
      </c>
      <c r="H79" s="8" t="s">
        <v>223</v>
      </c>
      <c r="I79" s="8" t="s">
        <v>224</v>
      </c>
      <c r="J79" s="8" t="s">
        <v>429</v>
      </c>
      <c r="L79" s="13" t="str">
        <f t="shared" si="3"/>
        <v>NonID</v>
      </c>
      <c r="M79" s="8" t="s">
        <v>515</v>
      </c>
    </row>
    <row r="80" spans="1:13" hidden="1" x14ac:dyDescent="0.45">
      <c r="A80" t="s">
        <v>78</v>
      </c>
      <c r="B80" t="s">
        <v>78</v>
      </c>
      <c r="C80">
        <v>0.24282180326652089</v>
      </c>
      <c r="D80">
        <v>0.8</v>
      </c>
      <c r="E80">
        <v>0.99984152748927191</v>
      </c>
      <c r="G80" t="str">
        <f t="shared" si="2"/>
        <v>.</v>
      </c>
      <c r="H80" s="8" t="s">
        <v>225</v>
      </c>
      <c r="I80" s="8" t="s">
        <v>226</v>
      </c>
      <c r="J80" s="8" t="s">
        <v>429</v>
      </c>
      <c r="L80" t="str">
        <f t="shared" si="3"/>
        <v>.</v>
      </c>
    </row>
    <row r="81" spans="1:13" hidden="1" x14ac:dyDescent="0.45">
      <c r="A81" t="s">
        <v>19</v>
      </c>
      <c r="B81" t="s">
        <v>62</v>
      </c>
      <c r="C81">
        <v>0.20001342071382469</v>
      </c>
      <c r="D81">
        <v>0.8</v>
      </c>
      <c r="E81">
        <v>0.99998323721818272</v>
      </c>
      <c r="G81" t="str">
        <f t="shared" si="2"/>
        <v>W</v>
      </c>
      <c r="H81" t="s">
        <v>227</v>
      </c>
      <c r="I81" t="s">
        <v>228</v>
      </c>
      <c r="J81" t="s">
        <v>417</v>
      </c>
      <c r="L81" s="13" t="str">
        <f t="shared" si="3"/>
        <v>.</v>
      </c>
      <c r="M81" t="s">
        <v>524</v>
      </c>
    </row>
    <row r="82" spans="1:13" hidden="1" x14ac:dyDescent="0.45">
      <c r="A82" t="s">
        <v>19</v>
      </c>
      <c r="B82" t="s">
        <v>82</v>
      </c>
      <c r="C82">
        <v>0.95761482009710885</v>
      </c>
      <c r="D82">
        <v>0.8</v>
      </c>
      <c r="E82">
        <v>0.99883045900532441</v>
      </c>
      <c r="G82" t="str">
        <f t="shared" si="2"/>
        <v>W</v>
      </c>
      <c r="H82" t="s">
        <v>229</v>
      </c>
      <c r="I82" t="s">
        <v>230</v>
      </c>
      <c r="J82" t="s">
        <v>420</v>
      </c>
      <c r="L82" t="str">
        <f t="shared" si="3"/>
        <v>NonID</v>
      </c>
    </row>
    <row r="83" spans="1:13" hidden="1" x14ac:dyDescent="0.45">
      <c r="A83" t="s">
        <v>19</v>
      </c>
      <c r="B83" t="s">
        <v>65</v>
      </c>
      <c r="C83">
        <v>0.2379496367671107</v>
      </c>
      <c r="D83">
        <v>0.8</v>
      </c>
      <c r="E83">
        <v>0.95257389217216504</v>
      </c>
      <c r="G83" t="str">
        <f t="shared" si="2"/>
        <v>W</v>
      </c>
      <c r="H83" t="s">
        <v>231</v>
      </c>
      <c r="I83" t="s">
        <v>232</v>
      </c>
      <c r="J83" t="s">
        <v>419</v>
      </c>
      <c r="L83" s="13" t="str">
        <f t="shared" si="3"/>
        <v>.</v>
      </c>
      <c r="M83" t="s">
        <v>515</v>
      </c>
    </row>
    <row r="84" spans="1:13" hidden="1" x14ac:dyDescent="0.45">
      <c r="A84" t="s">
        <v>19</v>
      </c>
      <c r="B84" t="s">
        <v>63</v>
      </c>
      <c r="C84">
        <v>1</v>
      </c>
      <c r="D84">
        <v>0.8</v>
      </c>
      <c r="E84">
        <v>0.99682732998531542</v>
      </c>
      <c r="G84" t="str">
        <f t="shared" si="2"/>
        <v>W</v>
      </c>
      <c r="H84" t="s">
        <v>233</v>
      </c>
      <c r="I84" t="s">
        <v>234</v>
      </c>
      <c r="J84" t="s">
        <v>425</v>
      </c>
      <c r="L84" t="str">
        <f t="shared" si="3"/>
        <v>NonID</v>
      </c>
    </row>
    <row r="85" spans="1:13" hidden="1" x14ac:dyDescent="0.45">
      <c r="A85" t="s">
        <v>57</v>
      </c>
      <c r="B85" t="s">
        <v>83</v>
      </c>
      <c r="C85">
        <v>0.45832699398922983</v>
      </c>
      <c r="D85">
        <v>0.8</v>
      </c>
      <c r="E85">
        <v>0.99849876799337189</v>
      </c>
      <c r="G85" t="str">
        <f t="shared" si="2"/>
        <v>W</v>
      </c>
      <c r="H85" t="s">
        <v>235</v>
      </c>
      <c r="I85" t="s">
        <v>99</v>
      </c>
      <c r="J85" t="s">
        <v>428</v>
      </c>
      <c r="L85" t="str">
        <f t="shared" si="3"/>
        <v>NonID</v>
      </c>
    </row>
    <row r="86" spans="1:13" hidden="1" x14ac:dyDescent="0.45">
      <c r="A86" t="s">
        <v>77</v>
      </c>
      <c r="B86" t="s">
        <v>77</v>
      </c>
      <c r="C86">
        <v>0.20034493128876821</v>
      </c>
      <c r="D86">
        <v>0.8</v>
      </c>
      <c r="E86">
        <v>0.99956942349659961</v>
      </c>
      <c r="G86" t="str">
        <f t="shared" si="2"/>
        <v>.</v>
      </c>
      <c r="H86" s="8" t="s">
        <v>236</v>
      </c>
      <c r="I86" s="8" t="s">
        <v>237</v>
      </c>
      <c r="J86" s="8" t="s">
        <v>422</v>
      </c>
      <c r="L86" t="str">
        <f t="shared" si="3"/>
        <v>.</v>
      </c>
    </row>
    <row r="87" spans="1:13" hidden="1" x14ac:dyDescent="0.45">
      <c r="A87" t="s">
        <v>19</v>
      </c>
      <c r="B87" t="s">
        <v>61</v>
      </c>
      <c r="C87">
        <v>0.98166047934646727</v>
      </c>
      <c r="D87">
        <v>0.8</v>
      </c>
      <c r="E87">
        <v>4.7425840647360419E-2</v>
      </c>
      <c r="G87" t="str">
        <f t="shared" si="2"/>
        <v>W</v>
      </c>
      <c r="H87" t="s">
        <v>238</v>
      </c>
      <c r="I87" t="s">
        <v>239</v>
      </c>
      <c r="J87" t="s">
        <v>435</v>
      </c>
      <c r="L87" t="str">
        <f t="shared" si="3"/>
        <v>NonID</v>
      </c>
    </row>
    <row r="88" spans="1:13" hidden="1" x14ac:dyDescent="0.45">
      <c r="A88" t="s">
        <v>57</v>
      </c>
      <c r="B88" t="s">
        <v>63</v>
      </c>
      <c r="C88">
        <v>1</v>
      </c>
      <c r="D88">
        <v>0.8</v>
      </c>
      <c r="E88">
        <v>1.0986931105910241E-2</v>
      </c>
      <c r="G88" t="str">
        <f t="shared" si="2"/>
        <v>W</v>
      </c>
      <c r="H88" t="s">
        <v>240</v>
      </c>
      <c r="I88" t="s">
        <v>99</v>
      </c>
      <c r="J88" t="s">
        <v>421</v>
      </c>
      <c r="L88" t="str">
        <f t="shared" si="3"/>
        <v>NonID</v>
      </c>
    </row>
    <row r="89" spans="1:13" hidden="1" x14ac:dyDescent="0.45">
      <c r="A89" t="s">
        <v>19</v>
      </c>
      <c r="B89" t="s">
        <v>82</v>
      </c>
      <c r="C89">
        <v>1</v>
      </c>
      <c r="D89">
        <v>0.8</v>
      </c>
      <c r="E89">
        <v>0.9820137760522224</v>
      </c>
      <c r="G89" t="str">
        <f t="shared" si="2"/>
        <v>W</v>
      </c>
      <c r="H89" t="s">
        <v>241</v>
      </c>
      <c r="I89" t="s">
        <v>242</v>
      </c>
      <c r="J89" t="s">
        <v>418</v>
      </c>
      <c r="L89" t="str">
        <f t="shared" si="3"/>
        <v>NonID</v>
      </c>
    </row>
    <row r="90" spans="1:13" hidden="1" x14ac:dyDescent="0.45">
      <c r="A90" t="s">
        <v>19</v>
      </c>
      <c r="B90" t="s">
        <v>63</v>
      </c>
      <c r="C90">
        <v>1</v>
      </c>
      <c r="D90">
        <v>0.8</v>
      </c>
      <c r="E90">
        <v>0.99908895173900303</v>
      </c>
      <c r="G90" t="str">
        <f t="shared" si="2"/>
        <v>W</v>
      </c>
      <c r="H90" t="s">
        <v>243</v>
      </c>
      <c r="I90" t="s">
        <v>244</v>
      </c>
      <c r="J90" t="s">
        <v>433</v>
      </c>
      <c r="L90" t="str">
        <f t="shared" si="3"/>
        <v>NonID</v>
      </c>
    </row>
    <row r="91" spans="1:13" hidden="1" x14ac:dyDescent="0.45">
      <c r="A91" t="s">
        <v>19</v>
      </c>
      <c r="B91" t="s">
        <v>63</v>
      </c>
      <c r="C91">
        <v>0.96393813807772766</v>
      </c>
      <c r="D91">
        <v>0.8</v>
      </c>
      <c r="E91">
        <v>0.99908895173900303</v>
      </c>
      <c r="G91" t="str">
        <f t="shared" si="2"/>
        <v>W</v>
      </c>
      <c r="H91" t="s">
        <v>245</v>
      </c>
      <c r="I91" t="s">
        <v>246</v>
      </c>
      <c r="J91" t="s">
        <v>420</v>
      </c>
      <c r="L91" t="str">
        <f t="shared" si="3"/>
        <v>NonID</v>
      </c>
    </row>
    <row r="92" spans="1:13" hidden="1" x14ac:dyDescent="0.45">
      <c r="A92" t="s">
        <v>61</v>
      </c>
      <c r="B92" t="s">
        <v>61</v>
      </c>
      <c r="C92">
        <v>0.22986322507142951</v>
      </c>
      <c r="D92">
        <v>0.8</v>
      </c>
      <c r="E92">
        <v>0.96267178200469405</v>
      </c>
      <c r="G92" t="str">
        <f t="shared" si="2"/>
        <v>.</v>
      </c>
      <c r="H92" s="8" t="s">
        <v>247</v>
      </c>
      <c r="I92" s="8" t="s">
        <v>248</v>
      </c>
      <c r="J92" s="8" t="s">
        <v>416</v>
      </c>
      <c r="L92" t="str">
        <f t="shared" si="3"/>
        <v>.</v>
      </c>
    </row>
    <row r="93" spans="1:13" hidden="1" x14ac:dyDescent="0.45">
      <c r="A93" t="s">
        <v>19</v>
      </c>
      <c r="B93" t="s">
        <v>63</v>
      </c>
      <c r="C93">
        <v>0.9984138538804026</v>
      </c>
      <c r="D93">
        <v>0.8</v>
      </c>
      <c r="E93">
        <v>0.99682732998531542</v>
      </c>
      <c r="G93" t="str">
        <f t="shared" si="2"/>
        <v>W</v>
      </c>
      <c r="H93" t="s">
        <v>249</v>
      </c>
      <c r="I93" t="s">
        <v>250</v>
      </c>
      <c r="J93" t="s">
        <v>420</v>
      </c>
      <c r="L93" t="str">
        <f t="shared" si="3"/>
        <v>NonID</v>
      </c>
    </row>
    <row r="94" spans="1:13" hidden="1" x14ac:dyDescent="0.45">
      <c r="A94" t="s">
        <v>61</v>
      </c>
      <c r="B94" t="s">
        <v>61</v>
      </c>
      <c r="C94">
        <v>0.20928090559672771</v>
      </c>
      <c r="D94">
        <v>0.8</v>
      </c>
      <c r="E94">
        <v>0.98901298801575388</v>
      </c>
      <c r="G94" t="str">
        <f t="shared" si="2"/>
        <v>.</v>
      </c>
      <c r="H94" s="8" t="s">
        <v>251</v>
      </c>
      <c r="I94" s="8" t="s">
        <v>252</v>
      </c>
      <c r="J94" s="8" t="s">
        <v>416</v>
      </c>
      <c r="L94" t="str">
        <f t="shared" si="3"/>
        <v>.</v>
      </c>
    </row>
    <row r="95" spans="1:13" hidden="1" x14ac:dyDescent="0.45">
      <c r="A95" t="s">
        <v>57</v>
      </c>
      <c r="B95" t="s">
        <v>61</v>
      </c>
      <c r="C95">
        <v>0.97935565072298336</v>
      </c>
      <c r="D95">
        <v>0.8</v>
      </c>
      <c r="E95">
        <v>6.0086591530428023E-2</v>
      </c>
      <c r="G95" t="str">
        <f t="shared" si="2"/>
        <v>W</v>
      </c>
      <c r="H95" t="s">
        <v>253</v>
      </c>
      <c r="I95" t="s">
        <v>254</v>
      </c>
      <c r="J95" t="s">
        <v>420</v>
      </c>
      <c r="L95" t="str">
        <f t="shared" si="3"/>
        <v>NonID</v>
      </c>
    </row>
    <row r="96" spans="1:13" hidden="1" x14ac:dyDescent="0.45">
      <c r="A96" t="s">
        <v>19</v>
      </c>
      <c r="B96" t="s">
        <v>62</v>
      </c>
      <c r="C96">
        <v>3.770873640007721E-6</v>
      </c>
      <c r="D96">
        <v>1</v>
      </c>
      <c r="E96">
        <v>0.99999623028458018</v>
      </c>
      <c r="G96" t="str">
        <f t="shared" si="2"/>
        <v>W</v>
      </c>
      <c r="H96" t="s">
        <v>255</v>
      </c>
      <c r="I96" t="s">
        <v>256</v>
      </c>
      <c r="J96" t="s">
        <v>417</v>
      </c>
      <c r="L96" s="13" t="str">
        <f t="shared" si="3"/>
        <v>.</v>
      </c>
      <c r="M96" t="s">
        <v>524</v>
      </c>
    </row>
    <row r="97" spans="1:13" hidden="1" x14ac:dyDescent="0.45">
      <c r="A97" t="s">
        <v>19</v>
      </c>
      <c r="B97" t="s">
        <v>62</v>
      </c>
      <c r="C97">
        <v>0.20001785442453451</v>
      </c>
      <c r="D97">
        <v>0.8</v>
      </c>
      <c r="E97">
        <v>0.99999372702007638</v>
      </c>
      <c r="G97" t="str">
        <f t="shared" si="2"/>
        <v>W</v>
      </c>
      <c r="H97" t="s">
        <v>257</v>
      </c>
      <c r="I97" t="s">
        <v>258</v>
      </c>
      <c r="J97" t="s">
        <v>417</v>
      </c>
      <c r="L97" s="13" t="str">
        <f t="shared" si="3"/>
        <v>.</v>
      </c>
      <c r="M97" t="s">
        <v>524</v>
      </c>
    </row>
    <row r="98" spans="1:13" hidden="1" x14ac:dyDescent="0.45">
      <c r="A98" t="s">
        <v>57</v>
      </c>
      <c r="B98" t="s">
        <v>63</v>
      </c>
      <c r="C98">
        <v>0.99996941309664111</v>
      </c>
      <c r="D98">
        <v>0.8</v>
      </c>
      <c r="E98">
        <v>0.96267222669754615</v>
      </c>
      <c r="G98" t="str">
        <f t="shared" si="2"/>
        <v>W</v>
      </c>
      <c r="H98" t="s">
        <v>259</v>
      </c>
      <c r="I98" t="s">
        <v>99</v>
      </c>
      <c r="J98" t="s">
        <v>420</v>
      </c>
      <c r="L98" t="str">
        <f t="shared" si="3"/>
        <v>NonID</v>
      </c>
    </row>
    <row r="99" spans="1:13" hidden="1" x14ac:dyDescent="0.45">
      <c r="A99" t="s">
        <v>57</v>
      </c>
      <c r="B99" t="s">
        <v>63</v>
      </c>
      <c r="C99">
        <v>0.99938767557016628</v>
      </c>
      <c r="D99">
        <v>0.8</v>
      </c>
      <c r="E99">
        <v>0.97702261672772872</v>
      </c>
      <c r="G99" t="str">
        <f t="shared" si="2"/>
        <v>W</v>
      </c>
      <c r="H99" t="s">
        <v>260</v>
      </c>
      <c r="I99" t="s">
        <v>99</v>
      </c>
      <c r="J99" t="s">
        <v>420</v>
      </c>
      <c r="L99" t="str">
        <f t="shared" si="3"/>
        <v>NonID</v>
      </c>
    </row>
    <row r="100" spans="1:13" hidden="1" x14ac:dyDescent="0.45">
      <c r="A100" t="s">
        <v>19</v>
      </c>
      <c r="B100" t="s">
        <v>63</v>
      </c>
      <c r="C100">
        <v>1</v>
      </c>
      <c r="D100">
        <v>0.8</v>
      </c>
      <c r="E100">
        <v>0.99752740325115785</v>
      </c>
      <c r="G100" t="str">
        <f t="shared" si="2"/>
        <v>W</v>
      </c>
      <c r="H100" t="s">
        <v>261</v>
      </c>
      <c r="I100" t="s">
        <v>262</v>
      </c>
      <c r="J100" t="s">
        <v>436</v>
      </c>
      <c r="L100" t="str">
        <f t="shared" si="3"/>
        <v>NonID</v>
      </c>
    </row>
    <row r="101" spans="1:13" hidden="1" x14ac:dyDescent="0.45">
      <c r="A101" t="s">
        <v>19</v>
      </c>
      <c r="B101" t="s">
        <v>63</v>
      </c>
      <c r="C101">
        <v>0.99999983087729027</v>
      </c>
      <c r="D101">
        <v>0.8</v>
      </c>
      <c r="E101">
        <v>0.99330712690641232</v>
      </c>
      <c r="G101" t="str">
        <f t="shared" si="2"/>
        <v>W</v>
      </c>
      <c r="H101" t="s">
        <v>263</v>
      </c>
      <c r="I101" t="s">
        <v>264</v>
      </c>
      <c r="J101" t="s">
        <v>420</v>
      </c>
      <c r="L101" t="str">
        <f t="shared" si="3"/>
        <v>NonID</v>
      </c>
    </row>
    <row r="102" spans="1:13" hidden="1" x14ac:dyDescent="0.45">
      <c r="A102" t="s">
        <v>75</v>
      </c>
      <c r="B102" t="s">
        <v>75</v>
      </c>
      <c r="C102">
        <v>0.20199121469216871</v>
      </c>
      <c r="D102">
        <v>0.8</v>
      </c>
      <c r="E102">
        <v>0.99752740325115785</v>
      </c>
      <c r="G102" t="str">
        <f t="shared" si="2"/>
        <v>.</v>
      </c>
      <c r="H102" s="8" t="s">
        <v>265</v>
      </c>
      <c r="I102" s="8" t="s">
        <v>266</v>
      </c>
      <c r="J102" s="8" t="s">
        <v>429</v>
      </c>
      <c r="L102" t="str">
        <f t="shared" si="3"/>
        <v>.</v>
      </c>
    </row>
    <row r="103" spans="1:13" hidden="1" x14ac:dyDescent="0.45">
      <c r="A103" t="s">
        <v>57</v>
      </c>
      <c r="B103" t="s">
        <v>63</v>
      </c>
      <c r="C103">
        <v>0.99999986075035252</v>
      </c>
      <c r="D103">
        <v>0.8</v>
      </c>
      <c r="E103">
        <v>0.97702216176622525</v>
      </c>
      <c r="G103" t="str">
        <f t="shared" si="2"/>
        <v>W</v>
      </c>
      <c r="H103" t="s">
        <v>267</v>
      </c>
      <c r="I103" t="s">
        <v>99</v>
      </c>
      <c r="J103" t="s">
        <v>420</v>
      </c>
      <c r="L103" t="str">
        <f t="shared" si="3"/>
        <v>NonID</v>
      </c>
    </row>
    <row r="104" spans="1:13" hidden="1" x14ac:dyDescent="0.45">
      <c r="A104" t="s">
        <v>57</v>
      </c>
      <c r="B104" t="s">
        <v>63</v>
      </c>
      <c r="C104">
        <v>0.99990423833128594</v>
      </c>
      <c r="D104">
        <v>0.8</v>
      </c>
      <c r="E104">
        <v>0.49999505188664051</v>
      </c>
      <c r="G104" t="str">
        <f t="shared" si="2"/>
        <v>W</v>
      </c>
      <c r="H104" t="s">
        <v>268</v>
      </c>
      <c r="I104" t="s">
        <v>99</v>
      </c>
      <c r="J104" t="s">
        <v>420</v>
      </c>
      <c r="L104" t="str">
        <f t="shared" si="3"/>
        <v>NonID</v>
      </c>
    </row>
    <row r="105" spans="1:13" hidden="1" x14ac:dyDescent="0.45">
      <c r="A105" t="s">
        <v>61</v>
      </c>
      <c r="B105" t="s">
        <v>61</v>
      </c>
      <c r="C105">
        <v>0.22345001034303141</v>
      </c>
      <c r="D105">
        <v>0.8</v>
      </c>
      <c r="E105">
        <v>0.97068758878823203</v>
      </c>
      <c r="G105" t="str">
        <f t="shared" si="2"/>
        <v>.</v>
      </c>
      <c r="H105" s="8" t="s">
        <v>269</v>
      </c>
      <c r="I105" s="8" t="s">
        <v>270</v>
      </c>
      <c r="J105" s="8" t="s">
        <v>416</v>
      </c>
      <c r="L105" t="str">
        <f t="shared" si="3"/>
        <v>.</v>
      </c>
    </row>
    <row r="106" spans="1:13" hidden="1" x14ac:dyDescent="0.45">
      <c r="A106" t="s">
        <v>57</v>
      </c>
      <c r="B106" t="s">
        <v>63</v>
      </c>
      <c r="C106">
        <v>0.99999985430380656</v>
      </c>
      <c r="D106">
        <v>0.8</v>
      </c>
      <c r="E106">
        <v>0.81757402884027097</v>
      </c>
      <c r="G106" t="str">
        <f t="shared" si="2"/>
        <v>W</v>
      </c>
      <c r="H106" t="s">
        <v>271</v>
      </c>
      <c r="I106" t="s">
        <v>99</v>
      </c>
      <c r="J106" t="s">
        <v>420</v>
      </c>
      <c r="L106" t="str">
        <f t="shared" si="3"/>
        <v>NonID</v>
      </c>
    </row>
    <row r="107" spans="1:13" hidden="1" x14ac:dyDescent="0.45">
      <c r="A107" t="s">
        <v>74</v>
      </c>
      <c r="B107" t="s">
        <v>74</v>
      </c>
      <c r="C107">
        <v>0.20253813630402071</v>
      </c>
      <c r="D107">
        <v>0.8</v>
      </c>
      <c r="E107">
        <v>0.99682732998531542</v>
      </c>
      <c r="G107" t="str">
        <f t="shared" si="2"/>
        <v>.</v>
      </c>
      <c r="H107" s="8" t="s">
        <v>272</v>
      </c>
      <c r="I107" s="8" t="s">
        <v>273</v>
      </c>
      <c r="J107" s="8" t="s">
        <v>426</v>
      </c>
      <c r="L107" t="str">
        <f t="shared" si="3"/>
        <v>.</v>
      </c>
    </row>
    <row r="108" spans="1:13" hidden="1" x14ac:dyDescent="0.45">
      <c r="A108" t="s">
        <v>19</v>
      </c>
      <c r="B108" t="s">
        <v>63</v>
      </c>
      <c r="C108">
        <v>1</v>
      </c>
      <c r="D108">
        <v>0.8</v>
      </c>
      <c r="E108">
        <v>2.9312190905031461E-2</v>
      </c>
      <c r="G108" t="str">
        <f t="shared" si="2"/>
        <v>W</v>
      </c>
      <c r="H108" t="s">
        <v>274</v>
      </c>
      <c r="I108" t="s">
        <v>99</v>
      </c>
      <c r="J108" t="s">
        <v>421</v>
      </c>
      <c r="L108" t="str">
        <f t="shared" si="3"/>
        <v>NonID</v>
      </c>
    </row>
    <row r="109" spans="1:13" hidden="1" x14ac:dyDescent="0.45">
      <c r="A109" t="s">
        <v>74</v>
      </c>
      <c r="B109" t="s">
        <v>74</v>
      </c>
      <c r="C109">
        <v>0.2003444612851509</v>
      </c>
      <c r="D109">
        <v>0.8</v>
      </c>
      <c r="E109">
        <v>0.99956942349659961</v>
      </c>
      <c r="G109" t="str">
        <f t="shared" si="2"/>
        <v>.</v>
      </c>
      <c r="H109" s="8" t="s">
        <v>275</v>
      </c>
      <c r="I109" s="8" t="s">
        <v>276</v>
      </c>
      <c r="J109" s="8" t="s">
        <v>426</v>
      </c>
      <c r="L109" t="str">
        <f t="shared" si="3"/>
        <v>.</v>
      </c>
    </row>
    <row r="110" spans="1:13" hidden="1" x14ac:dyDescent="0.45">
      <c r="A110" t="s">
        <v>19</v>
      </c>
      <c r="B110" t="s">
        <v>63</v>
      </c>
      <c r="C110">
        <v>1</v>
      </c>
      <c r="D110">
        <v>0.8</v>
      </c>
      <c r="E110">
        <v>0.99142243010824804</v>
      </c>
      <c r="G110" t="str">
        <f t="shared" si="2"/>
        <v>W</v>
      </c>
      <c r="H110" t="s">
        <v>277</v>
      </c>
      <c r="I110" t="s">
        <v>278</v>
      </c>
      <c r="J110" t="s">
        <v>437</v>
      </c>
      <c r="L110" t="str">
        <f t="shared" si="3"/>
        <v>NonID</v>
      </c>
    </row>
    <row r="111" spans="1:13" hidden="1" x14ac:dyDescent="0.45">
      <c r="A111" t="s">
        <v>78</v>
      </c>
      <c r="B111" t="s">
        <v>78</v>
      </c>
      <c r="C111">
        <v>0.68485049819017785</v>
      </c>
      <c r="D111">
        <v>0.8</v>
      </c>
      <c r="E111">
        <v>0.99995451003057012</v>
      </c>
      <c r="G111" t="str">
        <f t="shared" si="2"/>
        <v>.</v>
      </c>
      <c r="H111" s="8" t="s">
        <v>279</v>
      </c>
      <c r="I111" s="8" t="s">
        <v>99</v>
      </c>
      <c r="J111" s="8" t="s">
        <v>429</v>
      </c>
      <c r="L111" s="13" t="str">
        <f t="shared" si="3"/>
        <v>NonID</v>
      </c>
      <c r="M111" s="8" t="s">
        <v>514</v>
      </c>
    </row>
    <row r="112" spans="1:13" hidden="1" x14ac:dyDescent="0.45">
      <c r="A112" t="s">
        <v>19</v>
      </c>
      <c r="B112" t="s">
        <v>63</v>
      </c>
      <c r="C112">
        <v>1</v>
      </c>
      <c r="D112">
        <v>0.8</v>
      </c>
      <c r="E112">
        <v>0.99883045900532441</v>
      </c>
      <c r="G112" t="str">
        <f t="shared" si="2"/>
        <v>W</v>
      </c>
      <c r="H112" t="s">
        <v>280</v>
      </c>
      <c r="I112" t="s">
        <v>281</v>
      </c>
      <c r="J112" t="s">
        <v>418</v>
      </c>
      <c r="L112" t="str">
        <f t="shared" si="3"/>
        <v>NonID</v>
      </c>
    </row>
    <row r="113" spans="1:13" hidden="1" x14ac:dyDescent="0.45">
      <c r="A113" t="s">
        <v>9</v>
      </c>
      <c r="B113" t="s">
        <v>61</v>
      </c>
      <c r="C113">
        <v>0.50706233370323583</v>
      </c>
      <c r="D113">
        <v>0.8</v>
      </c>
      <c r="E113">
        <v>0.62245812407778101</v>
      </c>
      <c r="G113" t="str">
        <f t="shared" si="2"/>
        <v>W</v>
      </c>
      <c r="H113" t="s">
        <v>282</v>
      </c>
      <c r="I113" t="s">
        <v>99</v>
      </c>
      <c r="J113" t="s">
        <v>420</v>
      </c>
      <c r="L113" t="str">
        <f t="shared" si="3"/>
        <v>NonID</v>
      </c>
    </row>
    <row r="114" spans="1:13" hidden="1" x14ac:dyDescent="0.45">
      <c r="A114" t="s">
        <v>57</v>
      </c>
      <c r="B114" t="s">
        <v>63</v>
      </c>
      <c r="C114">
        <v>0.99991253832961913</v>
      </c>
      <c r="D114">
        <v>0.8</v>
      </c>
      <c r="E114">
        <v>0.77729949583014746</v>
      </c>
      <c r="G114" t="str">
        <f t="shared" si="2"/>
        <v>W</v>
      </c>
      <c r="H114" t="s">
        <v>283</v>
      </c>
      <c r="I114" t="s">
        <v>99</v>
      </c>
      <c r="J114" t="s">
        <v>420</v>
      </c>
      <c r="L114" t="str">
        <f t="shared" si="3"/>
        <v>NonID</v>
      </c>
    </row>
    <row r="115" spans="1:13" hidden="1" x14ac:dyDescent="0.45">
      <c r="A115" t="s">
        <v>57</v>
      </c>
      <c r="B115" t="s">
        <v>79</v>
      </c>
      <c r="C115">
        <v>0.20000635389311711</v>
      </c>
      <c r="D115">
        <v>0.8</v>
      </c>
      <c r="E115">
        <v>0.99999205818100989</v>
      </c>
      <c r="G115" t="str">
        <f t="shared" si="2"/>
        <v>W</v>
      </c>
      <c r="H115" t="s">
        <v>284</v>
      </c>
      <c r="I115" t="s">
        <v>99</v>
      </c>
      <c r="J115" t="s">
        <v>434</v>
      </c>
      <c r="L115" s="13" t="str">
        <f t="shared" si="3"/>
        <v>.</v>
      </c>
      <c r="M115" t="s">
        <v>514</v>
      </c>
    </row>
    <row r="116" spans="1:13" hidden="1" x14ac:dyDescent="0.45">
      <c r="A116" t="s">
        <v>57</v>
      </c>
      <c r="B116" t="s">
        <v>63</v>
      </c>
      <c r="C116">
        <v>1</v>
      </c>
      <c r="D116">
        <v>0.8</v>
      </c>
      <c r="E116">
        <v>0.98201365898706472</v>
      </c>
      <c r="G116" t="str">
        <f t="shared" si="2"/>
        <v>W</v>
      </c>
      <c r="H116" t="s">
        <v>285</v>
      </c>
      <c r="I116" t="s">
        <v>99</v>
      </c>
      <c r="J116" t="s">
        <v>418</v>
      </c>
      <c r="L116" t="str">
        <f t="shared" si="3"/>
        <v>NonID</v>
      </c>
    </row>
    <row r="117" spans="1:13" hidden="1" x14ac:dyDescent="0.45">
      <c r="A117" t="s">
        <v>75</v>
      </c>
      <c r="B117" t="s">
        <v>75</v>
      </c>
      <c r="C117">
        <v>0.20000639103773571</v>
      </c>
      <c r="D117">
        <v>0.8</v>
      </c>
      <c r="E117">
        <v>0.99999205818100989</v>
      </c>
      <c r="G117" t="str">
        <f t="shared" si="2"/>
        <v>.</v>
      </c>
      <c r="H117" s="8" t="s">
        <v>286</v>
      </c>
      <c r="I117" s="8" t="s">
        <v>287</v>
      </c>
      <c r="J117" s="8" t="s">
        <v>429</v>
      </c>
      <c r="L117" t="str">
        <f t="shared" si="3"/>
        <v>.</v>
      </c>
    </row>
    <row r="118" spans="1:13" hidden="1" x14ac:dyDescent="0.45">
      <c r="A118" t="s">
        <v>9</v>
      </c>
      <c r="B118" t="s">
        <v>63</v>
      </c>
      <c r="C118">
        <v>0.99988270741765561</v>
      </c>
      <c r="D118">
        <v>0.8</v>
      </c>
      <c r="E118">
        <v>0.99592978540693999</v>
      </c>
      <c r="G118" t="str">
        <f t="shared" si="2"/>
        <v>W</v>
      </c>
      <c r="H118" t="s">
        <v>288</v>
      </c>
      <c r="I118" t="s">
        <v>289</v>
      </c>
      <c r="J118" t="s">
        <v>420</v>
      </c>
      <c r="L118" t="str">
        <f t="shared" si="3"/>
        <v>NonID</v>
      </c>
    </row>
    <row r="119" spans="1:13" hidden="1" x14ac:dyDescent="0.45">
      <c r="A119" t="s">
        <v>57</v>
      </c>
      <c r="B119" t="s">
        <v>63</v>
      </c>
      <c r="C119">
        <v>0.99998525924144133</v>
      </c>
      <c r="D119">
        <v>0.8</v>
      </c>
      <c r="E119">
        <v>0.95257324277597333</v>
      </c>
      <c r="G119" t="str">
        <f t="shared" si="2"/>
        <v>W</v>
      </c>
      <c r="H119" t="s">
        <v>290</v>
      </c>
      <c r="I119" t="s">
        <v>99</v>
      </c>
      <c r="J119" t="s">
        <v>420</v>
      </c>
      <c r="L119" t="str">
        <f t="shared" si="3"/>
        <v>NonID</v>
      </c>
    </row>
    <row r="120" spans="1:13" hidden="1" x14ac:dyDescent="0.45">
      <c r="A120" t="s">
        <v>19</v>
      </c>
      <c r="B120" t="s">
        <v>63</v>
      </c>
      <c r="C120">
        <v>1</v>
      </c>
      <c r="D120">
        <v>0.8</v>
      </c>
      <c r="E120">
        <v>0.99995451003057012</v>
      </c>
      <c r="G120" t="str">
        <f t="shared" si="2"/>
        <v>W</v>
      </c>
      <c r="H120" t="s">
        <v>291</v>
      </c>
      <c r="I120" t="s">
        <v>292</v>
      </c>
      <c r="J120" t="s">
        <v>436</v>
      </c>
      <c r="L120" t="str">
        <f t="shared" si="3"/>
        <v>NonID</v>
      </c>
    </row>
    <row r="121" spans="1:13" hidden="1" x14ac:dyDescent="0.45">
      <c r="A121" t="s">
        <v>57</v>
      </c>
      <c r="B121" t="s">
        <v>63</v>
      </c>
      <c r="C121">
        <v>0.99999985105707589</v>
      </c>
      <c r="D121">
        <v>0.8</v>
      </c>
      <c r="E121">
        <v>0.99592990413102933</v>
      </c>
      <c r="G121" t="str">
        <f t="shared" si="2"/>
        <v>W</v>
      </c>
      <c r="H121" t="s">
        <v>293</v>
      </c>
      <c r="I121" t="s">
        <v>99</v>
      </c>
      <c r="J121" t="s">
        <v>420</v>
      </c>
      <c r="L121" t="str">
        <f t="shared" si="3"/>
        <v>NonID</v>
      </c>
    </row>
    <row r="122" spans="1:13" hidden="1" x14ac:dyDescent="0.45">
      <c r="A122" t="s">
        <v>84</v>
      </c>
      <c r="B122" t="s">
        <v>84</v>
      </c>
      <c r="C122">
        <v>0.2002304768902409</v>
      </c>
      <c r="D122">
        <v>0.8</v>
      </c>
      <c r="E122">
        <v>0.99996452273258829</v>
      </c>
      <c r="G122" t="str">
        <f t="shared" si="2"/>
        <v>.</v>
      </c>
      <c r="H122" s="8" t="s">
        <v>294</v>
      </c>
      <c r="I122" s="8" t="s">
        <v>295</v>
      </c>
      <c r="J122" s="8" t="s">
        <v>438</v>
      </c>
      <c r="L122" t="str">
        <f t="shared" si="3"/>
        <v>.</v>
      </c>
    </row>
    <row r="123" spans="1:13" hidden="1" x14ac:dyDescent="0.45">
      <c r="A123" t="s">
        <v>76</v>
      </c>
      <c r="B123" t="s">
        <v>76</v>
      </c>
      <c r="C123">
        <v>0.20007724781516459</v>
      </c>
      <c r="D123">
        <v>0.8</v>
      </c>
      <c r="E123">
        <v>0.99990385206411014</v>
      </c>
      <c r="G123" t="str">
        <f t="shared" si="2"/>
        <v>.</v>
      </c>
      <c r="H123" s="8" t="s">
        <v>296</v>
      </c>
      <c r="I123" s="8" t="s">
        <v>297</v>
      </c>
      <c r="J123" s="8" t="s">
        <v>439</v>
      </c>
      <c r="L123" t="str">
        <f t="shared" si="3"/>
        <v>.</v>
      </c>
    </row>
    <row r="124" spans="1:13" hidden="1" x14ac:dyDescent="0.45">
      <c r="A124" t="s">
        <v>74</v>
      </c>
      <c r="B124" t="s">
        <v>74</v>
      </c>
      <c r="C124">
        <v>0.20072883882428261</v>
      </c>
      <c r="D124">
        <v>0.8</v>
      </c>
      <c r="E124">
        <v>0.99908895173900303</v>
      </c>
      <c r="G124" t="str">
        <f t="shared" si="2"/>
        <v>.</v>
      </c>
      <c r="H124" s="8" t="s">
        <v>298</v>
      </c>
      <c r="I124" s="8" t="s">
        <v>299</v>
      </c>
      <c r="J124" s="8" t="s">
        <v>426</v>
      </c>
      <c r="L124" t="str">
        <f t="shared" si="3"/>
        <v>.</v>
      </c>
    </row>
    <row r="125" spans="1:13" hidden="1" x14ac:dyDescent="0.45">
      <c r="A125" t="s">
        <v>57</v>
      </c>
      <c r="B125" t="s">
        <v>63</v>
      </c>
      <c r="C125">
        <v>0.99399039049843763</v>
      </c>
      <c r="D125">
        <v>0.8</v>
      </c>
      <c r="E125">
        <v>0.37754035294858979</v>
      </c>
      <c r="G125" t="str">
        <f t="shared" si="2"/>
        <v>W</v>
      </c>
      <c r="H125" t="s">
        <v>300</v>
      </c>
      <c r="I125" t="s">
        <v>99</v>
      </c>
      <c r="J125" t="s">
        <v>420</v>
      </c>
      <c r="L125" t="str">
        <f t="shared" si="3"/>
        <v>NonID</v>
      </c>
    </row>
    <row r="126" spans="1:13" hidden="1" x14ac:dyDescent="0.45">
      <c r="A126" t="s">
        <v>19</v>
      </c>
      <c r="B126" t="s">
        <v>63</v>
      </c>
      <c r="C126">
        <v>0.99992033403620428</v>
      </c>
      <c r="D126">
        <v>0.8</v>
      </c>
      <c r="E126">
        <v>0.99966459043674005</v>
      </c>
      <c r="G126" t="str">
        <f t="shared" si="2"/>
        <v>W</v>
      </c>
      <c r="H126" t="s">
        <v>301</v>
      </c>
      <c r="I126" t="s">
        <v>302</v>
      </c>
      <c r="J126" t="s">
        <v>420</v>
      </c>
      <c r="L126" t="str">
        <f t="shared" si="3"/>
        <v>NonID</v>
      </c>
    </row>
    <row r="127" spans="1:13" hidden="1" x14ac:dyDescent="0.45">
      <c r="A127" t="s">
        <v>19</v>
      </c>
      <c r="B127" t="s">
        <v>63</v>
      </c>
      <c r="C127">
        <v>1</v>
      </c>
      <c r="D127">
        <v>0.8</v>
      </c>
      <c r="E127">
        <v>1.169510307496603E-3</v>
      </c>
      <c r="G127" t="str">
        <f t="shared" si="2"/>
        <v>W</v>
      </c>
      <c r="H127" t="s">
        <v>303</v>
      </c>
      <c r="I127" t="s">
        <v>304</v>
      </c>
      <c r="J127" t="s">
        <v>421</v>
      </c>
      <c r="L127" t="str">
        <f t="shared" si="3"/>
        <v>NonID</v>
      </c>
    </row>
    <row r="128" spans="1:13" hidden="1" x14ac:dyDescent="0.45">
      <c r="A128" t="s">
        <v>19</v>
      </c>
      <c r="B128" t="s">
        <v>79</v>
      </c>
      <c r="C128">
        <v>0.2025621734994234</v>
      </c>
      <c r="D128">
        <v>0.8</v>
      </c>
      <c r="E128">
        <v>0.99682732998531542</v>
      </c>
      <c r="G128" t="str">
        <f t="shared" si="2"/>
        <v>W</v>
      </c>
      <c r="H128" t="s">
        <v>305</v>
      </c>
      <c r="I128" t="s">
        <v>306</v>
      </c>
      <c r="J128" t="s">
        <v>434</v>
      </c>
      <c r="L128" s="13" t="str">
        <f t="shared" si="3"/>
        <v>.</v>
      </c>
      <c r="M128" t="s">
        <v>515</v>
      </c>
    </row>
    <row r="129" spans="1:13" hidden="1" x14ac:dyDescent="0.45">
      <c r="A129" t="s">
        <v>61</v>
      </c>
      <c r="B129" t="s">
        <v>61</v>
      </c>
      <c r="C129">
        <v>0.21362537128555431</v>
      </c>
      <c r="D129">
        <v>0.8</v>
      </c>
      <c r="E129">
        <v>0.98593608654391374</v>
      </c>
      <c r="G129" t="str">
        <f t="shared" si="2"/>
        <v>.</v>
      </c>
      <c r="H129" s="8" t="s">
        <v>307</v>
      </c>
      <c r="I129" s="8" t="s">
        <v>308</v>
      </c>
      <c r="J129" s="8" t="s">
        <v>416</v>
      </c>
      <c r="L129" t="str">
        <f t="shared" si="3"/>
        <v>.</v>
      </c>
    </row>
    <row r="130" spans="1:13" hidden="1" x14ac:dyDescent="0.45">
      <c r="A130" t="s">
        <v>65</v>
      </c>
      <c r="B130" t="s">
        <v>65</v>
      </c>
      <c r="C130">
        <v>0.20093563290674579</v>
      </c>
      <c r="D130">
        <v>0.8</v>
      </c>
      <c r="E130">
        <v>0.99883045900532441</v>
      </c>
      <c r="G130" t="str">
        <f t="shared" ref="G130:G193" si="4">IF(A130=B130,".","W")</f>
        <v>.</v>
      </c>
      <c r="H130" s="8" t="s">
        <v>309</v>
      </c>
      <c r="I130" s="8" t="s">
        <v>99</v>
      </c>
      <c r="J130" s="8" t="s">
        <v>427</v>
      </c>
      <c r="L130" t="str">
        <f t="shared" si="3"/>
        <v>.</v>
      </c>
    </row>
    <row r="131" spans="1:13" hidden="1" x14ac:dyDescent="0.45">
      <c r="A131" t="s">
        <v>19</v>
      </c>
      <c r="B131" t="s">
        <v>62</v>
      </c>
      <c r="C131">
        <v>0.20044231932440859</v>
      </c>
      <c r="D131">
        <v>0.8</v>
      </c>
      <c r="E131">
        <v>0.99944712016184645</v>
      </c>
      <c r="G131" t="str">
        <f t="shared" si="4"/>
        <v>W</v>
      </c>
      <c r="H131" t="s">
        <v>310</v>
      </c>
      <c r="I131" t="s">
        <v>311</v>
      </c>
      <c r="J131" t="s">
        <v>417</v>
      </c>
      <c r="L131" s="13" t="str">
        <f t="shared" ref="L131:L194" si="5">IF(C131&lt;=$L$1,".","NonID")</f>
        <v>.</v>
      </c>
      <c r="M131" t="s">
        <v>524</v>
      </c>
    </row>
    <row r="132" spans="1:13" hidden="1" x14ac:dyDescent="0.45">
      <c r="A132" t="s">
        <v>57</v>
      </c>
      <c r="B132" t="s">
        <v>63</v>
      </c>
      <c r="C132">
        <v>0.99999600854611836</v>
      </c>
      <c r="D132">
        <v>0.8</v>
      </c>
      <c r="E132">
        <v>0.85194962466416435</v>
      </c>
      <c r="G132" t="str">
        <f t="shared" si="4"/>
        <v>W</v>
      </c>
      <c r="H132" t="s">
        <v>312</v>
      </c>
      <c r="I132" t="s">
        <v>99</v>
      </c>
      <c r="J132" t="s">
        <v>420</v>
      </c>
      <c r="L132" t="str">
        <f t="shared" si="5"/>
        <v>NonID</v>
      </c>
    </row>
    <row r="133" spans="1:13" hidden="1" x14ac:dyDescent="0.45">
      <c r="A133" t="s">
        <v>57</v>
      </c>
      <c r="B133" t="s">
        <v>63</v>
      </c>
      <c r="C133">
        <v>0.99996857588083154</v>
      </c>
      <c r="D133">
        <v>0.8</v>
      </c>
      <c r="E133">
        <v>0.93991304523943053</v>
      </c>
      <c r="G133" t="str">
        <f t="shared" si="4"/>
        <v>W</v>
      </c>
      <c r="H133" t="s">
        <v>313</v>
      </c>
      <c r="I133" t="s">
        <v>99</v>
      </c>
      <c r="J133" t="s">
        <v>420</v>
      </c>
      <c r="L133" t="str">
        <f t="shared" si="5"/>
        <v>NonID</v>
      </c>
    </row>
    <row r="134" spans="1:13" hidden="1" x14ac:dyDescent="0.45">
      <c r="A134" t="s">
        <v>9</v>
      </c>
      <c r="B134" t="s">
        <v>79</v>
      </c>
      <c r="C134">
        <v>0.20009851516860519</v>
      </c>
      <c r="D134">
        <v>0.8</v>
      </c>
      <c r="E134">
        <v>0.99992506849856422</v>
      </c>
      <c r="G134" t="str">
        <f t="shared" si="4"/>
        <v>W</v>
      </c>
      <c r="H134" t="s">
        <v>314</v>
      </c>
      <c r="I134" t="s">
        <v>99</v>
      </c>
      <c r="J134" t="s">
        <v>434</v>
      </c>
      <c r="L134" t="str">
        <f t="shared" si="5"/>
        <v>.</v>
      </c>
    </row>
    <row r="135" spans="1:13" hidden="1" x14ac:dyDescent="0.45">
      <c r="A135" t="s">
        <v>9</v>
      </c>
      <c r="B135" t="s">
        <v>72</v>
      </c>
      <c r="C135">
        <v>0.31251855272985041</v>
      </c>
      <c r="D135">
        <v>0.8</v>
      </c>
      <c r="E135">
        <v>0.99477978997431815</v>
      </c>
      <c r="G135" t="str">
        <f t="shared" si="4"/>
        <v>W</v>
      </c>
      <c r="H135" t="s">
        <v>315</v>
      </c>
      <c r="I135" t="s">
        <v>99</v>
      </c>
      <c r="J135" t="s">
        <v>428</v>
      </c>
      <c r="L135" t="str">
        <f t="shared" si="5"/>
        <v>NonID</v>
      </c>
    </row>
    <row r="136" spans="1:13" hidden="1" x14ac:dyDescent="0.45">
      <c r="A136" t="s">
        <v>65</v>
      </c>
      <c r="B136" t="s">
        <v>65</v>
      </c>
      <c r="C136">
        <v>0.2032560768072991</v>
      </c>
      <c r="D136">
        <v>0.8</v>
      </c>
      <c r="E136">
        <v>0.99592990413102933</v>
      </c>
      <c r="G136" t="str">
        <f t="shared" si="4"/>
        <v>.</v>
      </c>
      <c r="H136" s="8" t="s">
        <v>316</v>
      </c>
      <c r="I136" s="8" t="s">
        <v>317</v>
      </c>
      <c r="J136" s="8" t="s">
        <v>427</v>
      </c>
      <c r="L136" t="str">
        <f t="shared" si="5"/>
        <v>.</v>
      </c>
    </row>
    <row r="137" spans="1:13" hidden="1" x14ac:dyDescent="0.45">
      <c r="A137" t="s">
        <v>19</v>
      </c>
      <c r="B137" t="s">
        <v>62</v>
      </c>
      <c r="C137">
        <v>0.200078255125578</v>
      </c>
      <c r="D137">
        <v>0.8</v>
      </c>
      <c r="E137">
        <v>0.99999372702007638</v>
      </c>
      <c r="G137" t="str">
        <f t="shared" si="4"/>
        <v>W</v>
      </c>
      <c r="H137" t="s">
        <v>318</v>
      </c>
      <c r="I137" t="s">
        <v>319</v>
      </c>
      <c r="J137" t="s">
        <v>417</v>
      </c>
      <c r="L137" s="13" t="str">
        <f t="shared" si="5"/>
        <v>.</v>
      </c>
      <c r="M137" t="s">
        <v>524</v>
      </c>
    </row>
    <row r="138" spans="1:13" hidden="1" x14ac:dyDescent="0.45">
      <c r="A138" t="s">
        <v>80</v>
      </c>
      <c r="B138" t="s">
        <v>80</v>
      </c>
      <c r="C138">
        <v>0.20000735057019661</v>
      </c>
      <c r="D138">
        <v>0.8</v>
      </c>
      <c r="E138">
        <v>0.99999932957291282</v>
      </c>
      <c r="G138" t="str">
        <f t="shared" si="4"/>
        <v>.</v>
      </c>
      <c r="H138" s="8" t="s">
        <v>320</v>
      </c>
      <c r="I138" s="8" t="s">
        <v>321</v>
      </c>
      <c r="J138" s="8" t="s">
        <v>429</v>
      </c>
      <c r="L138" t="str">
        <f t="shared" si="5"/>
        <v>.</v>
      </c>
    </row>
    <row r="139" spans="1:13" hidden="1" x14ac:dyDescent="0.45">
      <c r="A139" t="s">
        <v>73</v>
      </c>
      <c r="B139" t="s">
        <v>73</v>
      </c>
      <c r="C139">
        <v>0.200344461468658</v>
      </c>
      <c r="D139">
        <v>0.8</v>
      </c>
      <c r="E139">
        <v>0.99956942349659961</v>
      </c>
      <c r="G139" t="str">
        <f t="shared" si="4"/>
        <v>.</v>
      </c>
      <c r="H139" s="8" t="s">
        <v>322</v>
      </c>
      <c r="I139" s="8" t="s">
        <v>99</v>
      </c>
      <c r="J139" s="8" t="s">
        <v>424</v>
      </c>
      <c r="L139" t="str">
        <f t="shared" si="5"/>
        <v>.</v>
      </c>
    </row>
    <row r="140" spans="1:13" hidden="1" x14ac:dyDescent="0.45">
      <c r="A140" t="s">
        <v>61</v>
      </c>
      <c r="B140" t="s">
        <v>61</v>
      </c>
      <c r="C140">
        <v>0.2041969595383171</v>
      </c>
      <c r="D140">
        <v>0.8</v>
      </c>
      <c r="E140">
        <v>0.99477990856131726</v>
      </c>
      <c r="G140" t="str">
        <f t="shared" si="4"/>
        <v>.</v>
      </c>
      <c r="H140" s="8" t="s">
        <v>323</v>
      </c>
      <c r="I140" s="8" t="s">
        <v>324</v>
      </c>
      <c r="J140" s="8" t="s">
        <v>416</v>
      </c>
      <c r="L140" t="str">
        <f t="shared" si="5"/>
        <v>.</v>
      </c>
    </row>
    <row r="141" spans="1:13" hidden="1" x14ac:dyDescent="0.45">
      <c r="A141" t="s">
        <v>80</v>
      </c>
      <c r="B141" t="s">
        <v>80</v>
      </c>
      <c r="C141">
        <v>0.20966153847177171</v>
      </c>
      <c r="D141">
        <v>0.8</v>
      </c>
      <c r="E141">
        <v>0.99999909116577701</v>
      </c>
      <c r="G141" t="str">
        <f t="shared" si="4"/>
        <v>.</v>
      </c>
      <c r="H141" s="8" t="s">
        <v>325</v>
      </c>
      <c r="I141" s="8" t="s">
        <v>321</v>
      </c>
      <c r="J141" s="8" t="s">
        <v>429</v>
      </c>
      <c r="L141" t="str">
        <f t="shared" si="5"/>
        <v>.</v>
      </c>
    </row>
    <row r="142" spans="1:13" hidden="1" x14ac:dyDescent="0.45">
      <c r="A142" t="s">
        <v>57</v>
      </c>
      <c r="B142" t="s">
        <v>63</v>
      </c>
      <c r="C142">
        <v>0.99985206099078694</v>
      </c>
      <c r="D142">
        <v>0.8</v>
      </c>
      <c r="E142">
        <v>0.97068691800320162</v>
      </c>
      <c r="G142" t="str">
        <f t="shared" si="4"/>
        <v>W</v>
      </c>
      <c r="H142" t="s">
        <v>326</v>
      </c>
      <c r="I142" t="s">
        <v>99</v>
      </c>
      <c r="J142" t="s">
        <v>420</v>
      </c>
      <c r="L142" t="str">
        <f t="shared" si="5"/>
        <v>NonID</v>
      </c>
    </row>
    <row r="143" spans="1:13" hidden="1" x14ac:dyDescent="0.45">
      <c r="A143" t="s">
        <v>19</v>
      </c>
      <c r="B143" t="s">
        <v>62</v>
      </c>
      <c r="C143">
        <v>0.20001045554879771</v>
      </c>
      <c r="D143">
        <v>0.8</v>
      </c>
      <c r="E143">
        <v>0.99998693247732917</v>
      </c>
      <c r="G143" t="str">
        <f t="shared" si="4"/>
        <v>W</v>
      </c>
      <c r="H143" t="s">
        <v>327</v>
      </c>
      <c r="I143" t="s">
        <v>328</v>
      </c>
      <c r="J143" t="s">
        <v>417</v>
      </c>
      <c r="L143" s="13" t="str">
        <f t="shared" si="5"/>
        <v>.</v>
      </c>
      <c r="M143" t="s">
        <v>524</v>
      </c>
    </row>
    <row r="144" spans="1:13" hidden="1" x14ac:dyDescent="0.45">
      <c r="A144" t="s">
        <v>85</v>
      </c>
      <c r="B144" t="s">
        <v>85</v>
      </c>
      <c r="C144">
        <v>5.5287986456475924E-4</v>
      </c>
      <c r="D144">
        <v>1</v>
      </c>
      <c r="E144">
        <v>0.99944712016184645</v>
      </c>
      <c r="G144" t="str">
        <f t="shared" si="4"/>
        <v>.</v>
      </c>
      <c r="H144" s="8" t="s">
        <v>329</v>
      </c>
      <c r="I144" s="8" t="s">
        <v>330</v>
      </c>
      <c r="J144" s="8" t="s">
        <v>423</v>
      </c>
      <c r="L144" t="str">
        <f t="shared" si="5"/>
        <v>.</v>
      </c>
    </row>
    <row r="145" spans="1:13" hidden="1" x14ac:dyDescent="0.45">
      <c r="A145" t="s">
        <v>19</v>
      </c>
      <c r="B145" t="s">
        <v>63</v>
      </c>
      <c r="C145">
        <v>0.9999461208262076</v>
      </c>
      <c r="D145">
        <v>0.8</v>
      </c>
      <c r="E145">
        <v>0.81757371208747009</v>
      </c>
      <c r="G145" t="str">
        <f t="shared" si="4"/>
        <v>W</v>
      </c>
      <c r="H145" t="s">
        <v>331</v>
      </c>
      <c r="I145" t="s">
        <v>332</v>
      </c>
      <c r="J145" t="s">
        <v>420</v>
      </c>
      <c r="L145" t="str">
        <f t="shared" si="5"/>
        <v>NonID</v>
      </c>
    </row>
    <row r="146" spans="1:13" hidden="1" x14ac:dyDescent="0.45">
      <c r="A146" t="s">
        <v>19</v>
      </c>
      <c r="B146" t="s">
        <v>63</v>
      </c>
      <c r="C146">
        <v>1</v>
      </c>
      <c r="D146">
        <v>0.8</v>
      </c>
      <c r="E146">
        <v>7.5858117228527283E-2</v>
      </c>
      <c r="G146" t="str">
        <f t="shared" si="4"/>
        <v>W</v>
      </c>
      <c r="H146" t="s">
        <v>333</v>
      </c>
      <c r="I146" t="s">
        <v>334</v>
      </c>
      <c r="J146" t="s">
        <v>435</v>
      </c>
      <c r="L146" t="str">
        <f t="shared" si="5"/>
        <v>NonID</v>
      </c>
    </row>
    <row r="147" spans="1:13" hidden="1" x14ac:dyDescent="0.45">
      <c r="A147" t="s">
        <v>9</v>
      </c>
      <c r="B147" t="s">
        <v>71</v>
      </c>
      <c r="C147">
        <v>0.2299132603700417</v>
      </c>
      <c r="D147">
        <v>0.8</v>
      </c>
      <c r="E147">
        <v>0.96267277897766457</v>
      </c>
      <c r="G147" t="str">
        <f t="shared" si="4"/>
        <v>W</v>
      </c>
      <c r="H147" t="s">
        <v>335</v>
      </c>
      <c r="I147" t="s">
        <v>99</v>
      </c>
      <c r="J147" t="s">
        <v>426</v>
      </c>
      <c r="L147" t="str">
        <f t="shared" si="5"/>
        <v>.</v>
      </c>
    </row>
    <row r="148" spans="1:13" hidden="1" x14ac:dyDescent="0.45">
      <c r="A148" t="s">
        <v>19</v>
      </c>
      <c r="B148" t="s">
        <v>63</v>
      </c>
      <c r="C148">
        <v>0.99999913565897636</v>
      </c>
      <c r="D148">
        <v>0.8</v>
      </c>
      <c r="E148">
        <v>0.99330712690641232</v>
      </c>
      <c r="G148" t="str">
        <f t="shared" si="4"/>
        <v>W</v>
      </c>
      <c r="H148" t="s">
        <v>336</v>
      </c>
      <c r="I148" t="s">
        <v>337</v>
      </c>
      <c r="J148" t="s">
        <v>420</v>
      </c>
      <c r="L148" t="str">
        <f t="shared" si="5"/>
        <v>NonID</v>
      </c>
    </row>
    <row r="149" spans="1:13" hidden="1" x14ac:dyDescent="0.45">
      <c r="A149" t="s">
        <v>57</v>
      </c>
      <c r="B149" t="s">
        <v>63</v>
      </c>
      <c r="C149">
        <v>1</v>
      </c>
      <c r="D149">
        <v>0.8</v>
      </c>
      <c r="E149">
        <v>0.99330700849498244</v>
      </c>
      <c r="G149" t="str">
        <f t="shared" si="4"/>
        <v>W</v>
      </c>
      <c r="H149" t="s">
        <v>338</v>
      </c>
      <c r="I149" t="s">
        <v>99</v>
      </c>
      <c r="J149" t="s">
        <v>437</v>
      </c>
      <c r="L149" t="str">
        <f t="shared" si="5"/>
        <v>NonID</v>
      </c>
    </row>
    <row r="150" spans="1:13" hidden="1" x14ac:dyDescent="0.45">
      <c r="A150" t="s">
        <v>19</v>
      </c>
      <c r="B150" t="s">
        <v>78</v>
      </c>
      <c r="C150">
        <v>0.49832871593457539</v>
      </c>
      <c r="D150">
        <v>0.8</v>
      </c>
      <c r="E150">
        <v>0.99995451003057012</v>
      </c>
      <c r="G150" t="str">
        <f t="shared" si="4"/>
        <v>W</v>
      </c>
      <c r="H150" t="s">
        <v>339</v>
      </c>
      <c r="I150" t="s">
        <v>340</v>
      </c>
      <c r="J150" t="s">
        <v>429</v>
      </c>
      <c r="L150" t="str">
        <f t="shared" si="5"/>
        <v>NonID</v>
      </c>
    </row>
    <row r="151" spans="1:13" hidden="1" x14ac:dyDescent="0.45">
      <c r="A151" t="s">
        <v>57</v>
      </c>
      <c r="B151" t="s">
        <v>63</v>
      </c>
      <c r="C151">
        <v>0.99999978346829566</v>
      </c>
      <c r="D151">
        <v>0.8</v>
      </c>
      <c r="E151">
        <v>0.98593632069119785</v>
      </c>
      <c r="G151" t="str">
        <f t="shared" si="4"/>
        <v>W</v>
      </c>
      <c r="H151" t="s">
        <v>341</v>
      </c>
      <c r="I151" t="s">
        <v>99</v>
      </c>
      <c r="J151" t="s">
        <v>420</v>
      </c>
      <c r="L151" t="str">
        <f t="shared" si="5"/>
        <v>NonID</v>
      </c>
    </row>
    <row r="152" spans="1:13" hidden="1" x14ac:dyDescent="0.45">
      <c r="A152" t="s">
        <v>57</v>
      </c>
      <c r="B152" t="s">
        <v>68</v>
      </c>
      <c r="C152">
        <v>0.99659716187107783</v>
      </c>
      <c r="D152">
        <v>0.8</v>
      </c>
      <c r="E152">
        <v>8.5774767503511169E-3</v>
      </c>
      <c r="G152" t="str">
        <f t="shared" si="4"/>
        <v>W</v>
      </c>
      <c r="H152" t="s">
        <v>342</v>
      </c>
      <c r="I152" t="s">
        <v>99</v>
      </c>
      <c r="J152" t="s">
        <v>421</v>
      </c>
      <c r="L152" t="str">
        <f t="shared" si="5"/>
        <v>NonID</v>
      </c>
    </row>
    <row r="153" spans="1:13" hidden="1" x14ac:dyDescent="0.45">
      <c r="A153" t="s">
        <v>57</v>
      </c>
      <c r="B153" t="s">
        <v>84</v>
      </c>
      <c r="C153">
        <v>0.55827388552007706</v>
      </c>
      <c r="D153">
        <v>0.8</v>
      </c>
      <c r="E153">
        <v>0.99142231192149144</v>
      </c>
      <c r="G153" t="str">
        <f t="shared" si="4"/>
        <v>W</v>
      </c>
      <c r="H153" t="s">
        <v>343</v>
      </c>
      <c r="I153" t="s">
        <v>344</v>
      </c>
      <c r="J153" t="s">
        <v>438</v>
      </c>
      <c r="L153" t="str">
        <f t="shared" si="5"/>
        <v>NonID</v>
      </c>
    </row>
    <row r="154" spans="1:13" hidden="1" x14ac:dyDescent="0.45">
      <c r="A154" t="s">
        <v>79</v>
      </c>
      <c r="B154" t="s">
        <v>79</v>
      </c>
      <c r="C154">
        <v>0.2000769189239098</v>
      </c>
      <c r="D154">
        <v>0.8</v>
      </c>
      <c r="E154">
        <v>0.99990385206411014</v>
      </c>
      <c r="G154" t="str">
        <f t="shared" si="4"/>
        <v>.</v>
      </c>
      <c r="H154" s="8" t="s">
        <v>345</v>
      </c>
      <c r="I154" s="8" t="s">
        <v>99</v>
      </c>
      <c r="J154" s="8" t="s">
        <v>434</v>
      </c>
      <c r="L154" t="str">
        <f t="shared" si="5"/>
        <v>.</v>
      </c>
    </row>
    <row r="155" spans="1:13" hidden="1" x14ac:dyDescent="0.45">
      <c r="A155" t="s">
        <v>19</v>
      </c>
      <c r="B155" t="s">
        <v>62</v>
      </c>
      <c r="C155">
        <v>1.3941144938889319E-4</v>
      </c>
      <c r="D155">
        <v>1</v>
      </c>
      <c r="E155">
        <v>0.99987656475506059</v>
      </c>
      <c r="G155" t="str">
        <f t="shared" si="4"/>
        <v>W</v>
      </c>
      <c r="H155" t="s">
        <v>346</v>
      </c>
      <c r="I155" t="s">
        <v>347</v>
      </c>
      <c r="J155" t="s">
        <v>417</v>
      </c>
      <c r="L155" s="13" t="str">
        <f t="shared" si="5"/>
        <v>.</v>
      </c>
      <c r="M155" t="s">
        <v>524</v>
      </c>
    </row>
    <row r="156" spans="1:13" hidden="1" x14ac:dyDescent="0.45">
      <c r="A156" t="s">
        <v>57</v>
      </c>
      <c r="B156" t="s">
        <v>63</v>
      </c>
      <c r="C156">
        <v>0.99999833605743293</v>
      </c>
      <c r="D156">
        <v>0.8</v>
      </c>
      <c r="E156">
        <v>0.97702261672772872</v>
      </c>
      <c r="G156" t="str">
        <f t="shared" si="4"/>
        <v>W</v>
      </c>
      <c r="H156" t="s">
        <v>348</v>
      </c>
      <c r="I156" t="s">
        <v>99</v>
      </c>
      <c r="J156" t="s">
        <v>420</v>
      </c>
      <c r="L156" t="str">
        <f t="shared" si="5"/>
        <v>NonID</v>
      </c>
    </row>
    <row r="157" spans="1:13" hidden="1" x14ac:dyDescent="0.45">
      <c r="A157" t="s">
        <v>75</v>
      </c>
      <c r="B157" t="s">
        <v>75</v>
      </c>
      <c r="C157">
        <v>0.20072884048906209</v>
      </c>
      <c r="D157">
        <v>0.8</v>
      </c>
      <c r="E157">
        <v>0.99908895173900303</v>
      </c>
      <c r="G157" t="str">
        <f t="shared" si="4"/>
        <v>.</v>
      </c>
      <c r="H157" s="8" t="s">
        <v>349</v>
      </c>
      <c r="I157" s="8" t="s">
        <v>99</v>
      </c>
      <c r="J157" s="8" t="s">
        <v>429</v>
      </c>
      <c r="L157" t="str">
        <f t="shared" si="5"/>
        <v>.</v>
      </c>
    </row>
    <row r="158" spans="1:13" hidden="1" x14ac:dyDescent="0.45">
      <c r="A158" t="s">
        <v>79</v>
      </c>
      <c r="B158" t="s">
        <v>79</v>
      </c>
      <c r="C158">
        <v>0.20000149015026811</v>
      </c>
      <c r="D158">
        <v>0.8</v>
      </c>
      <c r="E158">
        <v>0.99999813753780198</v>
      </c>
      <c r="G158" t="str">
        <f t="shared" si="4"/>
        <v>.</v>
      </c>
      <c r="H158" s="8" t="s">
        <v>350</v>
      </c>
      <c r="I158" s="8" t="s">
        <v>351</v>
      </c>
      <c r="J158" s="8" t="s">
        <v>434</v>
      </c>
      <c r="L158" t="str">
        <f t="shared" si="5"/>
        <v>.</v>
      </c>
    </row>
    <row r="159" spans="1:13" hidden="1" x14ac:dyDescent="0.45">
      <c r="A159" t="s">
        <v>86</v>
      </c>
      <c r="B159" t="s">
        <v>86</v>
      </c>
      <c r="C159">
        <v>0.20002210023190101</v>
      </c>
      <c r="D159">
        <v>0.8</v>
      </c>
      <c r="E159">
        <v>0.99997238992645676</v>
      </c>
      <c r="G159" t="str">
        <f t="shared" si="4"/>
        <v>.</v>
      </c>
      <c r="H159" s="8" t="s">
        <v>352</v>
      </c>
      <c r="I159" s="8" t="s">
        <v>353</v>
      </c>
      <c r="J159" s="8" t="s">
        <v>429</v>
      </c>
      <c r="L159" t="str">
        <f t="shared" si="5"/>
        <v>.</v>
      </c>
    </row>
    <row r="160" spans="1:13" x14ac:dyDescent="0.45">
      <c r="A160" t="s">
        <v>85</v>
      </c>
      <c r="B160" t="s">
        <v>68</v>
      </c>
      <c r="C160">
        <v>5.6189234429646517E-2</v>
      </c>
      <c r="D160">
        <v>1</v>
      </c>
      <c r="E160">
        <v>0.99592990413102933</v>
      </c>
      <c r="G160" t="str">
        <f t="shared" si="4"/>
        <v>W</v>
      </c>
      <c r="H160" s="8" t="s">
        <v>354</v>
      </c>
      <c r="I160" s="8" t="s">
        <v>355</v>
      </c>
      <c r="J160" s="8" t="s">
        <v>423</v>
      </c>
      <c r="K160" s="8" t="s">
        <v>514</v>
      </c>
      <c r="L160" t="str">
        <f t="shared" si="5"/>
        <v>.</v>
      </c>
    </row>
    <row r="161" spans="1:13" hidden="1" x14ac:dyDescent="0.45">
      <c r="A161" t="s">
        <v>9</v>
      </c>
      <c r="B161" t="s">
        <v>73</v>
      </c>
      <c r="C161">
        <v>0.20253813908087009</v>
      </c>
      <c r="D161">
        <v>0.8</v>
      </c>
      <c r="E161">
        <v>0.99682732998531542</v>
      </c>
      <c r="G161" t="str">
        <f t="shared" si="4"/>
        <v>W</v>
      </c>
      <c r="H161" t="s">
        <v>356</v>
      </c>
      <c r="I161" t="s">
        <v>99</v>
      </c>
      <c r="J161" t="s">
        <v>424</v>
      </c>
      <c r="L161" t="str">
        <f t="shared" si="5"/>
        <v>.</v>
      </c>
    </row>
    <row r="162" spans="1:13" hidden="1" x14ac:dyDescent="0.45">
      <c r="A162" t="s">
        <v>19</v>
      </c>
      <c r="B162" t="s">
        <v>63</v>
      </c>
      <c r="C162">
        <v>0.99688834883482103</v>
      </c>
      <c r="D162">
        <v>0.8</v>
      </c>
      <c r="E162">
        <v>0.98201331327910268</v>
      </c>
      <c r="G162" t="str">
        <f t="shared" si="4"/>
        <v>W</v>
      </c>
      <c r="H162" t="s">
        <v>357</v>
      </c>
      <c r="I162" t="s">
        <v>358</v>
      </c>
      <c r="J162" t="s">
        <v>420</v>
      </c>
      <c r="L162" t="str">
        <f t="shared" si="5"/>
        <v>NonID</v>
      </c>
    </row>
    <row r="163" spans="1:13" hidden="1" x14ac:dyDescent="0.45">
      <c r="A163" t="s">
        <v>57</v>
      </c>
      <c r="B163" t="s">
        <v>63</v>
      </c>
      <c r="C163">
        <v>0.96474020485094414</v>
      </c>
      <c r="D163">
        <v>0.8</v>
      </c>
      <c r="E163">
        <v>0.96267288297850162</v>
      </c>
      <c r="G163" t="str">
        <f t="shared" si="4"/>
        <v>W</v>
      </c>
      <c r="H163" t="s">
        <v>359</v>
      </c>
      <c r="I163" t="s">
        <v>99</v>
      </c>
      <c r="J163" t="s">
        <v>420</v>
      </c>
      <c r="L163" t="str">
        <f t="shared" si="5"/>
        <v>NonID</v>
      </c>
    </row>
    <row r="164" spans="1:13" hidden="1" x14ac:dyDescent="0.45">
      <c r="A164" t="s">
        <v>19</v>
      </c>
      <c r="B164" t="s">
        <v>68</v>
      </c>
      <c r="C164">
        <v>0.88373595844088815</v>
      </c>
      <c r="D164">
        <v>0.8</v>
      </c>
      <c r="E164">
        <v>0.1480468554755256</v>
      </c>
      <c r="G164" t="str">
        <f t="shared" si="4"/>
        <v>W</v>
      </c>
      <c r="H164" t="s">
        <v>360</v>
      </c>
      <c r="I164" t="s">
        <v>361</v>
      </c>
      <c r="J164" t="s">
        <v>420</v>
      </c>
      <c r="L164" t="str">
        <f t="shared" si="5"/>
        <v>NonID</v>
      </c>
    </row>
    <row r="165" spans="1:13" hidden="1" x14ac:dyDescent="0.45">
      <c r="A165" t="s">
        <v>57</v>
      </c>
      <c r="B165" t="s">
        <v>63</v>
      </c>
      <c r="C165">
        <v>1</v>
      </c>
      <c r="D165">
        <v>0.8</v>
      </c>
      <c r="E165">
        <v>0.88079431690861987</v>
      </c>
      <c r="G165" t="str">
        <f t="shared" si="4"/>
        <v>W</v>
      </c>
      <c r="H165" t="s">
        <v>362</v>
      </c>
      <c r="I165" t="s">
        <v>99</v>
      </c>
      <c r="J165" t="s">
        <v>420</v>
      </c>
      <c r="L165" t="str">
        <f t="shared" si="5"/>
        <v>NonID</v>
      </c>
    </row>
    <row r="166" spans="1:13" hidden="1" x14ac:dyDescent="0.45">
      <c r="A166" t="s">
        <v>9</v>
      </c>
      <c r="B166" t="s">
        <v>68</v>
      </c>
      <c r="C166">
        <v>0.29825454574632848</v>
      </c>
      <c r="D166">
        <v>1</v>
      </c>
      <c r="E166">
        <v>0.73105404672388985</v>
      </c>
      <c r="G166" t="str">
        <f t="shared" si="4"/>
        <v>W</v>
      </c>
      <c r="H166" t="s">
        <v>363</v>
      </c>
      <c r="I166" t="s">
        <v>99</v>
      </c>
      <c r="J166" t="s">
        <v>420</v>
      </c>
      <c r="L166" t="str">
        <f t="shared" si="5"/>
        <v>NonID</v>
      </c>
    </row>
    <row r="167" spans="1:13" hidden="1" x14ac:dyDescent="0.45">
      <c r="A167" t="s">
        <v>57</v>
      </c>
      <c r="B167" t="s">
        <v>63</v>
      </c>
      <c r="C167">
        <v>0.99988072561932617</v>
      </c>
      <c r="D167">
        <v>0.8</v>
      </c>
      <c r="E167">
        <v>0.9399108393291814</v>
      </c>
      <c r="G167" t="str">
        <f t="shared" si="4"/>
        <v>W</v>
      </c>
      <c r="H167" t="s">
        <v>364</v>
      </c>
      <c r="I167" t="s">
        <v>99</v>
      </c>
      <c r="J167" t="s">
        <v>420</v>
      </c>
      <c r="L167" t="str">
        <f t="shared" si="5"/>
        <v>NonID</v>
      </c>
    </row>
    <row r="168" spans="1:13" x14ac:dyDescent="0.45">
      <c r="A168" t="s">
        <v>86</v>
      </c>
      <c r="B168" t="s">
        <v>78</v>
      </c>
      <c r="C168">
        <v>0.67367376089242137</v>
      </c>
      <c r="D168">
        <v>0.8</v>
      </c>
      <c r="E168">
        <v>0.96267211193808078</v>
      </c>
      <c r="G168" t="str">
        <f t="shared" si="4"/>
        <v>W</v>
      </c>
      <c r="H168" s="8" t="s">
        <v>365</v>
      </c>
      <c r="I168" s="8" t="s">
        <v>366</v>
      </c>
      <c r="J168" s="8" t="s">
        <v>429</v>
      </c>
      <c r="K168" s="8" t="s">
        <v>515</v>
      </c>
      <c r="L168" s="13" t="str">
        <f t="shared" si="5"/>
        <v>NonID</v>
      </c>
      <c r="M168" s="8" t="s">
        <v>515</v>
      </c>
    </row>
    <row r="169" spans="1:13" hidden="1" x14ac:dyDescent="0.45">
      <c r="A169" t="s">
        <v>19</v>
      </c>
      <c r="B169" t="s">
        <v>63</v>
      </c>
      <c r="C169">
        <v>0.99327812499515444</v>
      </c>
      <c r="D169">
        <v>0.8</v>
      </c>
      <c r="E169">
        <v>0.99807322600355197</v>
      </c>
      <c r="G169" t="str">
        <f t="shared" si="4"/>
        <v>W</v>
      </c>
      <c r="H169" t="s">
        <v>367</v>
      </c>
      <c r="I169" t="s">
        <v>368</v>
      </c>
      <c r="J169" t="s">
        <v>420</v>
      </c>
      <c r="L169" t="str">
        <f t="shared" si="5"/>
        <v>NonID</v>
      </c>
    </row>
    <row r="170" spans="1:13" hidden="1" x14ac:dyDescent="0.45">
      <c r="A170" t="s">
        <v>73</v>
      </c>
      <c r="B170" t="s">
        <v>73</v>
      </c>
      <c r="C170">
        <v>0.20878970683174131</v>
      </c>
      <c r="D170">
        <v>0.8</v>
      </c>
      <c r="E170">
        <v>0.9890128691951352</v>
      </c>
      <c r="G170" t="str">
        <f t="shared" si="4"/>
        <v>.</v>
      </c>
      <c r="H170" s="8" t="s">
        <v>369</v>
      </c>
      <c r="I170" s="8" t="s">
        <v>99</v>
      </c>
      <c r="J170" s="8" t="s">
        <v>424</v>
      </c>
      <c r="L170" t="str">
        <f t="shared" si="5"/>
        <v>.</v>
      </c>
    </row>
    <row r="171" spans="1:13" hidden="1" x14ac:dyDescent="0.45">
      <c r="A171" t="s">
        <v>73</v>
      </c>
      <c r="B171" t="s">
        <v>73</v>
      </c>
      <c r="C171">
        <v>0.20012678064837311</v>
      </c>
      <c r="D171">
        <v>0.8</v>
      </c>
      <c r="E171">
        <v>0.99984152748927191</v>
      </c>
      <c r="G171" t="str">
        <f t="shared" si="4"/>
        <v>.</v>
      </c>
      <c r="H171" s="8" t="s">
        <v>370</v>
      </c>
      <c r="I171" s="8" t="s">
        <v>371</v>
      </c>
      <c r="J171" s="8" t="s">
        <v>424</v>
      </c>
      <c r="L171" t="str">
        <f t="shared" si="5"/>
        <v>.</v>
      </c>
    </row>
    <row r="172" spans="1:13" hidden="1" x14ac:dyDescent="0.45">
      <c r="A172" t="s">
        <v>74</v>
      </c>
      <c r="B172" t="s">
        <v>74</v>
      </c>
      <c r="C172">
        <v>0.21125154901977161</v>
      </c>
      <c r="D172">
        <v>0.8</v>
      </c>
      <c r="E172">
        <v>0.98593585515135818</v>
      </c>
      <c r="G172" t="str">
        <f t="shared" si="4"/>
        <v>.</v>
      </c>
      <c r="H172" s="8" t="s">
        <v>372</v>
      </c>
      <c r="I172" s="8" t="s">
        <v>99</v>
      </c>
      <c r="J172" s="8" t="s">
        <v>426</v>
      </c>
      <c r="L172" s="13" t="str">
        <f t="shared" si="5"/>
        <v>.</v>
      </c>
      <c r="M172" s="8" t="s">
        <v>514</v>
      </c>
    </row>
    <row r="173" spans="1:13" hidden="1" x14ac:dyDescent="0.45">
      <c r="A173" t="s">
        <v>57</v>
      </c>
      <c r="B173" t="s">
        <v>63</v>
      </c>
      <c r="C173">
        <v>0.99999993474901339</v>
      </c>
      <c r="D173">
        <v>0.8</v>
      </c>
      <c r="E173">
        <v>0.98593632069119785</v>
      </c>
      <c r="G173" t="str">
        <f t="shared" si="4"/>
        <v>W</v>
      </c>
      <c r="H173" t="s">
        <v>373</v>
      </c>
      <c r="I173" t="s">
        <v>99</v>
      </c>
      <c r="J173" t="s">
        <v>420</v>
      </c>
      <c r="L173" t="str">
        <f t="shared" si="5"/>
        <v>NonID</v>
      </c>
    </row>
    <row r="174" spans="1:13" hidden="1" x14ac:dyDescent="0.45">
      <c r="A174" t="s">
        <v>57</v>
      </c>
      <c r="B174" t="s">
        <v>63</v>
      </c>
      <c r="C174">
        <v>0.99927431402284594</v>
      </c>
      <c r="D174">
        <v>0.8</v>
      </c>
      <c r="E174">
        <v>0.67917819046514238</v>
      </c>
      <c r="G174" t="str">
        <f t="shared" si="4"/>
        <v>W</v>
      </c>
      <c r="H174" t="s">
        <v>374</v>
      </c>
      <c r="I174" t="s">
        <v>99</v>
      </c>
      <c r="J174" t="s">
        <v>420</v>
      </c>
      <c r="L174" t="str">
        <f t="shared" si="5"/>
        <v>NonID</v>
      </c>
    </row>
    <row r="175" spans="1:13" hidden="1" x14ac:dyDescent="0.45">
      <c r="A175" t="s">
        <v>19</v>
      </c>
      <c r="B175" t="s">
        <v>63</v>
      </c>
      <c r="C175">
        <v>1</v>
      </c>
      <c r="D175">
        <v>0.8</v>
      </c>
      <c r="E175">
        <v>0.99807322600355197</v>
      </c>
      <c r="G175" t="str">
        <f t="shared" si="4"/>
        <v>W</v>
      </c>
      <c r="H175" t="s">
        <v>375</v>
      </c>
      <c r="I175" t="s">
        <v>376</v>
      </c>
      <c r="J175" t="s">
        <v>425</v>
      </c>
      <c r="L175" t="str">
        <f t="shared" si="5"/>
        <v>NonID</v>
      </c>
    </row>
    <row r="176" spans="1:13" hidden="1" x14ac:dyDescent="0.45">
      <c r="A176" t="s">
        <v>74</v>
      </c>
      <c r="B176" t="s">
        <v>74</v>
      </c>
      <c r="C176">
        <v>0.2001628162632714</v>
      </c>
      <c r="D176">
        <v>0.8</v>
      </c>
      <c r="E176">
        <v>0.99979648032432844</v>
      </c>
      <c r="G176" t="str">
        <f t="shared" si="4"/>
        <v>.</v>
      </c>
      <c r="H176" s="8" t="s">
        <v>377</v>
      </c>
      <c r="I176" s="8" t="s">
        <v>378</v>
      </c>
      <c r="J176" s="8" t="s">
        <v>426</v>
      </c>
      <c r="L176" t="str">
        <f t="shared" si="5"/>
        <v>.</v>
      </c>
    </row>
    <row r="177" spans="1:13" hidden="1" x14ac:dyDescent="0.45">
      <c r="A177" t="s">
        <v>74</v>
      </c>
      <c r="B177" t="s">
        <v>74</v>
      </c>
      <c r="C177">
        <v>0.20001722618983689</v>
      </c>
      <c r="D177">
        <v>0.8</v>
      </c>
      <c r="E177">
        <v>0.99997846916345023</v>
      </c>
      <c r="G177" t="str">
        <f t="shared" si="4"/>
        <v>.</v>
      </c>
      <c r="H177" s="8" t="s">
        <v>379</v>
      </c>
      <c r="I177" s="8" t="s">
        <v>380</v>
      </c>
      <c r="J177" s="8" t="s">
        <v>426</v>
      </c>
      <c r="L177" t="str">
        <f t="shared" si="5"/>
        <v>.</v>
      </c>
    </row>
    <row r="178" spans="1:13" hidden="1" x14ac:dyDescent="0.45">
      <c r="A178" t="s">
        <v>19</v>
      </c>
      <c r="B178" t="s">
        <v>87</v>
      </c>
      <c r="C178">
        <v>0.62160655532101017</v>
      </c>
      <c r="D178">
        <v>0.8</v>
      </c>
      <c r="E178">
        <v>0.81757418721671737</v>
      </c>
      <c r="G178" t="str">
        <f t="shared" si="4"/>
        <v>W</v>
      </c>
      <c r="H178" t="s">
        <v>381</v>
      </c>
      <c r="I178" t="s">
        <v>382</v>
      </c>
      <c r="J178" t="s">
        <v>420</v>
      </c>
      <c r="L178" t="str">
        <f t="shared" si="5"/>
        <v>NonID</v>
      </c>
    </row>
    <row r="179" spans="1:13" hidden="1" x14ac:dyDescent="0.45">
      <c r="A179" t="s">
        <v>19</v>
      </c>
      <c r="B179" t="s">
        <v>62</v>
      </c>
      <c r="C179">
        <v>0.2002683753018828</v>
      </c>
      <c r="D179">
        <v>0.8</v>
      </c>
      <c r="E179">
        <v>0.99966459043674005</v>
      </c>
      <c r="G179" t="str">
        <f t="shared" si="4"/>
        <v>W</v>
      </c>
      <c r="H179" t="s">
        <v>383</v>
      </c>
      <c r="I179" t="s">
        <v>384</v>
      </c>
      <c r="J179" t="s">
        <v>417</v>
      </c>
      <c r="L179" s="13" t="str">
        <f t="shared" si="5"/>
        <v>.</v>
      </c>
      <c r="M179" t="s">
        <v>524</v>
      </c>
    </row>
    <row r="180" spans="1:13" hidden="1" x14ac:dyDescent="0.45">
      <c r="A180" t="s">
        <v>85</v>
      </c>
      <c r="B180" t="s">
        <v>85</v>
      </c>
      <c r="C180">
        <v>4.7426978456340363E-2</v>
      </c>
      <c r="D180">
        <v>1</v>
      </c>
      <c r="E180">
        <v>0.95257302631067453</v>
      </c>
      <c r="G180" t="str">
        <f t="shared" si="4"/>
        <v>.</v>
      </c>
      <c r="H180" s="8" t="s">
        <v>385</v>
      </c>
      <c r="I180" s="8" t="s">
        <v>99</v>
      </c>
      <c r="J180" s="8" t="s">
        <v>423</v>
      </c>
      <c r="L180" t="str">
        <f t="shared" si="5"/>
        <v>.</v>
      </c>
    </row>
    <row r="181" spans="1:13" hidden="1" x14ac:dyDescent="0.45">
      <c r="A181" t="s">
        <v>19</v>
      </c>
      <c r="B181" t="s">
        <v>63</v>
      </c>
      <c r="C181">
        <v>1</v>
      </c>
      <c r="D181">
        <v>0.8</v>
      </c>
      <c r="E181">
        <v>0.99929032330932133</v>
      </c>
      <c r="G181" t="str">
        <f t="shared" si="4"/>
        <v>W</v>
      </c>
      <c r="H181" t="s">
        <v>386</v>
      </c>
      <c r="I181" t="s">
        <v>387</v>
      </c>
      <c r="J181" t="s">
        <v>425</v>
      </c>
      <c r="L181" t="str">
        <f t="shared" si="5"/>
        <v>NonID</v>
      </c>
    </row>
    <row r="182" spans="1:13" hidden="1" x14ac:dyDescent="0.45">
      <c r="A182" t="s">
        <v>57</v>
      </c>
      <c r="B182" t="s">
        <v>63</v>
      </c>
      <c r="C182">
        <v>0.99999995701307576</v>
      </c>
      <c r="D182">
        <v>0.8</v>
      </c>
      <c r="E182">
        <v>0.92414157141107012</v>
      </c>
      <c r="G182" t="str">
        <f t="shared" si="4"/>
        <v>W</v>
      </c>
      <c r="H182" t="s">
        <v>388</v>
      </c>
      <c r="I182" t="s">
        <v>99</v>
      </c>
      <c r="J182" t="s">
        <v>420</v>
      </c>
      <c r="L182" t="str">
        <f t="shared" si="5"/>
        <v>NonID</v>
      </c>
    </row>
    <row r="183" spans="1:13" hidden="1" x14ac:dyDescent="0.45">
      <c r="A183" t="s">
        <v>57</v>
      </c>
      <c r="B183" t="s">
        <v>63</v>
      </c>
      <c r="C183">
        <v>0.99992851094265012</v>
      </c>
      <c r="D183">
        <v>0.8</v>
      </c>
      <c r="E183">
        <v>0.9706870301020154</v>
      </c>
      <c r="G183" t="str">
        <f t="shared" si="4"/>
        <v>W</v>
      </c>
      <c r="H183" t="s">
        <v>389</v>
      </c>
      <c r="I183" t="s">
        <v>390</v>
      </c>
      <c r="J183" t="s">
        <v>420</v>
      </c>
      <c r="L183" t="str">
        <f t="shared" si="5"/>
        <v>NonID</v>
      </c>
    </row>
    <row r="184" spans="1:13" hidden="1" x14ac:dyDescent="0.45">
      <c r="A184" t="s">
        <v>78</v>
      </c>
      <c r="B184" t="s">
        <v>78</v>
      </c>
      <c r="C184">
        <v>0.2183002123203536</v>
      </c>
      <c r="D184">
        <v>0.8</v>
      </c>
      <c r="E184">
        <v>0.99997238992645676</v>
      </c>
      <c r="G184" t="str">
        <f t="shared" si="4"/>
        <v>.</v>
      </c>
      <c r="H184" s="8" t="s">
        <v>391</v>
      </c>
      <c r="I184" s="8" t="s">
        <v>392</v>
      </c>
      <c r="J184" s="8" t="s">
        <v>429</v>
      </c>
      <c r="L184" t="str">
        <f t="shared" si="5"/>
        <v>.</v>
      </c>
    </row>
    <row r="185" spans="1:13" hidden="1" x14ac:dyDescent="0.45">
      <c r="A185" t="s">
        <v>19</v>
      </c>
      <c r="B185" t="s">
        <v>63</v>
      </c>
      <c r="C185">
        <v>0.93391192763456421</v>
      </c>
      <c r="D185">
        <v>0.8</v>
      </c>
      <c r="E185">
        <v>0.97702261672772872</v>
      </c>
      <c r="G185" t="str">
        <f t="shared" si="4"/>
        <v>W</v>
      </c>
      <c r="H185" t="s">
        <v>393</v>
      </c>
      <c r="I185" t="s">
        <v>99</v>
      </c>
      <c r="J185" t="s">
        <v>420</v>
      </c>
      <c r="L185" t="str">
        <f t="shared" si="5"/>
        <v>NonID</v>
      </c>
    </row>
    <row r="186" spans="1:13" hidden="1" x14ac:dyDescent="0.45">
      <c r="A186" t="s">
        <v>57</v>
      </c>
      <c r="B186" t="s">
        <v>63</v>
      </c>
      <c r="C186">
        <v>0.86006801136664546</v>
      </c>
      <c r="D186">
        <v>0.8</v>
      </c>
      <c r="E186">
        <v>0.43781791584918672</v>
      </c>
      <c r="G186" t="str">
        <f t="shared" si="4"/>
        <v>W</v>
      </c>
      <c r="H186" t="s">
        <v>394</v>
      </c>
      <c r="I186" t="s">
        <v>99</v>
      </c>
      <c r="J186" t="s">
        <v>429</v>
      </c>
      <c r="L186" t="str">
        <f t="shared" si="5"/>
        <v>NonID</v>
      </c>
    </row>
    <row r="187" spans="1:13" x14ac:dyDescent="0.45">
      <c r="A187" t="s">
        <v>65</v>
      </c>
      <c r="B187" t="s">
        <v>63</v>
      </c>
      <c r="C187">
        <v>1</v>
      </c>
      <c r="D187">
        <v>0.8</v>
      </c>
      <c r="E187">
        <v>0.49999976062915102</v>
      </c>
      <c r="G187" t="str">
        <f t="shared" si="4"/>
        <v>W</v>
      </c>
      <c r="H187" s="8" t="s">
        <v>65</v>
      </c>
      <c r="I187" s="8" t="s">
        <v>395</v>
      </c>
      <c r="J187" s="8" t="s">
        <v>427</v>
      </c>
      <c r="K187" s="8" t="s">
        <v>515</v>
      </c>
      <c r="L187" s="13" t="str">
        <f t="shared" si="5"/>
        <v>NonID</v>
      </c>
      <c r="M187" s="8" t="s">
        <v>515</v>
      </c>
    </row>
    <row r="188" spans="1:13" hidden="1" x14ac:dyDescent="0.45">
      <c r="A188" t="s">
        <v>19</v>
      </c>
      <c r="B188" t="s">
        <v>82</v>
      </c>
      <c r="C188">
        <v>1</v>
      </c>
      <c r="D188">
        <v>0.8</v>
      </c>
      <c r="E188">
        <v>0.99997238992645676</v>
      </c>
      <c r="G188" t="str">
        <f t="shared" si="4"/>
        <v>W</v>
      </c>
      <c r="H188" t="s">
        <v>396</v>
      </c>
      <c r="I188" t="s">
        <v>397</v>
      </c>
      <c r="J188" t="s">
        <v>418</v>
      </c>
      <c r="L188" t="str">
        <f t="shared" si="5"/>
        <v>NonID</v>
      </c>
    </row>
    <row r="189" spans="1:13" hidden="1" x14ac:dyDescent="0.45">
      <c r="A189" t="s">
        <v>57</v>
      </c>
      <c r="B189" t="s">
        <v>63</v>
      </c>
      <c r="C189">
        <v>1</v>
      </c>
      <c r="D189">
        <v>0.8</v>
      </c>
      <c r="E189">
        <v>0.92413881725866975</v>
      </c>
      <c r="G189" t="str">
        <f t="shared" si="4"/>
        <v>W</v>
      </c>
      <c r="H189" t="s">
        <v>398</v>
      </c>
      <c r="I189" t="s">
        <v>399</v>
      </c>
      <c r="J189" t="s">
        <v>433</v>
      </c>
      <c r="L189" t="str">
        <f t="shared" si="5"/>
        <v>NonID</v>
      </c>
    </row>
    <row r="190" spans="1:13" hidden="1" x14ac:dyDescent="0.45">
      <c r="A190" t="s">
        <v>88</v>
      </c>
      <c r="B190" t="s">
        <v>88</v>
      </c>
      <c r="C190">
        <v>0.20013328443992409</v>
      </c>
      <c r="D190">
        <v>0.8</v>
      </c>
      <c r="E190">
        <v>0.99987656475506059</v>
      </c>
      <c r="G190" t="str">
        <f t="shared" si="4"/>
        <v>.</v>
      </c>
      <c r="H190" s="8" t="s">
        <v>400</v>
      </c>
      <c r="I190" s="8" t="s">
        <v>401</v>
      </c>
      <c r="J190" s="8" t="s">
        <v>438</v>
      </c>
      <c r="L190" t="str">
        <f t="shared" si="5"/>
        <v>.</v>
      </c>
    </row>
    <row r="191" spans="1:13" x14ac:dyDescent="0.45">
      <c r="A191" t="s">
        <v>70</v>
      </c>
      <c r="B191" t="s">
        <v>63</v>
      </c>
      <c r="C191">
        <v>1</v>
      </c>
      <c r="D191">
        <v>0.8</v>
      </c>
      <c r="E191">
        <v>1.798620273753547E-2</v>
      </c>
      <c r="G191" t="str">
        <f t="shared" si="4"/>
        <v>W</v>
      </c>
      <c r="H191" s="8" t="s">
        <v>402</v>
      </c>
      <c r="I191" s="8" t="s">
        <v>99</v>
      </c>
      <c r="J191" s="8" t="s">
        <v>421</v>
      </c>
      <c r="K191" s="8" t="s">
        <v>514</v>
      </c>
      <c r="L191" s="13" t="str">
        <f t="shared" si="5"/>
        <v>NonID</v>
      </c>
      <c r="M191" s="8" t="s">
        <v>514</v>
      </c>
    </row>
    <row r="192" spans="1:13" hidden="1" x14ac:dyDescent="0.45">
      <c r="A192" t="s">
        <v>57</v>
      </c>
      <c r="B192" t="s">
        <v>63</v>
      </c>
      <c r="C192">
        <v>0.99999868523199742</v>
      </c>
      <c r="D192">
        <v>0.8</v>
      </c>
      <c r="E192">
        <v>0.96267211193808078</v>
      </c>
      <c r="G192" t="str">
        <f t="shared" si="4"/>
        <v>W</v>
      </c>
      <c r="H192" t="s">
        <v>403</v>
      </c>
      <c r="I192" t="s">
        <v>99</v>
      </c>
      <c r="J192" t="s">
        <v>420</v>
      </c>
      <c r="L192" t="str">
        <f t="shared" si="5"/>
        <v>NonID</v>
      </c>
    </row>
    <row r="193" spans="1:13" hidden="1" x14ac:dyDescent="0.45">
      <c r="A193" t="s">
        <v>19</v>
      </c>
      <c r="B193" t="s">
        <v>62</v>
      </c>
      <c r="C193">
        <v>0.2000023484273129</v>
      </c>
      <c r="D193">
        <v>0.8</v>
      </c>
      <c r="E193">
        <v>0.99999706470747396</v>
      </c>
      <c r="G193" t="str">
        <f t="shared" si="4"/>
        <v>W</v>
      </c>
      <c r="H193" t="s">
        <v>404</v>
      </c>
      <c r="I193" t="s">
        <v>405</v>
      </c>
      <c r="J193" t="s">
        <v>417</v>
      </c>
      <c r="L193" s="13" t="str">
        <f t="shared" si="5"/>
        <v>.</v>
      </c>
      <c r="M193" t="s">
        <v>524</v>
      </c>
    </row>
    <row r="194" spans="1:13" hidden="1" x14ac:dyDescent="0.45">
      <c r="A194" t="s">
        <v>78</v>
      </c>
      <c r="B194" t="s">
        <v>78</v>
      </c>
      <c r="C194">
        <v>0.54279378172496484</v>
      </c>
      <c r="D194">
        <v>0.8</v>
      </c>
      <c r="E194">
        <v>0.99807322600355197</v>
      </c>
      <c r="G194" t="str">
        <f t="shared" ref="G194:G257" si="6">IF(A194=B194,".","W")</f>
        <v>.</v>
      </c>
      <c r="H194" s="8" t="s">
        <v>406</v>
      </c>
      <c r="I194" s="8" t="s">
        <v>407</v>
      </c>
      <c r="J194" s="8" t="s">
        <v>429</v>
      </c>
      <c r="L194" s="13" t="str">
        <f t="shared" si="5"/>
        <v>NonID</v>
      </c>
      <c r="M194" s="8" t="s">
        <v>515</v>
      </c>
    </row>
    <row r="195" spans="1:13" hidden="1" x14ac:dyDescent="0.45">
      <c r="A195" t="s">
        <v>57</v>
      </c>
      <c r="B195" t="s">
        <v>63</v>
      </c>
      <c r="C195">
        <v>0.99989918292749869</v>
      </c>
      <c r="D195">
        <v>0.8</v>
      </c>
      <c r="E195">
        <v>0.97068748030544638</v>
      </c>
      <c r="G195" t="str">
        <f t="shared" si="6"/>
        <v>W</v>
      </c>
      <c r="H195" t="s">
        <v>408</v>
      </c>
      <c r="I195" t="s">
        <v>99</v>
      </c>
      <c r="J195" t="s">
        <v>420</v>
      </c>
      <c r="L195" t="str">
        <f t="shared" ref="L195:L258" si="7">IF(C195&lt;=$L$1,".","NonID")</f>
        <v>NonID</v>
      </c>
    </row>
    <row r="196" spans="1:13" hidden="1" x14ac:dyDescent="0.45">
      <c r="A196" t="s">
        <v>57</v>
      </c>
      <c r="B196" t="s">
        <v>63</v>
      </c>
      <c r="C196">
        <v>0.67321475665436803</v>
      </c>
      <c r="D196">
        <v>0.8</v>
      </c>
      <c r="E196">
        <v>0.9706870301020154</v>
      </c>
      <c r="G196" t="str">
        <f t="shared" si="6"/>
        <v>W</v>
      </c>
      <c r="H196" t="s">
        <v>409</v>
      </c>
      <c r="I196" t="s">
        <v>390</v>
      </c>
      <c r="J196" t="s">
        <v>420</v>
      </c>
      <c r="L196" t="str">
        <f t="shared" si="7"/>
        <v>NonID</v>
      </c>
    </row>
    <row r="197" spans="1:13" hidden="1" x14ac:dyDescent="0.45">
      <c r="A197" t="s">
        <v>19</v>
      </c>
      <c r="B197" t="s">
        <v>63</v>
      </c>
      <c r="C197">
        <v>1</v>
      </c>
      <c r="D197">
        <v>0.8</v>
      </c>
      <c r="E197">
        <v>0.99752740325115785</v>
      </c>
      <c r="G197" t="str">
        <f t="shared" si="6"/>
        <v>W</v>
      </c>
      <c r="H197" t="s">
        <v>410</v>
      </c>
      <c r="I197" t="s">
        <v>411</v>
      </c>
      <c r="J197" t="s">
        <v>425</v>
      </c>
      <c r="L197" t="str">
        <f t="shared" si="7"/>
        <v>NonID</v>
      </c>
    </row>
    <row r="198" spans="1:13" hidden="1" x14ac:dyDescent="0.45">
      <c r="A198" t="s">
        <v>75</v>
      </c>
      <c r="B198" t="s">
        <v>75</v>
      </c>
      <c r="C198">
        <v>0.20072898296998801</v>
      </c>
      <c r="D198">
        <v>0.8</v>
      </c>
      <c r="E198">
        <v>0.99908895173900303</v>
      </c>
      <c r="G198" t="str">
        <f t="shared" si="6"/>
        <v>.</v>
      </c>
      <c r="H198" s="8" t="s">
        <v>412</v>
      </c>
      <c r="I198" s="8" t="s">
        <v>413</v>
      </c>
      <c r="J198" s="8" t="s">
        <v>429</v>
      </c>
      <c r="L198" t="str">
        <f t="shared" si="7"/>
        <v>.</v>
      </c>
    </row>
    <row r="199" spans="1:13" hidden="1" x14ac:dyDescent="0.45">
      <c r="A199" t="s">
        <v>57</v>
      </c>
      <c r="B199" t="s">
        <v>63</v>
      </c>
      <c r="C199">
        <v>0.99896469080355821</v>
      </c>
      <c r="D199">
        <v>0.8</v>
      </c>
      <c r="E199">
        <v>0.97702261672772872</v>
      </c>
      <c r="G199" t="str">
        <f t="shared" si="6"/>
        <v>W</v>
      </c>
      <c r="H199" t="s">
        <v>414</v>
      </c>
      <c r="I199" t="s">
        <v>99</v>
      </c>
      <c r="J199" t="s">
        <v>420</v>
      </c>
      <c r="L199" t="str">
        <f t="shared" si="7"/>
        <v>NonID</v>
      </c>
    </row>
    <row r="200" spans="1:13" hidden="1" x14ac:dyDescent="0.45">
      <c r="A200" t="s">
        <v>57</v>
      </c>
      <c r="B200" t="s">
        <v>63</v>
      </c>
      <c r="C200">
        <v>1</v>
      </c>
      <c r="D200">
        <v>0.8</v>
      </c>
      <c r="E200">
        <v>0.880796810635188</v>
      </c>
      <c r="G200" t="str">
        <f t="shared" si="6"/>
        <v>W</v>
      </c>
      <c r="H200" t="s">
        <v>98</v>
      </c>
      <c r="I200" t="s">
        <v>99</v>
      </c>
      <c r="J200" t="s">
        <v>418</v>
      </c>
      <c r="L200" t="str">
        <f t="shared" si="7"/>
        <v>NonID</v>
      </c>
    </row>
    <row r="201" spans="1:13" hidden="1" x14ac:dyDescent="0.45">
      <c r="A201" t="s">
        <v>57</v>
      </c>
      <c r="B201" t="s">
        <v>63</v>
      </c>
      <c r="C201">
        <v>0.99999750256851172</v>
      </c>
      <c r="D201">
        <v>0.8</v>
      </c>
      <c r="E201">
        <v>0.98901275129562083</v>
      </c>
      <c r="G201" t="str">
        <f t="shared" si="6"/>
        <v>W</v>
      </c>
      <c r="H201" t="s">
        <v>440</v>
      </c>
      <c r="I201" t="s">
        <v>99</v>
      </c>
      <c r="J201" t="s">
        <v>420</v>
      </c>
      <c r="L201" t="str">
        <f t="shared" si="7"/>
        <v>NonID</v>
      </c>
    </row>
    <row r="202" spans="1:13" hidden="1" x14ac:dyDescent="0.45">
      <c r="A202" t="s">
        <v>57</v>
      </c>
      <c r="B202" t="s">
        <v>63</v>
      </c>
      <c r="C202">
        <v>0.99999998662509304</v>
      </c>
      <c r="D202">
        <v>0.8</v>
      </c>
      <c r="E202">
        <v>0.92413881725866975</v>
      </c>
      <c r="G202" t="str">
        <f t="shared" si="6"/>
        <v>W</v>
      </c>
      <c r="H202" t="s">
        <v>441</v>
      </c>
      <c r="I202" t="s">
        <v>99</v>
      </c>
      <c r="J202" t="s">
        <v>420</v>
      </c>
      <c r="L202" t="str">
        <f t="shared" si="7"/>
        <v>NonID</v>
      </c>
    </row>
    <row r="203" spans="1:13" hidden="1" x14ac:dyDescent="0.45">
      <c r="A203" t="s">
        <v>68</v>
      </c>
      <c r="B203" t="s">
        <v>68</v>
      </c>
      <c r="C203">
        <v>6.5562474291791517E-6</v>
      </c>
      <c r="D203">
        <v>1</v>
      </c>
      <c r="E203">
        <v>0.99999372702007638</v>
      </c>
      <c r="G203" t="str">
        <f t="shared" si="6"/>
        <v>.</v>
      </c>
      <c r="H203" s="8" t="s">
        <v>176</v>
      </c>
      <c r="I203" s="8" t="s">
        <v>177</v>
      </c>
      <c r="J203" s="8" t="s">
        <v>423</v>
      </c>
      <c r="L203" t="str">
        <f t="shared" si="7"/>
        <v>.</v>
      </c>
    </row>
    <row r="204" spans="1:13" hidden="1" x14ac:dyDescent="0.45">
      <c r="A204" t="s">
        <v>57</v>
      </c>
      <c r="B204" t="s">
        <v>63</v>
      </c>
      <c r="C204">
        <v>0.99997728091900873</v>
      </c>
      <c r="D204">
        <v>0.8</v>
      </c>
      <c r="E204">
        <v>0.85195032289157824</v>
      </c>
      <c r="G204" t="str">
        <f t="shared" si="6"/>
        <v>W</v>
      </c>
      <c r="H204" t="s">
        <v>271</v>
      </c>
      <c r="I204" t="s">
        <v>99</v>
      </c>
      <c r="J204" t="s">
        <v>420</v>
      </c>
      <c r="L204" t="str">
        <f t="shared" si="7"/>
        <v>NonID</v>
      </c>
    </row>
    <row r="205" spans="1:13" hidden="1" x14ac:dyDescent="0.45">
      <c r="A205" t="s">
        <v>71</v>
      </c>
      <c r="B205" t="s">
        <v>71</v>
      </c>
      <c r="C205">
        <v>0.20634474282947249</v>
      </c>
      <c r="D205">
        <v>0.8</v>
      </c>
      <c r="E205">
        <v>0.99330700849498244</v>
      </c>
      <c r="G205" t="str">
        <f t="shared" si="6"/>
        <v>.</v>
      </c>
      <c r="H205" s="8" t="s">
        <v>219</v>
      </c>
      <c r="I205" s="8" t="s">
        <v>220</v>
      </c>
      <c r="J205" s="8" t="s">
        <v>426</v>
      </c>
      <c r="L205" t="str">
        <f t="shared" si="7"/>
        <v>.</v>
      </c>
    </row>
    <row r="206" spans="1:13" hidden="1" x14ac:dyDescent="0.45">
      <c r="A206" t="s">
        <v>74</v>
      </c>
      <c r="B206" t="s">
        <v>74</v>
      </c>
      <c r="C206">
        <v>0.2009356329466456</v>
      </c>
      <c r="D206">
        <v>0.8</v>
      </c>
      <c r="E206">
        <v>0.99883045900532441</v>
      </c>
      <c r="G206" t="str">
        <f t="shared" si="6"/>
        <v>.</v>
      </c>
      <c r="H206" s="8" t="s">
        <v>379</v>
      </c>
      <c r="I206" s="8" t="s">
        <v>380</v>
      </c>
      <c r="J206" s="8" t="s">
        <v>426</v>
      </c>
      <c r="L206" t="str">
        <f t="shared" si="7"/>
        <v>.</v>
      </c>
    </row>
    <row r="207" spans="1:13" hidden="1" x14ac:dyDescent="0.45">
      <c r="A207" t="s">
        <v>19</v>
      </c>
      <c r="B207" t="s">
        <v>85</v>
      </c>
      <c r="C207">
        <v>0.73324205518598129</v>
      </c>
      <c r="D207">
        <v>1</v>
      </c>
      <c r="E207">
        <v>0.26894092437172351</v>
      </c>
      <c r="G207" t="str">
        <f t="shared" si="6"/>
        <v>W</v>
      </c>
      <c r="H207" t="s">
        <v>354</v>
      </c>
      <c r="I207" t="s">
        <v>355</v>
      </c>
      <c r="J207" t="s">
        <v>423</v>
      </c>
      <c r="L207" s="13" t="str">
        <f t="shared" si="7"/>
        <v>NonID</v>
      </c>
      <c r="M207" t="s">
        <v>513</v>
      </c>
    </row>
    <row r="208" spans="1:13" hidden="1" x14ac:dyDescent="0.45">
      <c r="A208" t="s">
        <v>19</v>
      </c>
      <c r="B208" t="s">
        <v>61</v>
      </c>
      <c r="C208">
        <v>0.99940297481693252</v>
      </c>
      <c r="D208">
        <v>0.8</v>
      </c>
      <c r="E208">
        <v>1.9267342527389899E-3</v>
      </c>
      <c r="G208" t="str">
        <f t="shared" si="6"/>
        <v>W</v>
      </c>
      <c r="H208" t="s">
        <v>238</v>
      </c>
      <c r="I208" t="s">
        <v>239</v>
      </c>
      <c r="J208" t="s">
        <v>435</v>
      </c>
      <c r="L208" t="str">
        <f t="shared" si="7"/>
        <v>NonID</v>
      </c>
    </row>
    <row r="209" spans="1:13" x14ac:dyDescent="0.45">
      <c r="A209" t="s">
        <v>70</v>
      </c>
      <c r="B209" t="s">
        <v>63</v>
      </c>
      <c r="C209">
        <v>1</v>
      </c>
      <c r="D209">
        <v>0.8</v>
      </c>
      <c r="E209">
        <v>0.93991199480533294</v>
      </c>
      <c r="G209" t="str">
        <f t="shared" si="6"/>
        <v>W</v>
      </c>
      <c r="H209" s="8" t="s">
        <v>115</v>
      </c>
      <c r="I209" s="8" t="s">
        <v>116</v>
      </c>
      <c r="J209" s="8" t="s">
        <v>421</v>
      </c>
      <c r="K209" s="8" t="s">
        <v>515</v>
      </c>
      <c r="L209" s="13" t="str">
        <f t="shared" si="7"/>
        <v>NonID</v>
      </c>
      <c r="M209" s="8" t="s">
        <v>515</v>
      </c>
    </row>
    <row r="210" spans="1:13" hidden="1" x14ac:dyDescent="0.45">
      <c r="A210" t="s">
        <v>61</v>
      </c>
      <c r="B210" t="s">
        <v>61</v>
      </c>
      <c r="C210">
        <v>0.34895494784164049</v>
      </c>
      <c r="D210">
        <v>0.8</v>
      </c>
      <c r="E210">
        <v>0.81757402884027097</v>
      </c>
      <c r="G210" t="str">
        <f t="shared" si="6"/>
        <v>.</v>
      </c>
      <c r="H210" s="8" t="s">
        <v>94</v>
      </c>
      <c r="I210" s="8" t="s">
        <v>95</v>
      </c>
      <c r="J210" s="8" t="s">
        <v>416</v>
      </c>
      <c r="L210" t="str">
        <f t="shared" si="7"/>
        <v>NonID</v>
      </c>
      <c r="M210" s="8" t="s">
        <v>515</v>
      </c>
    </row>
    <row r="211" spans="1:13" hidden="1" x14ac:dyDescent="0.45">
      <c r="A211" t="s">
        <v>65</v>
      </c>
      <c r="B211" t="s">
        <v>65</v>
      </c>
      <c r="C211">
        <v>0.2007288387877664</v>
      </c>
      <c r="D211">
        <v>0.8</v>
      </c>
      <c r="E211">
        <v>0.99908895173900303</v>
      </c>
      <c r="G211" t="str">
        <f t="shared" si="6"/>
        <v>.</v>
      </c>
      <c r="H211" s="8" t="s">
        <v>65</v>
      </c>
      <c r="I211" s="8" t="s">
        <v>395</v>
      </c>
      <c r="J211" s="8" t="s">
        <v>427</v>
      </c>
      <c r="L211" t="str">
        <f t="shared" si="7"/>
        <v>.</v>
      </c>
    </row>
    <row r="212" spans="1:13" hidden="1" x14ac:dyDescent="0.45">
      <c r="A212" t="s">
        <v>57</v>
      </c>
      <c r="B212" t="s">
        <v>63</v>
      </c>
      <c r="C212">
        <v>1</v>
      </c>
      <c r="D212">
        <v>0.8</v>
      </c>
      <c r="E212">
        <v>0.99979648032432844</v>
      </c>
      <c r="G212" t="str">
        <f t="shared" si="6"/>
        <v>W</v>
      </c>
      <c r="H212" t="s">
        <v>291</v>
      </c>
      <c r="I212" t="s">
        <v>292</v>
      </c>
      <c r="J212" t="s">
        <v>436</v>
      </c>
      <c r="L212" t="str">
        <f t="shared" si="7"/>
        <v>NonID</v>
      </c>
    </row>
    <row r="213" spans="1:13" hidden="1" x14ac:dyDescent="0.45">
      <c r="A213" t="s">
        <v>74</v>
      </c>
      <c r="B213" t="s">
        <v>74</v>
      </c>
      <c r="C213">
        <v>0.20325617179412481</v>
      </c>
      <c r="D213">
        <v>0.8</v>
      </c>
      <c r="E213">
        <v>0.99592978540693999</v>
      </c>
      <c r="G213" t="str">
        <f t="shared" si="6"/>
        <v>.</v>
      </c>
      <c r="H213" s="8" t="s">
        <v>275</v>
      </c>
      <c r="I213" s="8" t="s">
        <v>276</v>
      </c>
      <c r="J213" s="8" t="s">
        <v>426</v>
      </c>
      <c r="L213" t="str">
        <f t="shared" si="7"/>
        <v>.</v>
      </c>
    </row>
    <row r="214" spans="1:13" hidden="1" x14ac:dyDescent="0.45">
      <c r="A214" t="s">
        <v>19</v>
      </c>
      <c r="B214" t="s">
        <v>66</v>
      </c>
      <c r="C214">
        <v>0.960323710341068</v>
      </c>
      <c r="D214">
        <v>0.8</v>
      </c>
      <c r="E214">
        <v>0.81757131207985145</v>
      </c>
      <c r="G214" t="str">
        <f t="shared" si="6"/>
        <v>W</v>
      </c>
      <c r="H214" t="s">
        <v>111</v>
      </c>
      <c r="I214" t="s">
        <v>112</v>
      </c>
      <c r="J214" t="s">
        <v>421</v>
      </c>
      <c r="L214" t="str">
        <f t="shared" si="7"/>
        <v>NonID</v>
      </c>
    </row>
    <row r="215" spans="1:13" hidden="1" x14ac:dyDescent="0.45">
      <c r="A215" t="s">
        <v>67</v>
      </c>
      <c r="B215" t="s">
        <v>67</v>
      </c>
      <c r="C215">
        <v>0.20023824927707751</v>
      </c>
      <c r="D215">
        <v>0.8</v>
      </c>
      <c r="E215">
        <v>0.99984152748927191</v>
      </c>
      <c r="G215" t="str">
        <f t="shared" si="6"/>
        <v>.</v>
      </c>
      <c r="H215" s="8" t="s">
        <v>104</v>
      </c>
      <c r="I215" s="8" t="s">
        <v>105</v>
      </c>
      <c r="J215" s="8" t="s">
        <v>422</v>
      </c>
      <c r="L215" t="str">
        <f t="shared" si="7"/>
        <v>.</v>
      </c>
    </row>
    <row r="216" spans="1:13" hidden="1" x14ac:dyDescent="0.45">
      <c r="A216" t="s">
        <v>57</v>
      </c>
      <c r="B216" t="s">
        <v>63</v>
      </c>
      <c r="C216">
        <v>1</v>
      </c>
      <c r="D216">
        <v>0.8</v>
      </c>
      <c r="E216">
        <v>0.99849876799337189</v>
      </c>
      <c r="G216" t="str">
        <f t="shared" si="6"/>
        <v>W</v>
      </c>
      <c r="H216" s="2" t="s">
        <v>398</v>
      </c>
      <c r="I216" t="s">
        <v>399</v>
      </c>
      <c r="J216" t="s">
        <v>433</v>
      </c>
      <c r="L216" t="str">
        <f t="shared" si="7"/>
        <v>NonID</v>
      </c>
    </row>
    <row r="217" spans="1:13" hidden="1" x14ac:dyDescent="0.45">
      <c r="A217" t="s">
        <v>57</v>
      </c>
      <c r="B217" t="s">
        <v>63</v>
      </c>
      <c r="C217">
        <v>1</v>
      </c>
      <c r="D217">
        <v>0.8</v>
      </c>
      <c r="E217">
        <v>0.99682732998531542</v>
      </c>
      <c r="G217" t="str">
        <f t="shared" si="6"/>
        <v>W</v>
      </c>
      <c r="H217" t="s">
        <v>261</v>
      </c>
      <c r="I217" t="s">
        <v>262</v>
      </c>
      <c r="J217" t="s">
        <v>436</v>
      </c>
      <c r="L217" t="str">
        <f t="shared" si="7"/>
        <v>NonID</v>
      </c>
    </row>
    <row r="218" spans="1:13" hidden="1" x14ac:dyDescent="0.45">
      <c r="A218" t="s">
        <v>57</v>
      </c>
      <c r="B218" t="s">
        <v>61</v>
      </c>
      <c r="C218">
        <v>0.8974266726314859</v>
      </c>
      <c r="D218">
        <v>0.8</v>
      </c>
      <c r="E218">
        <v>0.26894095643198179</v>
      </c>
      <c r="G218" t="str">
        <f t="shared" si="6"/>
        <v>W</v>
      </c>
      <c r="H218" t="s">
        <v>333</v>
      </c>
      <c r="I218" t="s">
        <v>334</v>
      </c>
      <c r="J218" t="s">
        <v>435</v>
      </c>
      <c r="L218" t="str">
        <f t="shared" si="7"/>
        <v>NonID</v>
      </c>
    </row>
    <row r="219" spans="1:13" hidden="1" x14ac:dyDescent="0.45">
      <c r="A219" t="s">
        <v>61</v>
      </c>
      <c r="B219" t="s">
        <v>61</v>
      </c>
      <c r="C219">
        <v>0.22567609047513279</v>
      </c>
      <c r="D219">
        <v>0.8</v>
      </c>
      <c r="E219">
        <v>0.98593585515135818</v>
      </c>
      <c r="G219" t="str">
        <f t="shared" si="6"/>
        <v>.</v>
      </c>
      <c r="H219" s="8" t="s">
        <v>269</v>
      </c>
      <c r="I219" s="8" t="s">
        <v>270</v>
      </c>
      <c r="J219" s="8" t="s">
        <v>416</v>
      </c>
      <c r="L219" t="str">
        <f t="shared" si="7"/>
        <v>.</v>
      </c>
    </row>
    <row r="220" spans="1:13" hidden="1" x14ac:dyDescent="0.45">
      <c r="A220" t="s">
        <v>74</v>
      </c>
      <c r="B220" t="s">
        <v>74</v>
      </c>
      <c r="C220">
        <v>0.20325619620580421</v>
      </c>
      <c r="D220">
        <v>0.8</v>
      </c>
      <c r="E220">
        <v>0.99592978540693999</v>
      </c>
      <c r="G220" t="str">
        <f t="shared" si="6"/>
        <v>.</v>
      </c>
      <c r="H220" s="8" t="s">
        <v>372</v>
      </c>
      <c r="I220" s="8" t="s">
        <v>99</v>
      </c>
      <c r="J220" s="8" t="s">
        <v>426</v>
      </c>
      <c r="L220" t="str">
        <f t="shared" si="7"/>
        <v>.</v>
      </c>
    </row>
    <row r="221" spans="1:13" hidden="1" x14ac:dyDescent="0.45">
      <c r="A221" t="s">
        <v>74</v>
      </c>
      <c r="B221" t="s">
        <v>74</v>
      </c>
      <c r="C221">
        <v>0.20007691888564119</v>
      </c>
      <c r="D221">
        <v>0.8</v>
      </c>
      <c r="E221">
        <v>0.99990385206411014</v>
      </c>
      <c r="G221" t="str">
        <f t="shared" si="6"/>
        <v>.</v>
      </c>
      <c r="H221" s="8" t="s">
        <v>178</v>
      </c>
      <c r="I221" s="8" t="s">
        <v>179</v>
      </c>
      <c r="J221" s="8" t="s">
        <v>426</v>
      </c>
      <c r="L221" t="str">
        <f t="shared" si="7"/>
        <v>.</v>
      </c>
    </row>
    <row r="222" spans="1:13" hidden="1" x14ac:dyDescent="0.45">
      <c r="A222" t="s">
        <v>74</v>
      </c>
      <c r="B222" t="s">
        <v>74</v>
      </c>
      <c r="C222">
        <v>0.20072883894634069</v>
      </c>
      <c r="D222">
        <v>0.8</v>
      </c>
      <c r="E222">
        <v>0.99908895173900303</v>
      </c>
      <c r="G222" t="str">
        <f t="shared" si="6"/>
        <v>.</v>
      </c>
      <c r="H222" s="8" t="s">
        <v>138</v>
      </c>
      <c r="I222" s="8" t="s">
        <v>139</v>
      </c>
      <c r="J222" s="8" t="s">
        <v>426</v>
      </c>
      <c r="L222" t="str">
        <f t="shared" si="7"/>
        <v>.</v>
      </c>
    </row>
    <row r="223" spans="1:13" hidden="1" x14ac:dyDescent="0.45">
      <c r="A223" t="s">
        <v>57</v>
      </c>
      <c r="B223" t="s">
        <v>63</v>
      </c>
      <c r="C223">
        <v>0.9999395468885085</v>
      </c>
      <c r="D223">
        <v>0.8</v>
      </c>
      <c r="E223">
        <v>0.97068770450321673</v>
      </c>
      <c r="G223" t="str">
        <f t="shared" si="6"/>
        <v>W</v>
      </c>
      <c r="H223" t="s">
        <v>159</v>
      </c>
      <c r="I223" t="s">
        <v>99</v>
      </c>
      <c r="J223" t="s">
        <v>420</v>
      </c>
      <c r="L223" t="str">
        <f t="shared" si="7"/>
        <v>NonID</v>
      </c>
    </row>
    <row r="224" spans="1:13" hidden="1" x14ac:dyDescent="0.45">
      <c r="A224" t="s">
        <v>75</v>
      </c>
      <c r="B224" t="s">
        <v>75</v>
      </c>
      <c r="C224">
        <v>0.20009883545643581</v>
      </c>
      <c r="D224">
        <v>0.8</v>
      </c>
      <c r="E224">
        <v>0.99987656475506059</v>
      </c>
      <c r="G224" t="str">
        <f t="shared" si="6"/>
        <v>.</v>
      </c>
      <c r="H224" s="8" t="s">
        <v>155</v>
      </c>
      <c r="I224" s="8" t="s">
        <v>156</v>
      </c>
      <c r="J224" s="8" t="s">
        <v>429</v>
      </c>
      <c r="L224" t="str">
        <f t="shared" si="7"/>
        <v>.</v>
      </c>
    </row>
    <row r="225" spans="1:13" hidden="1" x14ac:dyDescent="0.45">
      <c r="A225" t="s">
        <v>19</v>
      </c>
      <c r="B225" t="s">
        <v>63</v>
      </c>
      <c r="C225">
        <v>1</v>
      </c>
      <c r="D225">
        <v>0.8</v>
      </c>
      <c r="E225">
        <v>6.6928512642157227E-3</v>
      </c>
      <c r="G225" t="str">
        <f t="shared" si="6"/>
        <v>W</v>
      </c>
      <c r="H225" s="2" t="s">
        <v>157</v>
      </c>
      <c r="I225" t="s">
        <v>158</v>
      </c>
      <c r="J225" t="s">
        <v>430</v>
      </c>
      <c r="L225" t="str">
        <f t="shared" si="7"/>
        <v>NonID</v>
      </c>
    </row>
    <row r="226" spans="1:13" hidden="1" x14ac:dyDescent="0.45">
      <c r="A226" t="s">
        <v>57</v>
      </c>
      <c r="B226" t="s">
        <v>82</v>
      </c>
      <c r="C226">
        <v>0.99752908053030631</v>
      </c>
      <c r="D226">
        <v>0.8</v>
      </c>
      <c r="E226">
        <v>0.96267155965834494</v>
      </c>
      <c r="G226" t="str">
        <f t="shared" si="6"/>
        <v>W</v>
      </c>
      <c r="H226" t="s">
        <v>442</v>
      </c>
      <c r="I226" t="s">
        <v>443</v>
      </c>
      <c r="J226" t="s">
        <v>420</v>
      </c>
      <c r="L226" t="str">
        <f t="shared" si="7"/>
        <v>NonID</v>
      </c>
    </row>
    <row r="227" spans="1:13" hidden="1" x14ac:dyDescent="0.45">
      <c r="A227" t="s">
        <v>19</v>
      </c>
      <c r="B227" t="s">
        <v>65</v>
      </c>
      <c r="C227">
        <v>0.21125100490088641</v>
      </c>
      <c r="D227">
        <v>0.8</v>
      </c>
      <c r="E227">
        <v>0.98593632069119785</v>
      </c>
      <c r="G227" t="str">
        <f t="shared" si="6"/>
        <v>W</v>
      </c>
      <c r="H227" t="s">
        <v>444</v>
      </c>
      <c r="I227" t="s">
        <v>99</v>
      </c>
      <c r="J227" t="s">
        <v>432</v>
      </c>
      <c r="L227" s="13" t="str">
        <f t="shared" si="7"/>
        <v>.</v>
      </c>
      <c r="M227" t="s">
        <v>514</v>
      </c>
    </row>
    <row r="228" spans="1:13" hidden="1" x14ac:dyDescent="0.45">
      <c r="A228" t="s">
        <v>57</v>
      </c>
      <c r="B228" t="s">
        <v>63</v>
      </c>
      <c r="C228">
        <v>0.99999985246612155</v>
      </c>
      <c r="D228">
        <v>0.8</v>
      </c>
      <c r="E228">
        <v>0.97068669018952314</v>
      </c>
      <c r="G228" t="str">
        <f t="shared" si="6"/>
        <v>W</v>
      </c>
      <c r="H228" t="s">
        <v>359</v>
      </c>
      <c r="I228" t="s">
        <v>99</v>
      </c>
      <c r="J228" t="s">
        <v>420</v>
      </c>
      <c r="L228" t="str">
        <f t="shared" si="7"/>
        <v>NonID</v>
      </c>
    </row>
    <row r="229" spans="1:13" hidden="1" x14ac:dyDescent="0.45">
      <c r="A229" t="s">
        <v>61</v>
      </c>
      <c r="B229" t="s">
        <v>61</v>
      </c>
      <c r="C229">
        <v>0.22345209392390949</v>
      </c>
      <c r="D229">
        <v>0.8</v>
      </c>
      <c r="E229">
        <v>0.97068758878823203</v>
      </c>
      <c r="G229" t="str">
        <f t="shared" si="6"/>
        <v>.</v>
      </c>
      <c r="H229" s="8" t="s">
        <v>213</v>
      </c>
      <c r="I229" s="8" t="s">
        <v>214</v>
      </c>
      <c r="J229" s="8" t="s">
        <v>416</v>
      </c>
      <c r="L229" t="str">
        <f t="shared" si="7"/>
        <v>.</v>
      </c>
    </row>
    <row r="230" spans="1:13" hidden="1" x14ac:dyDescent="0.45">
      <c r="A230" t="s">
        <v>65</v>
      </c>
      <c r="B230" t="s">
        <v>65</v>
      </c>
      <c r="C230">
        <v>0.20002211987217111</v>
      </c>
      <c r="D230">
        <v>0.8</v>
      </c>
      <c r="E230">
        <v>0.99997238992645676</v>
      </c>
      <c r="G230" t="str">
        <f t="shared" si="6"/>
        <v>.</v>
      </c>
      <c r="H230" s="8" t="s">
        <v>191</v>
      </c>
      <c r="I230" s="8" t="s">
        <v>192</v>
      </c>
      <c r="J230" s="8" t="s">
        <v>427</v>
      </c>
      <c r="L230" t="str">
        <f t="shared" si="7"/>
        <v>.</v>
      </c>
    </row>
    <row r="231" spans="1:13" hidden="1" x14ac:dyDescent="0.45">
      <c r="A231" t="s">
        <v>19</v>
      </c>
      <c r="B231" t="s">
        <v>63</v>
      </c>
      <c r="C231">
        <v>1</v>
      </c>
      <c r="D231">
        <v>0.8</v>
      </c>
      <c r="E231">
        <v>0.99849876799337189</v>
      </c>
      <c r="G231" t="str">
        <f t="shared" si="6"/>
        <v>W</v>
      </c>
      <c r="H231" t="s">
        <v>162</v>
      </c>
      <c r="I231" t="s">
        <v>163</v>
      </c>
      <c r="J231" t="s">
        <v>425</v>
      </c>
      <c r="L231" t="str">
        <f t="shared" si="7"/>
        <v>NonID</v>
      </c>
    </row>
    <row r="232" spans="1:13" hidden="1" x14ac:dyDescent="0.45">
      <c r="A232" t="s">
        <v>57</v>
      </c>
      <c r="B232" t="s">
        <v>80</v>
      </c>
      <c r="C232">
        <v>0.59544457547839402</v>
      </c>
      <c r="D232">
        <v>0.8</v>
      </c>
      <c r="E232">
        <v>0.99999706470747396</v>
      </c>
      <c r="G232" t="str">
        <f t="shared" si="6"/>
        <v>W</v>
      </c>
      <c r="H232" t="s">
        <v>445</v>
      </c>
      <c r="I232" t="s">
        <v>446</v>
      </c>
      <c r="J232" t="s">
        <v>429</v>
      </c>
      <c r="L232" t="str">
        <f t="shared" si="7"/>
        <v>NonID</v>
      </c>
    </row>
    <row r="233" spans="1:13" hidden="1" x14ac:dyDescent="0.45">
      <c r="A233" t="s">
        <v>19</v>
      </c>
      <c r="B233" t="s">
        <v>63</v>
      </c>
      <c r="C233">
        <v>0.99999268142631681</v>
      </c>
      <c r="D233">
        <v>0.8</v>
      </c>
      <c r="E233">
        <v>0.97702227641650419</v>
      </c>
      <c r="G233" t="str">
        <f t="shared" si="6"/>
        <v>W</v>
      </c>
      <c r="H233" t="s">
        <v>127</v>
      </c>
      <c r="I233" t="s">
        <v>128</v>
      </c>
      <c r="J233" t="s">
        <v>420</v>
      </c>
      <c r="L233" t="str">
        <f t="shared" si="7"/>
        <v>NonID</v>
      </c>
    </row>
    <row r="234" spans="1:13" hidden="1" x14ac:dyDescent="0.45">
      <c r="A234" t="s">
        <v>19</v>
      </c>
      <c r="B234" t="s">
        <v>68</v>
      </c>
      <c r="C234">
        <v>0.97655049920362824</v>
      </c>
      <c r="D234">
        <v>0.8</v>
      </c>
      <c r="E234">
        <v>2.931221187075168E-2</v>
      </c>
      <c r="G234" t="str">
        <f t="shared" si="6"/>
        <v>W</v>
      </c>
      <c r="H234" t="s">
        <v>360</v>
      </c>
      <c r="I234" t="s">
        <v>361</v>
      </c>
      <c r="J234" t="s">
        <v>420</v>
      </c>
      <c r="L234" t="str">
        <f t="shared" si="7"/>
        <v>NonID</v>
      </c>
    </row>
    <row r="235" spans="1:13" hidden="1" x14ac:dyDescent="0.45">
      <c r="A235" t="s">
        <v>19</v>
      </c>
      <c r="B235" t="s">
        <v>63</v>
      </c>
      <c r="C235">
        <v>1</v>
      </c>
      <c r="D235">
        <v>0.8</v>
      </c>
      <c r="E235">
        <v>0.99966459043674005</v>
      </c>
      <c r="G235" t="str">
        <f t="shared" si="6"/>
        <v>W</v>
      </c>
      <c r="H235" t="s">
        <v>233</v>
      </c>
      <c r="I235" t="s">
        <v>234</v>
      </c>
      <c r="J235" t="s">
        <v>425</v>
      </c>
      <c r="L235" t="str">
        <f t="shared" si="7"/>
        <v>NonID</v>
      </c>
    </row>
    <row r="236" spans="1:13" hidden="1" x14ac:dyDescent="0.45">
      <c r="A236" t="s">
        <v>75</v>
      </c>
      <c r="B236" t="s">
        <v>75</v>
      </c>
      <c r="C236">
        <v>0.20020925369159859</v>
      </c>
      <c r="D236">
        <v>0.8</v>
      </c>
      <c r="E236">
        <v>0.99973869830781348</v>
      </c>
      <c r="G236" t="str">
        <f t="shared" si="6"/>
        <v>.</v>
      </c>
      <c r="H236" s="8" t="s">
        <v>412</v>
      </c>
      <c r="I236" s="8" t="s">
        <v>413</v>
      </c>
      <c r="J236" s="8" t="s">
        <v>429</v>
      </c>
      <c r="L236" t="str">
        <f t="shared" si="7"/>
        <v>.</v>
      </c>
    </row>
    <row r="237" spans="1:13" hidden="1" x14ac:dyDescent="0.45">
      <c r="A237" t="s">
        <v>19</v>
      </c>
      <c r="B237" t="s">
        <v>82</v>
      </c>
      <c r="C237">
        <v>0.9863293783671323</v>
      </c>
      <c r="D237">
        <v>0.8</v>
      </c>
      <c r="E237">
        <v>0.95257291630373819</v>
      </c>
      <c r="G237" t="str">
        <f t="shared" si="6"/>
        <v>W</v>
      </c>
      <c r="H237" t="s">
        <v>447</v>
      </c>
      <c r="I237" t="s">
        <v>448</v>
      </c>
      <c r="J237" t="s">
        <v>420</v>
      </c>
      <c r="L237" t="str">
        <f t="shared" si="7"/>
        <v>NonID</v>
      </c>
    </row>
    <row r="238" spans="1:13" hidden="1" x14ac:dyDescent="0.45">
      <c r="A238" t="s">
        <v>57</v>
      </c>
      <c r="B238" t="s">
        <v>63</v>
      </c>
      <c r="C238">
        <v>0.99947154366243018</v>
      </c>
      <c r="D238">
        <v>0.8</v>
      </c>
      <c r="E238">
        <v>0.99682732998531542</v>
      </c>
      <c r="G238" t="str">
        <f t="shared" si="6"/>
        <v>W</v>
      </c>
      <c r="H238" t="s">
        <v>449</v>
      </c>
      <c r="I238" t="s">
        <v>450</v>
      </c>
      <c r="J238" t="s">
        <v>420</v>
      </c>
      <c r="L238" t="str">
        <f t="shared" si="7"/>
        <v>NonID</v>
      </c>
    </row>
    <row r="239" spans="1:13" hidden="1" x14ac:dyDescent="0.45">
      <c r="A239" t="s">
        <v>75</v>
      </c>
      <c r="B239" t="s">
        <v>75</v>
      </c>
      <c r="C239">
        <v>0.2029299673312461</v>
      </c>
      <c r="D239">
        <v>0.8</v>
      </c>
      <c r="E239">
        <v>0.99999623028458018</v>
      </c>
      <c r="G239" t="str">
        <f t="shared" si="6"/>
        <v>.</v>
      </c>
      <c r="H239" s="8" t="s">
        <v>286</v>
      </c>
      <c r="I239" s="8" t="s">
        <v>287</v>
      </c>
      <c r="J239" s="8" t="s">
        <v>429</v>
      </c>
      <c r="L239" t="str">
        <f t="shared" si="7"/>
        <v>.</v>
      </c>
    </row>
    <row r="240" spans="1:13" hidden="1" x14ac:dyDescent="0.45">
      <c r="A240" t="s">
        <v>19</v>
      </c>
      <c r="B240" t="s">
        <v>63</v>
      </c>
      <c r="C240">
        <v>1</v>
      </c>
      <c r="D240">
        <v>0.8</v>
      </c>
      <c r="E240">
        <v>0.99987656475506059</v>
      </c>
      <c r="G240" t="str">
        <f t="shared" si="6"/>
        <v>W</v>
      </c>
      <c r="H240" t="s">
        <v>185</v>
      </c>
      <c r="I240" t="s">
        <v>186</v>
      </c>
      <c r="J240" t="s">
        <v>425</v>
      </c>
      <c r="L240" t="str">
        <f t="shared" si="7"/>
        <v>NonID</v>
      </c>
    </row>
    <row r="241" spans="1:12" hidden="1" x14ac:dyDescent="0.45">
      <c r="A241" t="s">
        <v>57</v>
      </c>
      <c r="B241" t="s">
        <v>84</v>
      </c>
      <c r="C241">
        <v>0.39524704916932119</v>
      </c>
      <c r="D241">
        <v>0.8</v>
      </c>
      <c r="E241">
        <v>0.99142231192149144</v>
      </c>
      <c r="G241" t="str">
        <f t="shared" si="6"/>
        <v>W</v>
      </c>
      <c r="H241" t="s">
        <v>343</v>
      </c>
      <c r="I241" t="s">
        <v>344</v>
      </c>
      <c r="J241" t="s">
        <v>438</v>
      </c>
      <c r="L241" t="str">
        <f t="shared" si="7"/>
        <v>NonID</v>
      </c>
    </row>
    <row r="242" spans="1:12" hidden="1" x14ac:dyDescent="0.45">
      <c r="A242" t="s">
        <v>77</v>
      </c>
      <c r="B242" t="s">
        <v>77</v>
      </c>
      <c r="C242">
        <v>0.2000084315415834</v>
      </c>
      <c r="D242">
        <v>0.8</v>
      </c>
      <c r="E242">
        <v>0.99998979333147131</v>
      </c>
      <c r="G242" t="str">
        <f t="shared" si="6"/>
        <v>.</v>
      </c>
      <c r="H242" s="8" t="s">
        <v>236</v>
      </c>
      <c r="I242" s="8" t="s">
        <v>237</v>
      </c>
      <c r="J242" s="8" t="s">
        <v>422</v>
      </c>
      <c r="L242" t="str">
        <f t="shared" si="7"/>
        <v>.</v>
      </c>
    </row>
    <row r="243" spans="1:12" hidden="1" x14ac:dyDescent="0.45">
      <c r="A243" t="s">
        <v>19</v>
      </c>
      <c r="B243" t="s">
        <v>63</v>
      </c>
      <c r="C243">
        <v>1</v>
      </c>
      <c r="D243">
        <v>0.8</v>
      </c>
      <c r="E243">
        <v>0.99979648032432844</v>
      </c>
      <c r="G243" t="str">
        <f t="shared" si="6"/>
        <v>W</v>
      </c>
      <c r="H243" t="s">
        <v>122</v>
      </c>
      <c r="I243" t="s">
        <v>123</v>
      </c>
      <c r="J243" t="s">
        <v>425</v>
      </c>
      <c r="L243" t="str">
        <f t="shared" si="7"/>
        <v>NonID</v>
      </c>
    </row>
    <row r="244" spans="1:12" hidden="1" x14ac:dyDescent="0.45">
      <c r="A244" t="s">
        <v>77</v>
      </c>
      <c r="B244" t="s">
        <v>77</v>
      </c>
      <c r="C244">
        <v>0.20001744108356551</v>
      </c>
      <c r="D244">
        <v>0.8</v>
      </c>
      <c r="E244">
        <v>0.99997846916345023</v>
      </c>
      <c r="G244" t="str">
        <f t="shared" si="6"/>
        <v>.</v>
      </c>
      <c r="H244" s="8" t="s">
        <v>451</v>
      </c>
      <c r="I244" s="8" t="s">
        <v>237</v>
      </c>
      <c r="J244" s="8" t="s">
        <v>422</v>
      </c>
      <c r="L244" t="str">
        <f t="shared" si="7"/>
        <v>.</v>
      </c>
    </row>
    <row r="245" spans="1:12" hidden="1" x14ac:dyDescent="0.45">
      <c r="A245" t="s">
        <v>71</v>
      </c>
      <c r="B245" t="s">
        <v>71</v>
      </c>
      <c r="C245">
        <v>0.21125153162257981</v>
      </c>
      <c r="D245">
        <v>0.8</v>
      </c>
      <c r="E245">
        <v>0.98593597176585357</v>
      </c>
      <c r="G245" t="str">
        <f t="shared" si="6"/>
        <v>.</v>
      </c>
      <c r="H245" s="8" t="s">
        <v>201</v>
      </c>
      <c r="I245" s="8" t="s">
        <v>202</v>
      </c>
      <c r="J245" s="8" t="s">
        <v>426</v>
      </c>
      <c r="L245" t="str">
        <f t="shared" si="7"/>
        <v>.</v>
      </c>
    </row>
    <row r="246" spans="1:12" hidden="1" x14ac:dyDescent="0.45">
      <c r="A246" t="s">
        <v>19</v>
      </c>
      <c r="B246" t="s">
        <v>63</v>
      </c>
      <c r="C246">
        <v>0.99999574419562809</v>
      </c>
      <c r="D246">
        <v>0.8</v>
      </c>
      <c r="E246">
        <v>0.92413943005686894</v>
      </c>
      <c r="G246" t="str">
        <f t="shared" si="6"/>
        <v>W</v>
      </c>
      <c r="H246" t="s">
        <v>452</v>
      </c>
      <c r="I246" t="s">
        <v>453</v>
      </c>
      <c r="J246" t="s">
        <v>420</v>
      </c>
      <c r="L246" t="str">
        <f t="shared" si="7"/>
        <v>NonID</v>
      </c>
    </row>
    <row r="247" spans="1:12" hidden="1" x14ac:dyDescent="0.45">
      <c r="A247" t="s">
        <v>71</v>
      </c>
      <c r="B247" t="s">
        <v>71</v>
      </c>
      <c r="C247">
        <v>0.2001009291336043</v>
      </c>
      <c r="D247">
        <v>0.8</v>
      </c>
      <c r="E247">
        <v>0.99987656475506059</v>
      </c>
      <c r="G247" t="str">
        <f t="shared" si="6"/>
        <v>.</v>
      </c>
      <c r="H247" s="8" t="s">
        <v>197</v>
      </c>
      <c r="I247" s="8" t="s">
        <v>198</v>
      </c>
      <c r="J247" s="8" t="s">
        <v>426</v>
      </c>
      <c r="L247" t="str">
        <f t="shared" si="7"/>
        <v>.</v>
      </c>
    </row>
    <row r="248" spans="1:12" hidden="1" x14ac:dyDescent="0.45">
      <c r="A248" t="s">
        <v>75</v>
      </c>
      <c r="B248" t="s">
        <v>75</v>
      </c>
      <c r="C248">
        <v>0.2182245233229263</v>
      </c>
      <c r="D248">
        <v>0.8</v>
      </c>
      <c r="E248">
        <v>0.99999849514812922</v>
      </c>
      <c r="G248" t="str">
        <f t="shared" si="6"/>
        <v>.</v>
      </c>
      <c r="H248" s="8" t="s">
        <v>454</v>
      </c>
      <c r="I248" s="8" t="s">
        <v>455</v>
      </c>
      <c r="J248" s="8" t="s">
        <v>429</v>
      </c>
      <c r="L248" t="str">
        <f t="shared" si="7"/>
        <v>.</v>
      </c>
    </row>
    <row r="249" spans="1:12" hidden="1" x14ac:dyDescent="0.45">
      <c r="A249" t="s">
        <v>57</v>
      </c>
      <c r="B249" t="s">
        <v>63</v>
      </c>
      <c r="C249">
        <v>0.99993020785094733</v>
      </c>
      <c r="D249">
        <v>0.8</v>
      </c>
      <c r="E249">
        <v>0.99477990856131726</v>
      </c>
      <c r="G249" t="str">
        <f t="shared" si="6"/>
        <v>W</v>
      </c>
      <c r="H249" t="s">
        <v>263</v>
      </c>
      <c r="I249" t="s">
        <v>264</v>
      </c>
      <c r="J249" t="s">
        <v>420</v>
      </c>
      <c r="L249" t="str">
        <f t="shared" si="7"/>
        <v>NonID</v>
      </c>
    </row>
    <row r="250" spans="1:12" hidden="1" x14ac:dyDescent="0.45">
      <c r="A250" t="s">
        <v>19</v>
      </c>
      <c r="B250" t="s">
        <v>63</v>
      </c>
      <c r="C250">
        <v>0.99981172593618184</v>
      </c>
      <c r="D250">
        <v>0.8</v>
      </c>
      <c r="E250">
        <v>0.99592990413102933</v>
      </c>
      <c r="G250" t="str">
        <f t="shared" si="6"/>
        <v>W</v>
      </c>
      <c r="H250" t="s">
        <v>120</v>
      </c>
      <c r="I250" t="s">
        <v>121</v>
      </c>
      <c r="J250" t="s">
        <v>420</v>
      </c>
      <c r="L250" t="str">
        <f t="shared" si="7"/>
        <v>NonID</v>
      </c>
    </row>
    <row r="251" spans="1:12" hidden="1" x14ac:dyDescent="0.45">
      <c r="A251" t="s">
        <v>57</v>
      </c>
      <c r="B251" t="s">
        <v>63</v>
      </c>
      <c r="C251">
        <v>0.99999996676642855</v>
      </c>
      <c r="D251">
        <v>0.8</v>
      </c>
      <c r="E251">
        <v>0.95257216044997095</v>
      </c>
      <c r="G251" t="str">
        <f t="shared" si="6"/>
        <v>W</v>
      </c>
      <c r="H251" t="s">
        <v>414</v>
      </c>
      <c r="I251" t="s">
        <v>99</v>
      </c>
      <c r="J251" t="s">
        <v>420</v>
      </c>
      <c r="L251" t="str">
        <f t="shared" si="7"/>
        <v>NonID</v>
      </c>
    </row>
    <row r="252" spans="1:12" hidden="1" x14ac:dyDescent="0.45">
      <c r="A252" t="s">
        <v>19</v>
      </c>
      <c r="B252" t="s">
        <v>63</v>
      </c>
      <c r="C252">
        <v>0.9998006035665008</v>
      </c>
      <c r="D252">
        <v>0.8</v>
      </c>
      <c r="E252">
        <v>0.93991304523943053</v>
      </c>
      <c r="G252" t="str">
        <f t="shared" si="6"/>
        <v>W</v>
      </c>
      <c r="H252" t="s">
        <v>456</v>
      </c>
      <c r="I252" t="s">
        <v>457</v>
      </c>
      <c r="J252" s="3" t="s">
        <v>420</v>
      </c>
      <c r="L252" t="str">
        <f t="shared" si="7"/>
        <v>NonID</v>
      </c>
    </row>
    <row r="253" spans="1:12" hidden="1" x14ac:dyDescent="0.45">
      <c r="A253" t="s">
        <v>19</v>
      </c>
      <c r="B253" t="s">
        <v>63</v>
      </c>
      <c r="C253">
        <v>0.9999413000203482</v>
      </c>
      <c r="D253">
        <v>0.8</v>
      </c>
      <c r="E253">
        <v>0.98201331327910268</v>
      </c>
      <c r="G253" t="str">
        <f t="shared" si="6"/>
        <v>W</v>
      </c>
      <c r="H253" t="s">
        <v>357</v>
      </c>
      <c r="I253" t="s">
        <v>358</v>
      </c>
      <c r="J253" t="s">
        <v>420</v>
      </c>
      <c r="L253" t="str">
        <f t="shared" si="7"/>
        <v>NonID</v>
      </c>
    </row>
    <row r="254" spans="1:12" hidden="1" x14ac:dyDescent="0.45">
      <c r="A254" t="s">
        <v>19</v>
      </c>
      <c r="B254" t="s">
        <v>65</v>
      </c>
      <c r="C254">
        <v>0.93931364050336041</v>
      </c>
      <c r="D254">
        <v>0.8</v>
      </c>
      <c r="E254">
        <v>7.5857954454841225E-2</v>
      </c>
      <c r="G254" t="str">
        <f t="shared" si="6"/>
        <v>W</v>
      </c>
      <c r="H254" t="s">
        <v>204</v>
      </c>
      <c r="I254" t="s">
        <v>205</v>
      </c>
      <c r="J254" t="s">
        <v>432</v>
      </c>
      <c r="L254" t="str">
        <f t="shared" si="7"/>
        <v>NonID</v>
      </c>
    </row>
    <row r="255" spans="1:12" hidden="1" x14ac:dyDescent="0.45">
      <c r="A255" t="s">
        <v>9</v>
      </c>
      <c r="B255" t="s">
        <v>63</v>
      </c>
      <c r="C255">
        <v>0.99995471635929534</v>
      </c>
      <c r="D255">
        <v>0.8</v>
      </c>
      <c r="E255">
        <v>0.99908895173900303</v>
      </c>
      <c r="G255" t="str">
        <f t="shared" si="6"/>
        <v>W</v>
      </c>
      <c r="H255" t="s">
        <v>288</v>
      </c>
      <c r="I255" t="s">
        <v>289</v>
      </c>
      <c r="J255" t="s">
        <v>420</v>
      </c>
      <c r="L255" t="str">
        <f t="shared" si="7"/>
        <v>NonID</v>
      </c>
    </row>
    <row r="256" spans="1:12" hidden="1" x14ac:dyDescent="0.45">
      <c r="A256" t="s">
        <v>78</v>
      </c>
      <c r="B256" t="s">
        <v>78</v>
      </c>
      <c r="C256">
        <v>0.20000149252230229</v>
      </c>
      <c r="D256">
        <v>0.8</v>
      </c>
      <c r="E256">
        <v>0.99999813753780198</v>
      </c>
      <c r="G256" t="str">
        <f t="shared" si="6"/>
        <v>.</v>
      </c>
      <c r="H256" s="8" t="s">
        <v>458</v>
      </c>
      <c r="I256" s="8" t="s">
        <v>459</v>
      </c>
      <c r="J256" s="8" t="s">
        <v>429</v>
      </c>
      <c r="L256" t="str">
        <f t="shared" si="7"/>
        <v>.</v>
      </c>
    </row>
    <row r="257" spans="1:13" hidden="1" x14ac:dyDescent="0.45">
      <c r="A257" t="s">
        <v>61</v>
      </c>
      <c r="B257" t="s">
        <v>61</v>
      </c>
      <c r="C257">
        <v>0.37843888009090898</v>
      </c>
      <c r="D257">
        <v>0.8</v>
      </c>
      <c r="E257">
        <v>0.77729928734220388</v>
      </c>
      <c r="G257" t="str">
        <f t="shared" si="6"/>
        <v>.</v>
      </c>
      <c r="H257" s="8" t="s">
        <v>247</v>
      </c>
      <c r="I257" s="8" t="s">
        <v>248</v>
      </c>
      <c r="J257" s="8" t="s">
        <v>416</v>
      </c>
      <c r="L257" t="str">
        <f t="shared" si="7"/>
        <v>NonID</v>
      </c>
      <c r="M257" s="8" t="s">
        <v>515</v>
      </c>
    </row>
    <row r="258" spans="1:13" hidden="1" x14ac:dyDescent="0.45">
      <c r="A258" t="s">
        <v>19</v>
      </c>
      <c r="B258" t="s">
        <v>63</v>
      </c>
      <c r="C258">
        <v>1</v>
      </c>
      <c r="D258">
        <v>0.8</v>
      </c>
      <c r="E258">
        <v>0.99944712016184645</v>
      </c>
      <c r="G258" t="str">
        <f t="shared" ref="G258:G321" si="8">IF(A258=B258,".","W")</f>
        <v>W</v>
      </c>
      <c r="H258" t="s">
        <v>410</v>
      </c>
      <c r="I258" t="s">
        <v>411</v>
      </c>
      <c r="J258" t="s">
        <v>425</v>
      </c>
      <c r="L258" t="str">
        <f t="shared" si="7"/>
        <v>NonID</v>
      </c>
    </row>
    <row r="259" spans="1:13" hidden="1" x14ac:dyDescent="0.45">
      <c r="A259" t="s">
        <v>57</v>
      </c>
      <c r="B259" t="s">
        <v>63</v>
      </c>
      <c r="C259">
        <v>0.98127215182643801</v>
      </c>
      <c r="D259">
        <v>0.8</v>
      </c>
      <c r="E259">
        <v>0.98593632069119785</v>
      </c>
      <c r="G259" t="str">
        <f t="shared" si="8"/>
        <v>W</v>
      </c>
      <c r="H259" t="s">
        <v>389</v>
      </c>
      <c r="I259" t="s">
        <v>390</v>
      </c>
      <c r="J259" t="s">
        <v>420</v>
      </c>
      <c r="L259" t="str">
        <f t="shared" ref="L259:L322" si="9">IF(C259&lt;=$L$1,".","NonID")</f>
        <v>NonID</v>
      </c>
    </row>
    <row r="260" spans="1:13" hidden="1" x14ac:dyDescent="0.45">
      <c r="A260" t="s">
        <v>19</v>
      </c>
      <c r="B260" t="s">
        <v>63</v>
      </c>
      <c r="C260">
        <v>1</v>
      </c>
      <c r="D260">
        <v>0.8</v>
      </c>
      <c r="E260">
        <v>0.9890128691951352</v>
      </c>
      <c r="G260" t="str">
        <f t="shared" si="8"/>
        <v>W</v>
      </c>
      <c r="H260" t="s">
        <v>277</v>
      </c>
      <c r="I260" t="s">
        <v>278</v>
      </c>
      <c r="J260" t="s">
        <v>437</v>
      </c>
      <c r="L260" t="str">
        <f t="shared" si="9"/>
        <v>NonID</v>
      </c>
    </row>
    <row r="261" spans="1:13" hidden="1" x14ac:dyDescent="0.45">
      <c r="A261" t="s">
        <v>57</v>
      </c>
      <c r="B261" t="s">
        <v>72</v>
      </c>
      <c r="C261">
        <v>0.37611579200008582</v>
      </c>
      <c r="D261">
        <v>0.8</v>
      </c>
      <c r="E261">
        <v>0.99908895173900303</v>
      </c>
      <c r="G261" t="str">
        <f t="shared" si="8"/>
        <v>W</v>
      </c>
      <c r="H261" t="s">
        <v>133</v>
      </c>
      <c r="I261" t="s">
        <v>134</v>
      </c>
      <c r="J261" t="s">
        <v>428</v>
      </c>
      <c r="L261" t="str">
        <f t="shared" si="9"/>
        <v>NonID</v>
      </c>
    </row>
    <row r="262" spans="1:13" hidden="1" x14ac:dyDescent="0.45">
      <c r="A262" t="s">
        <v>57</v>
      </c>
      <c r="B262" t="s">
        <v>68</v>
      </c>
      <c r="C262">
        <v>0.82833755986089375</v>
      </c>
      <c r="D262">
        <v>0.8</v>
      </c>
      <c r="E262">
        <v>0.26894114879361269</v>
      </c>
      <c r="G262" t="str">
        <f t="shared" si="8"/>
        <v>W</v>
      </c>
      <c r="H262" t="s">
        <v>460</v>
      </c>
      <c r="I262" t="s">
        <v>461</v>
      </c>
      <c r="J262" t="s">
        <v>420</v>
      </c>
      <c r="L262" t="str">
        <f t="shared" si="9"/>
        <v>NonID</v>
      </c>
    </row>
    <row r="263" spans="1:13" hidden="1" x14ac:dyDescent="0.45">
      <c r="A263" t="s">
        <v>73</v>
      </c>
      <c r="B263" t="s">
        <v>73</v>
      </c>
      <c r="C263">
        <v>0.2000599454931031</v>
      </c>
      <c r="D263">
        <v>0.8</v>
      </c>
      <c r="E263">
        <v>0.99992506849856422</v>
      </c>
      <c r="G263" t="str">
        <f t="shared" si="8"/>
        <v>.</v>
      </c>
      <c r="H263" s="8" t="s">
        <v>165</v>
      </c>
      <c r="I263" s="8" t="s">
        <v>166</v>
      </c>
      <c r="J263" s="8" t="s">
        <v>424</v>
      </c>
      <c r="L263" t="str">
        <f t="shared" si="9"/>
        <v>.</v>
      </c>
    </row>
    <row r="264" spans="1:13" hidden="1" x14ac:dyDescent="0.45">
      <c r="A264" t="s">
        <v>80</v>
      </c>
      <c r="B264" t="s">
        <v>80</v>
      </c>
      <c r="C264">
        <v>0.68152013261556244</v>
      </c>
      <c r="D264">
        <v>0.8</v>
      </c>
      <c r="E264">
        <v>0.99999849514812922</v>
      </c>
      <c r="G264" t="str">
        <f t="shared" si="8"/>
        <v>.</v>
      </c>
      <c r="H264" s="8" t="s">
        <v>325</v>
      </c>
      <c r="I264" s="8" t="s">
        <v>321</v>
      </c>
      <c r="J264" s="8" t="s">
        <v>429</v>
      </c>
      <c r="L264" s="13" t="str">
        <f t="shared" si="9"/>
        <v>NonID</v>
      </c>
      <c r="M264" s="8" t="s">
        <v>515</v>
      </c>
    </row>
    <row r="265" spans="1:13" hidden="1" x14ac:dyDescent="0.45">
      <c r="A265" t="s">
        <v>65</v>
      </c>
      <c r="B265" t="s">
        <v>65</v>
      </c>
      <c r="C265">
        <v>0.20253813614689489</v>
      </c>
      <c r="D265">
        <v>0.8</v>
      </c>
      <c r="E265">
        <v>0.99682732998531542</v>
      </c>
      <c r="G265" t="str">
        <f t="shared" si="8"/>
        <v>.</v>
      </c>
      <c r="H265" s="8" t="s">
        <v>316</v>
      </c>
      <c r="I265" s="8" t="s">
        <v>317</v>
      </c>
      <c r="J265" s="8" t="s">
        <v>427</v>
      </c>
      <c r="L265" t="str">
        <f t="shared" si="9"/>
        <v>.</v>
      </c>
    </row>
    <row r="266" spans="1:13" hidden="1" x14ac:dyDescent="0.45">
      <c r="A266" t="s">
        <v>57</v>
      </c>
      <c r="B266" t="s">
        <v>63</v>
      </c>
      <c r="C266">
        <v>1</v>
      </c>
      <c r="D266">
        <v>0.8</v>
      </c>
      <c r="E266">
        <v>0.99807322600355197</v>
      </c>
      <c r="G266" t="str">
        <f t="shared" si="8"/>
        <v>W</v>
      </c>
      <c r="H266" t="s">
        <v>206</v>
      </c>
      <c r="I266" t="s">
        <v>207</v>
      </c>
      <c r="J266" t="s">
        <v>433</v>
      </c>
      <c r="L266" t="str">
        <f t="shared" si="9"/>
        <v>NonID</v>
      </c>
    </row>
    <row r="267" spans="1:13" hidden="1" x14ac:dyDescent="0.45">
      <c r="A267" t="s">
        <v>19</v>
      </c>
      <c r="B267" t="s">
        <v>63</v>
      </c>
      <c r="C267">
        <v>1</v>
      </c>
      <c r="D267">
        <v>0.8</v>
      </c>
      <c r="E267">
        <v>0.99973869830781348</v>
      </c>
      <c r="G267" t="str">
        <f t="shared" si="8"/>
        <v>W</v>
      </c>
      <c r="H267" t="s">
        <v>375</v>
      </c>
      <c r="I267" t="s">
        <v>376</v>
      </c>
      <c r="J267" t="s">
        <v>425</v>
      </c>
      <c r="L267" t="str">
        <f t="shared" si="9"/>
        <v>NonID</v>
      </c>
    </row>
    <row r="268" spans="1:13" hidden="1" x14ac:dyDescent="0.45">
      <c r="A268" t="s">
        <v>19</v>
      </c>
      <c r="B268" t="s">
        <v>63</v>
      </c>
      <c r="C268">
        <v>1</v>
      </c>
      <c r="D268">
        <v>0.8</v>
      </c>
      <c r="E268">
        <v>0.97068646418394267</v>
      </c>
      <c r="G268" t="str">
        <f t="shared" si="8"/>
        <v>W</v>
      </c>
      <c r="H268" t="s">
        <v>129</v>
      </c>
      <c r="I268" t="s">
        <v>130</v>
      </c>
      <c r="J268" t="s">
        <v>426</v>
      </c>
      <c r="L268" t="str">
        <f t="shared" si="9"/>
        <v>NonID</v>
      </c>
    </row>
    <row r="269" spans="1:13" hidden="1" x14ac:dyDescent="0.45">
      <c r="A269" t="s">
        <v>57</v>
      </c>
      <c r="B269" t="s">
        <v>63</v>
      </c>
      <c r="C269">
        <v>1</v>
      </c>
      <c r="D269">
        <v>0.8</v>
      </c>
      <c r="E269">
        <v>0.62245888465685084</v>
      </c>
      <c r="G269" t="str">
        <f t="shared" si="8"/>
        <v>W</v>
      </c>
      <c r="H269" t="s">
        <v>462</v>
      </c>
      <c r="I269" t="s">
        <v>99</v>
      </c>
      <c r="J269" t="s">
        <v>418</v>
      </c>
      <c r="L269" t="str">
        <f t="shared" si="9"/>
        <v>NonID</v>
      </c>
    </row>
    <row r="270" spans="1:13" hidden="1" x14ac:dyDescent="0.45">
      <c r="A270" t="s">
        <v>57</v>
      </c>
      <c r="B270" t="s">
        <v>63</v>
      </c>
      <c r="C270">
        <v>0.99999722084651887</v>
      </c>
      <c r="D270">
        <v>0.8</v>
      </c>
      <c r="E270">
        <v>0.96267277897766457</v>
      </c>
      <c r="G270" t="str">
        <f t="shared" si="8"/>
        <v>W</v>
      </c>
      <c r="H270" t="s">
        <v>313</v>
      </c>
      <c r="I270" t="s">
        <v>99</v>
      </c>
      <c r="J270" t="s">
        <v>420</v>
      </c>
      <c r="L270" t="str">
        <f t="shared" si="9"/>
        <v>NonID</v>
      </c>
    </row>
    <row r="271" spans="1:13" hidden="1" x14ac:dyDescent="0.45">
      <c r="A271" t="s">
        <v>19</v>
      </c>
      <c r="B271" t="s">
        <v>62</v>
      </c>
      <c r="C271">
        <v>0.2000009195252134</v>
      </c>
      <c r="D271">
        <v>0.8</v>
      </c>
      <c r="E271">
        <v>0.99999885275869793</v>
      </c>
      <c r="G271" t="str">
        <f t="shared" si="8"/>
        <v>W</v>
      </c>
      <c r="H271" t="s">
        <v>145</v>
      </c>
      <c r="I271" t="s">
        <v>146</v>
      </c>
      <c r="J271" t="s">
        <v>417</v>
      </c>
      <c r="L271" s="13" t="str">
        <f t="shared" si="9"/>
        <v>.</v>
      </c>
      <c r="M271" t="s">
        <v>524</v>
      </c>
    </row>
    <row r="272" spans="1:13" hidden="1" x14ac:dyDescent="0.45">
      <c r="A272" t="s">
        <v>65</v>
      </c>
      <c r="B272" t="s">
        <v>65</v>
      </c>
      <c r="C272">
        <v>0.2009356331830803</v>
      </c>
      <c r="D272">
        <v>0.8</v>
      </c>
      <c r="E272">
        <v>0.99883045900532441</v>
      </c>
      <c r="G272" t="str">
        <f t="shared" si="8"/>
        <v>.</v>
      </c>
      <c r="H272" s="8" t="s">
        <v>211</v>
      </c>
      <c r="I272" s="8" t="s">
        <v>212</v>
      </c>
      <c r="J272" s="8" t="s">
        <v>427</v>
      </c>
      <c r="L272" t="str">
        <f t="shared" si="9"/>
        <v>.</v>
      </c>
    </row>
    <row r="273" spans="1:13" hidden="1" x14ac:dyDescent="0.45">
      <c r="A273" t="s">
        <v>74</v>
      </c>
      <c r="B273" t="s">
        <v>74</v>
      </c>
      <c r="C273">
        <v>0.2002090497225979</v>
      </c>
      <c r="D273">
        <v>0.8</v>
      </c>
      <c r="E273">
        <v>0.99973869830781348</v>
      </c>
      <c r="G273" t="str">
        <f t="shared" si="8"/>
        <v>.</v>
      </c>
      <c r="H273" s="8" t="s">
        <v>377</v>
      </c>
      <c r="I273" s="8" t="s">
        <v>378</v>
      </c>
      <c r="J273" s="8" t="s">
        <v>426</v>
      </c>
      <c r="L273" t="str">
        <f t="shared" si="9"/>
        <v>.</v>
      </c>
    </row>
    <row r="274" spans="1:13" hidden="1" x14ac:dyDescent="0.45">
      <c r="A274" t="s">
        <v>78</v>
      </c>
      <c r="B274" t="s">
        <v>78</v>
      </c>
      <c r="C274">
        <v>0.20591151516356801</v>
      </c>
      <c r="D274">
        <v>0.8</v>
      </c>
      <c r="E274">
        <v>0.99999813753780198</v>
      </c>
      <c r="G274" t="str">
        <f t="shared" si="8"/>
        <v>.</v>
      </c>
      <c r="H274" s="8" t="s">
        <v>391</v>
      </c>
      <c r="I274" s="8" t="s">
        <v>392</v>
      </c>
      <c r="J274" s="8" t="s">
        <v>429</v>
      </c>
      <c r="L274" t="str">
        <f t="shared" si="9"/>
        <v>.</v>
      </c>
    </row>
    <row r="275" spans="1:13" hidden="1" x14ac:dyDescent="0.45">
      <c r="A275" t="s">
        <v>76</v>
      </c>
      <c r="B275" t="s">
        <v>76</v>
      </c>
      <c r="C275">
        <v>0.2002396041303238</v>
      </c>
      <c r="D275">
        <v>0.8</v>
      </c>
      <c r="E275">
        <v>0.99994163670334457</v>
      </c>
      <c r="G275" t="str">
        <f t="shared" si="8"/>
        <v>.</v>
      </c>
      <c r="H275" s="8" t="s">
        <v>172</v>
      </c>
      <c r="I275" s="8" t="s">
        <v>173</v>
      </c>
      <c r="J275" s="8" t="s">
        <v>428</v>
      </c>
      <c r="L275" t="str">
        <f t="shared" si="9"/>
        <v>.</v>
      </c>
    </row>
    <row r="276" spans="1:13" hidden="1" x14ac:dyDescent="0.45">
      <c r="A276" t="s">
        <v>57</v>
      </c>
      <c r="B276" t="s">
        <v>63</v>
      </c>
      <c r="C276">
        <v>0.99990108500662911</v>
      </c>
      <c r="D276">
        <v>0.8</v>
      </c>
      <c r="E276">
        <v>0.97702261672772872</v>
      </c>
      <c r="G276" t="str">
        <f t="shared" si="8"/>
        <v>W</v>
      </c>
      <c r="H276" t="s">
        <v>312</v>
      </c>
      <c r="I276" t="s">
        <v>99</v>
      </c>
      <c r="J276" t="s">
        <v>420</v>
      </c>
      <c r="L276" t="str">
        <f t="shared" si="9"/>
        <v>NonID</v>
      </c>
    </row>
    <row r="277" spans="1:13" hidden="1" x14ac:dyDescent="0.45">
      <c r="A277" t="s">
        <v>88</v>
      </c>
      <c r="B277" t="s">
        <v>88</v>
      </c>
      <c r="C277">
        <v>0.2025381626890643</v>
      </c>
      <c r="D277">
        <v>0.8</v>
      </c>
      <c r="E277">
        <v>0.99682732998531542</v>
      </c>
      <c r="G277" t="str">
        <f t="shared" si="8"/>
        <v>.</v>
      </c>
      <c r="H277" s="8" t="s">
        <v>400</v>
      </c>
      <c r="I277" s="8" t="s">
        <v>401</v>
      </c>
      <c r="J277" s="8" t="s">
        <v>438</v>
      </c>
      <c r="L277" t="str">
        <f t="shared" si="9"/>
        <v>.</v>
      </c>
    </row>
    <row r="278" spans="1:13" hidden="1" x14ac:dyDescent="0.45">
      <c r="A278" t="s">
        <v>79</v>
      </c>
      <c r="B278" t="s">
        <v>79</v>
      </c>
      <c r="C278">
        <v>0.2019780778295609</v>
      </c>
      <c r="D278">
        <v>0.8</v>
      </c>
      <c r="E278">
        <v>0.99752740325115785</v>
      </c>
      <c r="G278" t="str">
        <f t="shared" si="8"/>
        <v>.</v>
      </c>
      <c r="H278" s="8" t="s">
        <v>217</v>
      </c>
      <c r="I278" s="8" t="s">
        <v>218</v>
      </c>
      <c r="J278" s="8" t="s">
        <v>434</v>
      </c>
      <c r="L278" t="str">
        <f t="shared" si="9"/>
        <v>.</v>
      </c>
    </row>
    <row r="279" spans="1:13" hidden="1" x14ac:dyDescent="0.45">
      <c r="A279" t="s">
        <v>66</v>
      </c>
      <c r="B279" t="s">
        <v>66</v>
      </c>
      <c r="C279">
        <v>0.20253823278420591</v>
      </c>
      <c r="D279">
        <v>0.8</v>
      </c>
      <c r="E279">
        <v>0.99682721092215276</v>
      </c>
      <c r="G279" t="str">
        <f t="shared" si="8"/>
        <v>.</v>
      </c>
      <c r="H279" s="8" t="s">
        <v>118</v>
      </c>
      <c r="I279" s="8" t="s">
        <v>119</v>
      </c>
      <c r="J279" s="8" t="s">
        <v>421</v>
      </c>
      <c r="L279" t="str">
        <f t="shared" si="9"/>
        <v>.</v>
      </c>
    </row>
    <row r="280" spans="1:13" hidden="1" x14ac:dyDescent="0.45">
      <c r="A280" t="s">
        <v>57</v>
      </c>
      <c r="B280" t="s">
        <v>63</v>
      </c>
      <c r="C280">
        <v>0.99994595028240829</v>
      </c>
      <c r="D280">
        <v>0.8</v>
      </c>
      <c r="E280">
        <v>0.9820137760522224</v>
      </c>
      <c r="G280" t="str">
        <f t="shared" si="8"/>
        <v>W</v>
      </c>
      <c r="H280" t="s">
        <v>154</v>
      </c>
      <c r="I280" t="s">
        <v>99</v>
      </c>
      <c r="J280" t="s">
        <v>420</v>
      </c>
      <c r="L280" t="str">
        <f t="shared" si="9"/>
        <v>NonID</v>
      </c>
    </row>
    <row r="281" spans="1:13" hidden="1" x14ac:dyDescent="0.45">
      <c r="A281" t="s">
        <v>84</v>
      </c>
      <c r="B281" t="s">
        <v>84</v>
      </c>
      <c r="C281">
        <v>0.35938780011865001</v>
      </c>
      <c r="D281">
        <v>0.8</v>
      </c>
      <c r="E281">
        <v>0.99929032330932133</v>
      </c>
      <c r="G281" t="str">
        <f t="shared" si="8"/>
        <v>.</v>
      </c>
      <c r="H281" s="8" t="s">
        <v>294</v>
      </c>
      <c r="I281" s="8" t="s">
        <v>295</v>
      </c>
      <c r="J281" s="8" t="s">
        <v>438</v>
      </c>
      <c r="L281" s="13" t="str">
        <f t="shared" si="9"/>
        <v>NonID</v>
      </c>
      <c r="M281" s="8" t="s">
        <v>515</v>
      </c>
    </row>
    <row r="282" spans="1:13" hidden="1" x14ac:dyDescent="0.45">
      <c r="A282" t="s">
        <v>19</v>
      </c>
      <c r="B282" t="s">
        <v>63</v>
      </c>
      <c r="C282">
        <v>1</v>
      </c>
      <c r="D282">
        <v>0.8</v>
      </c>
      <c r="E282">
        <v>0.99998693247732917</v>
      </c>
      <c r="G282" t="str">
        <f t="shared" si="8"/>
        <v>W</v>
      </c>
      <c r="H282" t="s">
        <v>463</v>
      </c>
      <c r="I282" t="s">
        <v>464</v>
      </c>
      <c r="J282" t="s">
        <v>436</v>
      </c>
      <c r="L282" t="str">
        <f t="shared" si="9"/>
        <v>NonID</v>
      </c>
    </row>
    <row r="283" spans="1:13" hidden="1" x14ac:dyDescent="0.45">
      <c r="A283" t="s">
        <v>74</v>
      </c>
      <c r="B283" t="s">
        <v>74</v>
      </c>
      <c r="C283">
        <v>0.20879004751541569</v>
      </c>
      <c r="D283">
        <v>0.8</v>
      </c>
      <c r="E283">
        <v>0.98901298801575388</v>
      </c>
      <c r="G283" t="str">
        <f t="shared" si="8"/>
        <v>.</v>
      </c>
      <c r="H283" s="8" t="s">
        <v>182</v>
      </c>
      <c r="I283" s="8" t="s">
        <v>99</v>
      </c>
      <c r="J283" s="8" t="s">
        <v>426</v>
      </c>
      <c r="L283" t="str">
        <f t="shared" si="9"/>
        <v>.</v>
      </c>
    </row>
    <row r="284" spans="1:13" hidden="1" x14ac:dyDescent="0.45">
      <c r="A284" t="s">
        <v>79</v>
      </c>
      <c r="B284" t="s">
        <v>79</v>
      </c>
      <c r="C284">
        <v>0.20000072713227221</v>
      </c>
      <c r="D284">
        <v>0.8</v>
      </c>
      <c r="E284">
        <v>0.99999909116577701</v>
      </c>
      <c r="G284" t="str">
        <f t="shared" si="8"/>
        <v>.</v>
      </c>
      <c r="H284" s="8" t="s">
        <v>350</v>
      </c>
      <c r="I284" s="8" t="s">
        <v>351</v>
      </c>
      <c r="J284" s="8" t="s">
        <v>434</v>
      </c>
      <c r="L284" t="str">
        <f t="shared" si="9"/>
        <v>.</v>
      </c>
    </row>
    <row r="285" spans="1:13" hidden="1" x14ac:dyDescent="0.45">
      <c r="A285" t="s">
        <v>19</v>
      </c>
      <c r="B285" t="s">
        <v>63</v>
      </c>
      <c r="C285">
        <v>1</v>
      </c>
      <c r="D285">
        <v>0.8</v>
      </c>
      <c r="E285">
        <v>0.99997846916345023</v>
      </c>
      <c r="G285" t="str">
        <f t="shared" si="8"/>
        <v>W</v>
      </c>
      <c r="H285" t="s">
        <v>386</v>
      </c>
      <c r="I285" t="s">
        <v>387</v>
      </c>
      <c r="J285" t="s">
        <v>425</v>
      </c>
      <c r="L285" t="str">
        <f t="shared" si="9"/>
        <v>NonID</v>
      </c>
    </row>
    <row r="286" spans="1:13" hidden="1" x14ac:dyDescent="0.45">
      <c r="A286" t="s">
        <v>19</v>
      </c>
      <c r="B286" t="s">
        <v>63</v>
      </c>
      <c r="C286">
        <v>1</v>
      </c>
      <c r="D286">
        <v>0.8</v>
      </c>
      <c r="E286">
        <v>0.2226999080497942</v>
      </c>
      <c r="G286" t="str">
        <f t="shared" si="8"/>
        <v>W</v>
      </c>
      <c r="H286" t="s">
        <v>303</v>
      </c>
      <c r="I286" t="s">
        <v>304</v>
      </c>
      <c r="J286" t="s">
        <v>421</v>
      </c>
      <c r="L286" t="str">
        <f t="shared" si="9"/>
        <v>NonID</v>
      </c>
    </row>
    <row r="287" spans="1:13" hidden="1" x14ac:dyDescent="0.45">
      <c r="A287" t="s">
        <v>85</v>
      </c>
      <c r="B287" t="s">
        <v>85</v>
      </c>
      <c r="C287">
        <v>5.5288006370945997E-4</v>
      </c>
      <c r="D287">
        <v>1</v>
      </c>
      <c r="E287">
        <v>0.99944712016184645</v>
      </c>
      <c r="G287" t="str">
        <f t="shared" si="8"/>
        <v>.</v>
      </c>
      <c r="H287" s="8" t="s">
        <v>329</v>
      </c>
      <c r="I287" s="8" t="s">
        <v>330</v>
      </c>
      <c r="J287" s="8" t="s">
        <v>423</v>
      </c>
      <c r="L287" t="str">
        <f t="shared" si="9"/>
        <v>.</v>
      </c>
    </row>
    <row r="288" spans="1:13" hidden="1" x14ac:dyDescent="0.45">
      <c r="A288" t="s">
        <v>57</v>
      </c>
      <c r="B288" t="s">
        <v>63</v>
      </c>
      <c r="C288">
        <v>1</v>
      </c>
      <c r="D288">
        <v>0.8</v>
      </c>
      <c r="E288">
        <v>0.9046501419366757</v>
      </c>
      <c r="G288" t="str">
        <f t="shared" si="8"/>
        <v>W</v>
      </c>
      <c r="H288" t="s">
        <v>187</v>
      </c>
      <c r="I288" t="s">
        <v>99</v>
      </c>
      <c r="J288" t="s">
        <v>431</v>
      </c>
      <c r="L288" t="str">
        <f t="shared" si="9"/>
        <v>NonID</v>
      </c>
    </row>
    <row r="289" spans="1:13" hidden="1" x14ac:dyDescent="0.45">
      <c r="A289" t="s">
        <v>19</v>
      </c>
      <c r="B289" t="s">
        <v>63</v>
      </c>
      <c r="C289">
        <v>1</v>
      </c>
      <c r="D289">
        <v>0.8</v>
      </c>
      <c r="E289">
        <v>0.99883045900532441</v>
      </c>
      <c r="G289" t="str">
        <f t="shared" si="8"/>
        <v>W</v>
      </c>
      <c r="H289" t="s">
        <v>199</v>
      </c>
      <c r="I289" t="s">
        <v>200</v>
      </c>
      <c r="J289" t="s">
        <v>418</v>
      </c>
      <c r="L289" t="str">
        <f t="shared" si="9"/>
        <v>NonID</v>
      </c>
    </row>
    <row r="290" spans="1:13" hidden="1" x14ac:dyDescent="0.45">
      <c r="A290" t="s">
        <v>73</v>
      </c>
      <c r="B290" t="s">
        <v>73</v>
      </c>
      <c r="C290">
        <v>0.20000635360197369</v>
      </c>
      <c r="D290">
        <v>0.8</v>
      </c>
      <c r="E290">
        <v>0.99999205818100989</v>
      </c>
      <c r="G290" t="str">
        <f t="shared" si="8"/>
        <v>.</v>
      </c>
      <c r="H290" s="8" t="s">
        <v>370</v>
      </c>
      <c r="I290" s="8" t="s">
        <v>371</v>
      </c>
      <c r="J290" s="8" t="s">
        <v>424</v>
      </c>
      <c r="L290" t="str">
        <f t="shared" si="9"/>
        <v>.</v>
      </c>
    </row>
    <row r="291" spans="1:13" hidden="1" x14ac:dyDescent="0.45">
      <c r="A291" t="s">
        <v>61</v>
      </c>
      <c r="B291" t="s">
        <v>61</v>
      </c>
      <c r="C291">
        <v>0.37662236992707648</v>
      </c>
      <c r="D291">
        <v>0.8</v>
      </c>
      <c r="E291">
        <v>0.9046501419366757</v>
      </c>
      <c r="G291" t="str">
        <f t="shared" si="8"/>
        <v>.</v>
      </c>
      <c r="H291" s="8" t="s">
        <v>323</v>
      </c>
      <c r="I291" s="8" t="s">
        <v>324</v>
      </c>
      <c r="J291" s="8" t="s">
        <v>416</v>
      </c>
      <c r="L291" s="13" t="str">
        <f t="shared" si="9"/>
        <v>NonID</v>
      </c>
      <c r="M291" s="8" t="s">
        <v>515</v>
      </c>
    </row>
    <row r="292" spans="1:13" hidden="1" x14ac:dyDescent="0.45">
      <c r="A292" t="s">
        <v>68</v>
      </c>
      <c r="B292" t="s">
        <v>68</v>
      </c>
      <c r="C292">
        <v>7.1040651417753065E-4</v>
      </c>
      <c r="D292">
        <v>1</v>
      </c>
      <c r="E292">
        <v>0.99929032330932133</v>
      </c>
      <c r="G292" t="str">
        <f t="shared" si="8"/>
        <v>.</v>
      </c>
      <c r="H292" s="8" t="s">
        <v>152</v>
      </c>
      <c r="I292" s="8" t="s">
        <v>153</v>
      </c>
      <c r="J292" s="8" t="s">
        <v>423</v>
      </c>
      <c r="L292" t="str">
        <f t="shared" si="9"/>
        <v>.</v>
      </c>
    </row>
    <row r="293" spans="1:13" hidden="1" x14ac:dyDescent="0.45">
      <c r="A293" t="s">
        <v>19</v>
      </c>
      <c r="B293" t="s">
        <v>82</v>
      </c>
      <c r="C293">
        <v>0.99870229574959968</v>
      </c>
      <c r="D293">
        <v>0.8</v>
      </c>
      <c r="E293">
        <v>0.88079431690861987</v>
      </c>
      <c r="G293" t="str">
        <f t="shared" si="8"/>
        <v>W</v>
      </c>
      <c r="H293" t="s">
        <v>465</v>
      </c>
      <c r="I293" t="s">
        <v>466</v>
      </c>
      <c r="J293" t="s">
        <v>420</v>
      </c>
      <c r="L293" t="str">
        <f t="shared" si="9"/>
        <v>NonID</v>
      </c>
    </row>
    <row r="294" spans="1:13" hidden="1" x14ac:dyDescent="0.45">
      <c r="A294" t="s">
        <v>19</v>
      </c>
      <c r="B294" t="s">
        <v>65</v>
      </c>
      <c r="C294">
        <v>0.98161810619115197</v>
      </c>
      <c r="D294">
        <v>0.8</v>
      </c>
      <c r="E294">
        <v>2.2977367413042831E-2</v>
      </c>
      <c r="G294" t="str">
        <f t="shared" si="8"/>
        <v>W</v>
      </c>
      <c r="H294" t="s">
        <v>467</v>
      </c>
      <c r="I294" t="s">
        <v>468</v>
      </c>
      <c r="J294" t="s">
        <v>432</v>
      </c>
      <c r="L294" t="str">
        <f t="shared" si="9"/>
        <v>NonID</v>
      </c>
    </row>
    <row r="295" spans="1:13" hidden="1" x14ac:dyDescent="0.45">
      <c r="A295" t="s">
        <v>57</v>
      </c>
      <c r="B295" t="s">
        <v>89</v>
      </c>
      <c r="C295">
        <v>0.65908829566433891</v>
      </c>
      <c r="D295">
        <v>0.8</v>
      </c>
      <c r="E295">
        <v>0.99966459043674005</v>
      </c>
      <c r="G295" t="str">
        <f t="shared" si="8"/>
        <v>W</v>
      </c>
      <c r="H295" t="s">
        <v>469</v>
      </c>
      <c r="I295" t="s">
        <v>99</v>
      </c>
      <c r="J295" t="s">
        <v>424</v>
      </c>
      <c r="L295" t="str">
        <f t="shared" si="9"/>
        <v>NonID</v>
      </c>
    </row>
    <row r="296" spans="1:13" hidden="1" x14ac:dyDescent="0.45">
      <c r="A296" t="s">
        <v>57</v>
      </c>
      <c r="B296" t="s">
        <v>90</v>
      </c>
      <c r="C296">
        <v>0.45182122506669409</v>
      </c>
      <c r="D296">
        <v>0.8</v>
      </c>
      <c r="E296">
        <v>0.97702216176622525</v>
      </c>
      <c r="G296" t="str">
        <f t="shared" si="8"/>
        <v>W</v>
      </c>
      <c r="H296" t="s">
        <v>470</v>
      </c>
      <c r="I296" t="s">
        <v>99</v>
      </c>
      <c r="J296" t="s">
        <v>424</v>
      </c>
      <c r="L296" t="str">
        <f t="shared" si="9"/>
        <v>NonID</v>
      </c>
    </row>
    <row r="297" spans="1:13" hidden="1" x14ac:dyDescent="0.45">
      <c r="A297" t="s">
        <v>57</v>
      </c>
      <c r="B297" t="s">
        <v>77</v>
      </c>
      <c r="C297">
        <v>0.93148323128246757</v>
      </c>
      <c r="D297">
        <v>0.8</v>
      </c>
      <c r="E297">
        <v>0.22269985495400491</v>
      </c>
      <c r="G297" t="str">
        <f t="shared" si="8"/>
        <v>W</v>
      </c>
      <c r="H297" t="s">
        <v>471</v>
      </c>
      <c r="I297" t="s">
        <v>99</v>
      </c>
      <c r="J297" t="s">
        <v>422</v>
      </c>
      <c r="L297" t="str">
        <f t="shared" si="9"/>
        <v>NonID</v>
      </c>
    </row>
    <row r="298" spans="1:13" hidden="1" x14ac:dyDescent="0.45">
      <c r="A298" t="s">
        <v>57</v>
      </c>
      <c r="B298" t="s">
        <v>63</v>
      </c>
      <c r="C298">
        <v>1</v>
      </c>
      <c r="D298">
        <v>0.8</v>
      </c>
      <c r="E298">
        <v>0.97068680228831061</v>
      </c>
      <c r="G298" t="str">
        <f t="shared" si="8"/>
        <v>W</v>
      </c>
      <c r="H298" t="s">
        <v>472</v>
      </c>
      <c r="I298" t="s">
        <v>99</v>
      </c>
      <c r="J298" t="s">
        <v>418</v>
      </c>
      <c r="L298" t="str">
        <f t="shared" si="9"/>
        <v>NonID</v>
      </c>
    </row>
    <row r="299" spans="1:13" hidden="1" x14ac:dyDescent="0.45">
      <c r="A299" t="s">
        <v>9</v>
      </c>
      <c r="B299" t="s">
        <v>63</v>
      </c>
      <c r="C299">
        <v>0.99997602641629646</v>
      </c>
      <c r="D299">
        <v>0.8</v>
      </c>
      <c r="E299">
        <v>0.99142231192149144</v>
      </c>
      <c r="G299" t="str">
        <f t="shared" si="8"/>
        <v>W</v>
      </c>
      <c r="H299" t="s">
        <v>288</v>
      </c>
      <c r="I299" t="s">
        <v>289</v>
      </c>
      <c r="J299" t="s">
        <v>420</v>
      </c>
      <c r="L299" t="str">
        <f t="shared" si="9"/>
        <v>NonID</v>
      </c>
    </row>
    <row r="300" spans="1:13" hidden="1" x14ac:dyDescent="0.45">
      <c r="A300" t="s">
        <v>75</v>
      </c>
      <c r="B300" t="s">
        <v>75</v>
      </c>
      <c r="C300">
        <v>0.20078183971098229</v>
      </c>
      <c r="D300">
        <v>0.8</v>
      </c>
      <c r="E300">
        <v>0.99992506849856422</v>
      </c>
      <c r="G300" t="str">
        <f t="shared" si="8"/>
        <v>.</v>
      </c>
      <c r="H300" s="8" t="s">
        <v>454</v>
      </c>
      <c r="I300" s="8" t="s">
        <v>455</v>
      </c>
      <c r="J300" s="8" t="s">
        <v>429</v>
      </c>
      <c r="L300" t="str">
        <f t="shared" si="9"/>
        <v>.</v>
      </c>
    </row>
    <row r="301" spans="1:13" hidden="1" x14ac:dyDescent="0.45">
      <c r="A301" t="s">
        <v>19</v>
      </c>
      <c r="B301" t="s">
        <v>63</v>
      </c>
      <c r="C301">
        <v>1</v>
      </c>
      <c r="D301">
        <v>0.8</v>
      </c>
      <c r="E301">
        <v>0.99995451003057012</v>
      </c>
      <c r="G301" t="str">
        <f t="shared" si="8"/>
        <v>W</v>
      </c>
      <c r="H301" t="s">
        <v>291</v>
      </c>
      <c r="I301" t="s">
        <v>292</v>
      </c>
      <c r="J301" t="s">
        <v>436</v>
      </c>
      <c r="L301" t="str">
        <f t="shared" si="9"/>
        <v>NonID</v>
      </c>
    </row>
    <row r="302" spans="1:13" hidden="1" x14ac:dyDescent="0.45">
      <c r="A302" t="s">
        <v>57</v>
      </c>
      <c r="B302" t="s">
        <v>89</v>
      </c>
      <c r="C302">
        <v>0.21442616277105059</v>
      </c>
      <c r="D302">
        <v>0.8</v>
      </c>
      <c r="E302">
        <v>0.99944712016184645</v>
      </c>
      <c r="G302" t="str">
        <f t="shared" si="8"/>
        <v>W</v>
      </c>
      <c r="H302" t="s">
        <v>470</v>
      </c>
      <c r="I302" t="s">
        <v>99</v>
      </c>
      <c r="J302" t="s">
        <v>424</v>
      </c>
      <c r="L302" s="13" t="str">
        <f t="shared" si="9"/>
        <v>.</v>
      </c>
      <c r="M302" t="s">
        <v>514</v>
      </c>
    </row>
    <row r="303" spans="1:13" hidden="1" x14ac:dyDescent="0.45">
      <c r="A303" t="s">
        <v>19</v>
      </c>
      <c r="B303" t="s">
        <v>63</v>
      </c>
      <c r="C303">
        <v>1</v>
      </c>
      <c r="D303">
        <v>0.8</v>
      </c>
      <c r="E303">
        <v>0.99330700849498244</v>
      </c>
      <c r="G303" t="str">
        <f t="shared" si="8"/>
        <v>W</v>
      </c>
      <c r="H303" t="s">
        <v>261</v>
      </c>
      <c r="I303" t="s">
        <v>262</v>
      </c>
      <c r="J303" t="s">
        <v>436</v>
      </c>
      <c r="L303" t="str">
        <f t="shared" si="9"/>
        <v>NonID</v>
      </c>
    </row>
    <row r="304" spans="1:13" hidden="1" x14ac:dyDescent="0.45">
      <c r="A304" t="s">
        <v>57</v>
      </c>
      <c r="B304" t="s">
        <v>63</v>
      </c>
      <c r="C304">
        <v>1</v>
      </c>
      <c r="D304">
        <v>0.8</v>
      </c>
      <c r="E304">
        <v>0.85195246835757599</v>
      </c>
      <c r="G304" t="str">
        <f t="shared" si="8"/>
        <v>W</v>
      </c>
      <c r="H304" t="s">
        <v>398</v>
      </c>
      <c r="I304" t="s">
        <v>399</v>
      </c>
      <c r="J304" t="s">
        <v>433</v>
      </c>
      <c r="L304" t="str">
        <f t="shared" si="9"/>
        <v>NonID</v>
      </c>
    </row>
    <row r="305" spans="1:13" hidden="1" x14ac:dyDescent="0.45">
      <c r="A305" t="s">
        <v>74</v>
      </c>
      <c r="B305" t="s">
        <v>74</v>
      </c>
      <c r="C305">
        <v>0.2002683571741872</v>
      </c>
      <c r="D305">
        <v>0.8</v>
      </c>
      <c r="E305">
        <v>0.99966459043674005</v>
      </c>
      <c r="G305" t="str">
        <f t="shared" si="8"/>
        <v>.</v>
      </c>
      <c r="H305" s="8" t="s">
        <v>377</v>
      </c>
      <c r="I305" s="8" t="s">
        <v>378</v>
      </c>
      <c r="J305" s="8" t="s">
        <v>426</v>
      </c>
      <c r="L305" t="str">
        <f t="shared" si="9"/>
        <v>.</v>
      </c>
    </row>
    <row r="306" spans="1:13" hidden="1" x14ac:dyDescent="0.45">
      <c r="A306" t="s">
        <v>57</v>
      </c>
      <c r="B306" t="s">
        <v>63</v>
      </c>
      <c r="C306">
        <v>1</v>
      </c>
      <c r="D306">
        <v>0.8</v>
      </c>
      <c r="E306">
        <v>1.798621131402731E-2</v>
      </c>
      <c r="G306" t="str">
        <f t="shared" si="8"/>
        <v>W</v>
      </c>
      <c r="H306" t="s">
        <v>473</v>
      </c>
      <c r="I306" t="s">
        <v>474</v>
      </c>
      <c r="J306" t="s">
        <v>497</v>
      </c>
      <c r="L306" t="str">
        <f t="shared" si="9"/>
        <v>NonID</v>
      </c>
    </row>
    <row r="307" spans="1:13" hidden="1" x14ac:dyDescent="0.45">
      <c r="A307" t="s">
        <v>57</v>
      </c>
      <c r="B307" t="s">
        <v>63</v>
      </c>
      <c r="C307">
        <v>0.99999931148619492</v>
      </c>
      <c r="D307">
        <v>0.8</v>
      </c>
      <c r="E307">
        <v>0.92414157141107012</v>
      </c>
      <c r="G307" t="str">
        <f t="shared" si="8"/>
        <v>W</v>
      </c>
      <c r="H307" t="s">
        <v>159</v>
      </c>
      <c r="I307" t="s">
        <v>99</v>
      </c>
      <c r="J307" t="s">
        <v>420</v>
      </c>
      <c r="L307" t="str">
        <f t="shared" si="9"/>
        <v>NonID</v>
      </c>
    </row>
    <row r="308" spans="1:13" hidden="1" x14ac:dyDescent="0.45">
      <c r="A308" t="s">
        <v>19</v>
      </c>
      <c r="B308" t="s">
        <v>65</v>
      </c>
      <c r="C308">
        <v>0.98561105232209856</v>
      </c>
      <c r="D308">
        <v>0.8</v>
      </c>
      <c r="E308">
        <v>1.798620273753547E-2</v>
      </c>
      <c r="G308" t="str">
        <f t="shared" si="8"/>
        <v>W</v>
      </c>
      <c r="H308" t="s">
        <v>467</v>
      </c>
      <c r="I308" t="s">
        <v>468</v>
      </c>
      <c r="J308" t="s">
        <v>432</v>
      </c>
      <c r="L308" t="str">
        <f t="shared" si="9"/>
        <v>NonID</v>
      </c>
    </row>
    <row r="309" spans="1:13" hidden="1" x14ac:dyDescent="0.45">
      <c r="A309" t="s">
        <v>57</v>
      </c>
      <c r="B309" t="s">
        <v>63</v>
      </c>
      <c r="C309">
        <v>0.99991395945238426</v>
      </c>
      <c r="D309">
        <v>0.8</v>
      </c>
      <c r="E309">
        <v>0.73105552824876119</v>
      </c>
      <c r="G309" t="str">
        <f t="shared" si="8"/>
        <v>W</v>
      </c>
      <c r="H309" t="s">
        <v>271</v>
      </c>
      <c r="I309" t="s">
        <v>99</v>
      </c>
      <c r="J309" t="s">
        <v>420</v>
      </c>
      <c r="L309" t="str">
        <f t="shared" si="9"/>
        <v>NonID</v>
      </c>
    </row>
    <row r="310" spans="1:13" hidden="1" x14ac:dyDescent="0.45">
      <c r="A310" t="s">
        <v>57</v>
      </c>
      <c r="B310" t="s">
        <v>89</v>
      </c>
      <c r="C310">
        <v>0.224098034517102</v>
      </c>
      <c r="D310">
        <v>0.8</v>
      </c>
      <c r="E310">
        <v>0.97702261672772872</v>
      </c>
      <c r="G310" t="str">
        <f t="shared" si="8"/>
        <v>W</v>
      </c>
      <c r="H310" t="s">
        <v>475</v>
      </c>
      <c r="I310" t="s">
        <v>476</v>
      </c>
      <c r="J310" t="s">
        <v>424</v>
      </c>
      <c r="L310" s="13" t="str">
        <f t="shared" si="9"/>
        <v>.</v>
      </c>
      <c r="M310" t="s">
        <v>515</v>
      </c>
    </row>
    <row r="311" spans="1:13" hidden="1" x14ac:dyDescent="0.45">
      <c r="A311" t="s">
        <v>57</v>
      </c>
      <c r="B311" t="s">
        <v>63</v>
      </c>
      <c r="C311">
        <v>0.99754405003622182</v>
      </c>
      <c r="D311">
        <v>0.8</v>
      </c>
      <c r="E311">
        <v>0.95257237691507302</v>
      </c>
      <c r="G311" t="str">
        <f t="shared" si="8"/>
        <v>W</v>
      </c>
      <c r="H311" t="s">
        <v>154</v>
      </c>
      <c r="I311" t="s">
        <v>99</v>
      </c>
      <c r="J311" t="s">
        <v>420</v>
      </c>
      <c r="L311" t="str">
        <f t="shared" si="9"/>
        <v>NonID</v>
      </c>
    </row>
    <row r="312" spans="1:13" hidden="1" x14ac:dyDescent="0.45">
      <c r="A312" t="s">
        <v>19</v>
      </c>
      <c r="B312" t="s">
        <v>63</v>
      </c>
      <c r="C312">
        <v>1</v>
      </c>
      <c r="D312">
        <v>0.8</v>
      </c>
      <c r="E312">
        <v>0.99883045900532441</v>
      </c>
      <c r="G312" t="str">
        <f t="shared" si="8"/>
        <v>W</v>
      </c>
      <c r="H312" t="s">
        <v>185</v>
      </c>
      <c r="I312" t="s">
        <v>186</v>
      </c>
      <c r="J312" t="s">
        <v>425</v>
      </c>
      <c r="L312" t="str">
        <f t="shared" si="9"/>
        <v>NonID</v>
      </c>
    </row>
    <row r="313" spans="1:13" hidden="1" x14ac:dyDescent="0.45">
      <c r="A313" t="s">
        <v>68</v>
      </c>
      <c r="B313" t="s">
        <v>68</v>
      </c>
      <c r="C313">
        <v>6.2761637990016439E-6</v>
      </c>
      <c r="D313">
        <v>1</v>
      </c>
      <c r="E313">
        <v>0.99999372702007638</v>
      </c>
      <c r="G313" t="str">
        <f t="shared" si="8"/>
        <v>.</v>
      </c>
      <c r="H313" s="8" t="s">
        <v>176</v>
      </c>
      <c r="I313" s="8" t="s">
        <v>177</v>
      </c>
      <c r="J313" s="8" t="s">
        <v>423</v>
      </c>
      <c r="L313" t="str">
        <f t="shared" si="9"/>
        <v>.</v>
      </c>
    </row>
    <row r="314" spans="1:13" hidden="1" x14ac:dyDescent="0.45">
      <c r="A314" t="s">
        <v>57</v>
      </c>
      <c r="B314" t="s">
        <v>63</v>
      </c>
      <c r="C314">
        <v>0.99999989994315497</v>
      </c>
      <c r="D314">
        <v>0.8</v>
      </c>
      <c r="E314">
        <v>0.6791779678132176</v>
      </c>
      <c r="G314" t="str">
        <f t="shared" si="8"/>
        <v>W</v>
      </c>
      <c r="H314" t="s">
        <v>313</v>
      </c>
      <c r="I314" t="s">
        <v>99</v>
      </c>
      <c r="J314" t="s">
        <v>420</v>
      </c>
      <c r="L314" t="str">
        <f t="shared" si="9"/>
        <v>NonID</v>
      </c>
    </row>
    <row r="315" spans="1:13" hidden="1" x14ac:dyDescent="0.45">
      <c r="A315" t="s">
        <v>85</v>
      </c>
      <c r="B315" t="s">
        <v>85</v>
      </c>
      <c r="C315">
        <v>0.96131968332807516</v>
      </c>
      <c r="D315">
        <v>1</v>
      </c>
      <c r="E315">
        <v>0.22269961602310959</v>
      </c>
      <c r="G315" t="str">
        <f t="shared" si="8"/>
        <v>.</v>
      </c>
      <c r="H315" s="8" t="s">
        <v>477</v>
      </c>
      <c r="I315" s="8" t="s">
        <v>478</v>
      </c>
      <c r="J315" s="8" t="s">
        <v>423</v>
      </c>
      <c r="L315" s="13" t="str">
        <f t="shared" si="9"/>
        <v>NonID</v>
      </c>
      <c r="M315" s="8" t="s">
        <v>515</v>
      </c>
    </row>
    <row r="316" spans="1:13" hidden="1" x14ac:dyDescent="0.45">
      <c r="A316" t="s">
        <v>57</v>
      </c>
      <c r="B316" t="s">
        <v>63</v>
      </c>
      <c r="C316">
        <v>1</v>
      </c>
      <c r="D316">
        <v>0.8</v>
      </c>
      <c r="E316">
        <v>0.99956942349659961</v>
      </c>
      <c r="G316" t="str">
        <f t="shared" si="8"/>
        <v>W</v>
      </c>
      <c r="H316" t="s">
        <v>479</v>
      </c>
      <c r="I316" t="s">
        <v>480</v>
      </c>
      <c r="J316" t="s">
        <v>498</v>
      </c>
      <c r="L316" t="str">
        <f t="shared" si="9"/>
        <v>NonID</v>
      </c>
    </row>
    <row r="317" spans="1:13" hidden="1" x14ac:dyDescent="0.45">
      <c r="A317" t="s">
        <v>74</v>
      </c>
      <c r="B317" t="s">
        <v>74</v>
      </c>
      <c r="C317">
        <v>0.20000187201878819</v>
      </c>
      <c r="D317">
        <v>0.8</v>
      </c>
      <c r="E317">
        <v>0.99999766072415552</v>
      </c>
      <c r="G317" t="str">
        <f t="shared" si="8"/>
        <v>.</v>
      </c>
      <c r="H317" s="8" t="s">
        <v>178</v>
      </c>
      <c r="I317" s="8" t="s">
        <v>179</v>
      </c>
      <c r="J317" s="8" t="s">
        <v>426</v>
      </c>
      <c r="L317" t="str">
        <f t="shared" si="9"/>
        <v>.</v>
      </c>
    </row>
    <row r="318" spans="1:13" hidden="1" x14ac:dyDescent="0.45">
      <c r="A318" t="s">
        <v>75</v>
      </c>
      <c r="B318" t="s">
        <v>75</v>
      </c>
      <c r="C318">
        <v>0.20020904310977561</v>
      </c>
      <c r="D318">
        <v>0.8</v>
      </c>
      <c r="E318">
        <v>0.99973869830781348</v>
      </c>
      <c r="G318" t="str">
        <f t="shared" si="8"/>
        <v>.</v>
      </c>
      <c r="H318" s="8" t="s">
        <v>412</v>
      </c>
      <c r="I318" s="8" t="s">
        <v>413</v>
      </c>
      <c r="J318" s="8" t="s">
        <v>429</v>
      </c>
      <c r="L318" t="str">
        <f t="shared" si="9"/>
        <v>.</v>
      </c>
    </row>
    <row r="319" spans="1:13" hidden="1" x14ac:dyDescent="0.45">
      <c r="A319" t="s">
        <v>73</v>
      </c>
      <c r="B319" t="s">
        <v>73</v>
      </c>
      <c r="C319">
        <v>0.20000635376959119</v>
      </c>
      <c r="D319">
        <v>0.8</v>
      </c>
      <c r="E319">
        <v>0.99999205818100989</v>
      </c>
      <c r="G319" t="str">
        <f t="shared" si="8"/>
        <v>.</v>
      </c>
      <c r="H319" s="8" t="s">
        <v>370</v>
      </c>
      <c r="I319" s="8" t="s">
        <v>371</v>
      </c>
      <c r="J319" s="8" t="s">
        <v>424</v>
      </c>
      <c r="L319" t="str">
        <f t="shared" si="9"/>
        <v>.</v>
      </c>
    </row>
    <row r="320" spans="1:13" hidden="1" x14ac:dyDescent="0.45">
      <c r="A320" t="s">
        <v>19</v>
      </c>
      <c r="B320" t="s">
        <v>63</v>
      </c>
      <c r="C320">
        <v>1</v>
      </c>
      <c r="D320">
        <v>0.8</v>
      </c>
      <c r="E320">
        <v>0.99929032330932133</v>
      </c>
      <c r="G320" t="str">
        <f t="shared" si="8"/>
        <v>W</v>
      </c>
      <c r="H320" t="s">
        <v>386</v>
      </c>
      <c r="I320" t="s">
        <v>387</v>
      </c>
      <c r="J320" t="s">
        <v>425</v>
      </c>
      <c r="L320" t="str">
        <f t="shared" si="9"/>
        <v>NonID</v>
      </c>
    </row>
    <row r="321" spans="1:13" hidden="1" x14ac:dyDescent="0.45">
      <c r="A321" t="s">
        <v>57</v>
      </c>
      <c r="B321" t="s">
        <v>72</v>
      </c>
      <c r="C321">
        <v>0.55475625125027317</v>
      </c>
      <c r="D321">
        <v>0.8</v>
      </c>
      <c r="E321">
        <v>0.99908895173900303</v>
      </c>
      <c r="G321" t="str">
        <f t="shared" si="8"/>
        <v>W</v>
      </c>
      <c r="H321" t="s">
        <v>133</v>
      </c>
      <c r="I321" t="s">
        <v>134</v>
      </c>
      <c r="J321" t="s">
        <v>428</v>
      </c>
      <c r="L321" t="str">
        <f t="shared" si="9"/>
        <v>NonID</v>
      </c>
    </row>
    <row r="322" spans="1:13" hidden="1" x14ac:dyDescent="0.45">
      <c r="A322" t="s">
        <v>57</v>
      </c>
      <c r="B322" t="s">
        <v>63</v>
      </c>
      <c r="C322">
        <v>1</v>
      </c>
      <c r="D322">
        <v>0.8</v>
      </c>
      <c r="E322">
        <v>4.0701379399835057E-3</v>
      </c>
      <c r="G322" t="str">
        <f t="shared" ref="G322:G385" si="10">IF(A322=B322,".","W")</f>
        <v>W</v>
      </c>
      <c r="H322" t="s">
        <v>481</v>
      </c>
      <c r="I322" t="s">
        <v>482</v>
      </c>
      <c r="J322" t="s">
        <v>497</v>
      </c>
      <c r="L322" t="str">
        <f t="shared" si="9"/>
        <v>NonID</v>
      </c>
    </row>
    <row r="323" spans="1:13" hidden="1" x14ac:dyDescent="0.45">
      <c r="A323" t="s">
        <v>57</v>
      </c>
      <c r="B323" t="s">
        <v>91</v>
      </c>
      <c r="C323">
        <v>0.30624349555237212</v>
      </c>
      <c r="D323">
        <v>0.8</v>
      </c>
      <c r="E323">
        <v>0.99142231192149144</v>
      </c>
      <c r="G323" t="str">
        <f t="shared" si="10"/>
        <v>W</v>
      </c>
      <c r="H323" t="s">
        <v>343</v>
      </c>
      <c r="I323" t="s">
        <v>344</v>
      </c>
      <c r="J323" t="s">
        <v>438</v>
      </c>
      <c r="L323" t="str">
        <f t="shared" ref="L323:L386" si="11">IF(C323&lt;=$L$1,".","NonID")</f>
        <v>NonID</v>
      </c>
    </row>
    <row r="324" spans="1:13" hidden="1" x14ac:dyDescent="0.45">
      <c r="A324" t="s">
        <v>19</v>
      </c>
      <c r="B324" t="s">
        <v>63</v>
      </c>
      <c r="C324">
        <v>0.99999891499707394</v>
      </c>
      <c r="D324">
        <v>0.8</v>
      </c>
      <c r="E324">
        <v>0.99330700849498244</v>
      </c>
      <c r="G324" t="str">
        <f t="shared" si="10"/>
        <v>W</v>
      </c>
      <c r="H324" t="s">
        <v>360</v>
      </c>
      <c r="I324" t="s">
        <v>361</v>
      </c>
      <c r="J324" t="s">
        <v>420</v>
      </c>
      <c r="L324" t="str">
        <f t="shared" si="11"/>
        <v>NonID</v>
      </c>
    </row>
    <row r="325" spans="1:13" hidden="1" x14ac:dyDescent="0.45">
      <c r="A325" t="s">
        <v>57</v>
      </c>
      <c r="B325" t="s">
        <v>63</v>
      </c>
      <c r="C325">
        <v>0.99954422813035437</v>
      </c>
      <c r="D325">
        <v>0.8</v>
      </c>
      <c r="E325">
        <v>0.98593597176585357</v>
      </c>
      <c r="G325" t="str">
        <f t="shared" si="10"/>
        <v>W</v>
      </c>
      <c r="H325" t="s">
        <v>440</v>
      </c>
      <c r="I325" t="s">
        <v>99</v>
      </c>
      <c r="J325" t="s">
        <v>420</v>
      </c>
      <c r="L325" t="str">
        <f t="shared" si="11"/>
        <v>NonID</v>
      </c>
    </row>
    <row r="326" spans="1:13" hidden="1" x14ac:dyDescent="0.45">
      <c r="A326" t="s">
        <v>19</v>
      </c>
      <c r="B326" t="s">
        <v>63</v>
      </c>
      <c r="C326">
        <v>1</v>
      </c>
      <c r="D326">
        <v>0.8</v>
      </c>
      <c r="E326">
        <v>0.99849876799337189</v>
      </c>
      <c r="G326" t="str">
        <f t="shared" si="10"/>
        <v>W</v>
      </c>
      <c r="H326" t="s">
        <v>162</v>
      </c>
      <c r="I326" t="s">
        <v>163</v>
      </c>
      <c r="J326" t="s">
        <v>425</v>
      </c>
      <c r="L326" t="str">
        <f t="shared" si="11"/>
        <v>NonID</v>
      </c>
    </row>
    <row r="327" spans="1:13" hidden="1" x14ac:dyDescent="0.45">
      <c r="A327" t="s">
        <v>19</v>
      </c>
      <c r="B327" t="s">
        <v>63</v>
      </c>
      <c r="C327">
        <v>1</v>
      </c>
      <c r="D327">
        <v>0.8</v>
      </c>
      <c r="E327">
        <v>0.99807322600355197</v>
      </c>
      <c r="G327" t="str">
        <f t="shared" si="10"/>
        <v>W</v>
      </c>
      <c r="H327" t="s">
        <v>375</v>
      </c>
      <c r="I327" t="s">
        <v>376</v>
      </c>
      <c r="J327" t="s">
        <v>425</v>
      </c>
      <c r="L327" t="str">
        <f t="shared" si="11"/>
        <v>NonID</v>
      </c>
    </row>
    <row r="328" spans="1:13" hidden="1" x14ac:dyDescent="0.45">
      <c r="A328" t="s">
        <v>74</v>
      </c>
      <c r="B328" t="s">
        <v>74</v>
      </c>
      <c r="C328">
        <v>0.20878986465256369</v>
      </c>
      <c r="D328">
        <v>0.8</v>
      </c>
      <c r="E328">
        <v>0.98901275129562083</v>
      </c>
      <c r="G328" t="str">
        <f t="shared" si="10"/>
        <v>.</v>
      </c>
      <c r="H328" s="8" t="s">
        <v>372</v>
      </c>
      <c r="I328" s="8" t="s">
        <v>99</v>
      </c>
      <c r="J328" s="8" t="s">
        <v>426</v>
      </c>
      <c r="L328" t="str">
        <f t="shared" si="11"/>
        <v>.</v>
      </c>
    </row>
    <row r="329" spans="1:13" hidden="1" x14ac:dyDescent="0.45">
      <c r="A329" t="s">
        <v>81</v>
      </c>
      <c r="B329" t="s">
        <v>81</v>
      </c>
      <c r="C329">
        <v>0.58473531019064739</v>
      </c>
      <c r="D329">
        <v>0.8</v>
      </c>
      <c r="E329">
        <v>0.99998323721818272</v>
      </c>
      <c r="G329" t="str">
        <f t="shared" si="10"/>
        <v>.</v>
      </c>
      <c r="H329" s="8" t="s">
        <v>391</v>
      </c>
      <c r="I329" s="8" t="s">
        <v>392</v>
      </c>
      <c r="J329" s="8" t="s">
        <v>429</v>
      </c>
      <c r="L329" s="13" t="str">
        <f t="shared" si="11"/>
        <v>NonID</v>
      </c>
      <c r="M329" s="8" t="s">
        <v>515</v>
      </c>
    </row>
    <row r="330" spans="1:13" hidden="1" x14ac:dyDescent="0.45">
      <c r="A330" t="s">
        <v>57</v>
      </c>
      <c r="B330" t="s">
        <v>63</v>
      </c>
      <c r="C330">
        <v>0.99995421030253751</v>
      </c>
      <c r="D330">
        <v>0.8</v>
      </c>
      <c r="E330">
        <v>0.98593632069119785</v>
      </c>
      <c r="G330" t="str">
        <f t="shared" si="10"/>
        <v>W</v>
      </c>
      <c r="H330" t="s">
        <v>263</v>
      </c>
      <c r="I330" t="s">
        <v>264</v>
      </c>
      <c r="J330" t="s">
        <v>420</v>
      </c>
      <c r="L330" t="str">
        <f t="shared" si="11"/>
        <v>NonID</v>
      </c>
    </row>
    <row r="331" spans="1:13" hidden="1" x14ac:dyDescent="0.45">
      <c r="A331" t="s">
        <v>19</v>
      </c>
      <c r="B331" t="s">
        <v>63</v>
      </c>
      <c r="C331">
        <v>1</v>
      </c>
      <c r="D331">
        <v>0.8</v>
      </c>
      <c r="E331">
        <v>0.26894108467305378</v>
      </c>
      <c r="G331" t="str">
        <f t="shared" si="10"/>
        <v>W</v>
      </c>
      <c r="H331" t="s">
        <v>111</v>
      </c>
      <c r="I331" t="s">
        <v>112</v>
      </c>
      <c r="J331" t="s">
        <v>421</v>
      </c>
      <c r="L331" t="str">
        <f t="shared" si="11"/>
        <v>NonID</v>
      </c>
    </row>
    <row r="332" spans="1:13" hidden="1" x14ac:dyDescent="0.45">
      <c r="A332" t="s">
        <v>19</v>
      </c>
      <c r="B332" t="s">
        <v>63</v>
      </c>
      <c r="C332">
        <v>1</v>
      </c>
      <c r="D332">
        <v>0.8</v>
      </c>
      <c r="E332">
        <v>0.99807322600355197</v>
      </c>
      <c r="G332" t="str">
        <f t="shared" si="10"/>
        <v>W</v>
      </c>
      <c r="H332" t="s">
        <v>233</v>
      </c>
      <c r="I332" t="s">
        <v>234</v>
      </c>
      <c r="J332" t="s">
        <v>425</v>
      </c>
      <c r="L332" t="str">
        <f t="shared" si="11"/>
        <v>NonID</v>
      </c>
    </row>
    <row r="333" spans="1:13" hidden="1" x14ac:dyDescent="0.45">
      <c r="A333" t="s">
        <v>78</v>
      </c>
      <c r="B333" t="s">
        <v>78</v>
      </c>
      <c r="C333">
        <v>0.20001540823179911</v>
      </c>
      <c r="D333">
        <v>0.8</v>
      </c>
      <c r="E333">
        <v>0.99999813753780198</v>
      </c>
      <c r="G333" t="str">
        <f t="shared" si="10"/>
        <v>.</v>
      </c>
      <c r="H333" s="8" t="s">
        <v>458</v>
      </c>
      <c r="I333" s="8" t="s">
        <v>459</v>
      </c>
      <c r="J333" s="8" t="s">
        <v>429</v>
      </c>
      <c r="L333" t="str">
        <f t="shared" si="11"/>
        <v>.</v>
      </c>
    </row>
    <row r="334" spans="1:13" hidden="1" x14ac:dyDescent="0.45">
      <c r="A334" t="s">
        <v>77</v>
      </c>
      <c r="B334" t="s">
        <v>77</v>
      </c>
      <c r="C334">
        <v>0.20000500487299211</v>
      </c>
      <c r="D334">
        <v>0.8</v>
      </c>
      <c r="E334">
        <v>0.99999766072415552</v>
      </c>
      <c r="G334" t="str">
        <f t="shared" si="10"/>
        <v>.</v>
      </c>
      <c r="H334" s="8" t="s">
        <v>451</v>
      </c>
      <c r="I334" s="8" t="s">
        <v>237</v>
      </c>
      <c r="J334" s="8" t="s">
        <v>422</v>
      </c>
      <c r="L334" t="str">
        <f t="shared" si="11"/>
        <v>.</v>
      </c>
    </row>
    <row r="335" spans="1:13" hidden="1" x14ac:dyDescent="0.45">
      <c r="A335" t="s">
        <v>57</v>
      </c>
      <c r="B335" t="s">
        <v>63</v>
      </c>
      <c r="C335">
        <v>1</v>
      </c>
      <c r="D335">
        <v>0.8</v>
      </c>
      <c r="E335">
        <v>0.93991051719668928</v>
      </c>
      <c r="G335" t="str">
        <f t="shared" si="10"/>
        <v>W</v>
      </c>
      <c r="H335" t="s">
        <v>472</v>
      </c>
      <c r="I335" t="s">
        <v>99</v>
      </c>
      <c r="J335" t="s">
        <v>418</v>
      </c>
      <c r="L335" t="str">
        <f t="shared" si="11"/>
        <v>NonID</v>
      </c>
    </row>
    <row r="336" spans="1:13" hidden="1" x14ac:dyDescent="0.45">
      <c r="A336" t="s">
        <v>19</v>
      </c>
      <c r="B336" t="s">
        <v>63</v>
      </c>
      <c r="C336">
        <v>1</v>
      </c>
      <c r="D336">
        <v>0.8</v>
      </c>
      <c r="E336">
        <v>0.99908895173900303</v>
      </c>
      <c r="G336" t="str">
        <f t="shared" si="10"/>
        <v>W</v>
      </c>
      <c r="H336" t="s">
        <v>122</v>
      </c>
      <c r="I336" t="s">
        <v>123</v>
      </c>
      <c r="J336" t="s">
        <v>425</v>
      </c>
      <c r="L336" t="str">
        <f t="shared" si="11"/>
        <v>NonID</v>
      </c>
    </row>
    <row r="337" spans="1:13" hidden="1" x14ac:dyDescent="0.45">
      <c r="A337" t="s">
        <v>19</v>
      </c>
      <c r="B337" t="s">
        <v>63</v>
      </c>
      <c r="C337">
        <v>1</v>
      </c>
      <c r="D337">
        <v>0.8</v>
      </c>
      <c r="E337">
        <v>6.6928512642157227E-3</v>
      </c>
      <c r="G337" t="str">
        <f t="shared" si="10"/>
        <v>W</v>
      </c>
      <c r="H337" t="s">
        <v>157</v>
      </c>
      <c r="I337" t="s">
        <v>158</v>
      </c>
      <c r="J337" t="s">
        <v>430</v>
      </c>
      <c r="L337" t="str">
        <f t="shared" si="11"/>
        <v>NonID</v>
      </c>
    </row>
    <row r="338" spans="1:13" hidden="1" x14ac:dyDescent="0.45">
      <c r="A338" t="s">
        <v>19</v>
      </c>
      <c r="B338" t="s">
        <v>62</v>
      </c>
      <c r="C338">
        <v>0.2000009376866336</v>
      </c>
      <c r="D338">
        <v>0.8</v>
      </c>
      <c r="E338">
        <v>0.99999885275869793</v>
      </c>
      <c r="G338" t="str">
        <f t="shared" si="10"/>
        <v>W</v>
      </c>
      <c r="H338" t="s">
        <v>145</v>
      </c>
      <c r="I338" t="s">
        <v>146</v>
      </c>
      <c r="J338" t="s">
        <v>417</v>
      </c>
      <c r="L338" s="13" t="str">
        <f t="shared" si="11"/>
        <v>.</v>
      </c>
      <c r="M338" t="s">
        <v>524</v>
      </c>
    </row>
    <row r="339" spans="1:13" hidden="1" x14ac:dyDescent="0.45">
      <c r="A339" t="s">
        <v>57</v>
      </c>
      <c r="B339" t="s">
        <v>63</v>
      </c>
      <c r="C339">
        <v>0.9999959502962571</v>
      </c>
      <c r="D339">
        <v>0.8</v>
      </c>
      <c r="E339">
        <v>0.9706870301020154</v>
      </c>
      <c r="G339" t="str">
        <f t="shared" si="10"/>
        <v>W</v>
      </c>
      <c r="H339" t="s">
        <v>389</v>
      </c>
      <c r="I339" t="s">
        <v>390</v>
      </c>
      <c r="J339" t="s">
        <v>420</v>
      </c>
      <c r="L339" t="str">
        <f t="shared" si="11"/>
        <v>NonID</v>
      </c>
    </row>
    <row r="340" spans="1:13" hidden="1" x14ac:dyDescent="0.45">
      <c r="A340" t="s">
        <v>57</v>
      </c>
      <c r="B340" t="s">
        <v>63</v>
      </c>
      <c r="C340">
        <v>0.99999717730219961</v>
      </c>
      <c r="D340">
        <v>0.8</v>
      </c>
      <c r="E340">
        <v>0.99477978997431815</v>
      </c>
      <c r="G340" t="str">
        <f t="shared" si="10"/>
        <v>W</v>
      </c>
      <c r="H340" t="s">
        <v>449</v>
      </c>
      <c r="I340" t="s">
        <v>450</v>
      </c>
      <c r="J340" t="s">
        <v>420</v>
      </c>
      <c r="L340" t="str">
        <f t="shared" si="11"/>
        <v>NonID</v>
      </c>
    </row>
    <row r="341" spans="1:13" hidden="1" x14ac:dyDescent="0.45">
      <c r="A341" t="s">
        <v>68</v>
      </c>
      <c r="B341" t="s">
        <v>68</v>
      </c>
      <c r="C341">
        <v>2.4759680055989049E-3</v>
      </c>
      <c r="D341">
        <v>1</v>
      </c>
      <c r="E341">
        <v>0.99752728456888673</v>
      </c>
      <c r="G341" t="str">
        <f t="shared" si="10"/>
        <v>.</v>
      </c>
      <c r="H341" s="8" t="s">
        <v>152</v>
      </c>
      <c r="I341" s="8" t="s">
        <v>153</v>
      </c>
      <c r="J341" s="8" t="s">
        <v>423</v>
      </c>
      <c r="L341" t="str">
        <f t="shared" si="11"/>
        <v>.</v>
      </c>
    </row>
    <row r="342" spans="1:13" hidden="1" x14ac:dyDescent="0.45">
      <c r="A342" t="s">
        <v>71</v>
      </c>
      <c r="B342" t="s">
        <v>71</v>
      </c>
      <c r="C342">
        <v>0.20028036421721149</v>
      </c>
      <c r="D342">
        <v>0.8</v>
      </c>
      <c r="E342">
        <v>0.99966459043674005</v>
      </c>
      <c r="G342" t="str">
        <f t="shared" si="10"/>
        <v>.</v>
      </c>
      <c r="H342" s="8" t="s">
        <v>219</v>
      </c>
      <c r="I342" s="8" t="s">
        <v>220</v>
      </c>
      <c r="J342" s="8" t="s">
        <v>426</v>
      </c>
      <c r="L342" t="str">
        <f t="shared" si="11"/>
        <v>.</v>
      </c>
    </row>
    <row r="343" spans="1:13" hidden="1" x14ac:dyDescent="0.45">
      <c r="A343" t="s">
        <v>79</v>
      </c>
      <c r="B343" t="s">
        <v>79</v>
      </c>
      <c r="C343">
        <v>0.20009875087227411</v>
      </c>
      <c r="D343">
        <v>0.8</v>
      </c>
      <c r="E343">
        <v>0.99987656475506059</v>
      </c>
      <c r="G343" t="str">
        <f t="shared" si="10"/>
        <v>.</v>
      </c>
      <c r="H343" s="8" t="s">
        <v>350</v>
      </c>
      <c r="I343" s="8" t="s">
        <v>351</v>
      </c>
      <c r="J343" s="8" t="s">
        <v>434</v>
      </c>
      <c r="L343" t="str">
        <f t="shared" si="11"/>
        <v>.</v>
      </c>
    </row>
    <row r="344" spans="1:13" hidden="1" x14ac:dyDescent="0.45">
      <c r="A344" t="s">
        <v>57</v>
      </c>
      <c r="B344" t="s">
        <v>84</v>
      </c>
      <c r="C344">
        <v>0.20056780113717029</v>
      </c>
      <c r="D344">
        <v>0.8</v>
      </c>
      <c r="E344">
        <v>0.99929032330932133</v>
      </c>
      <c r="G344" t="str">
        <f t="shared" si="10"/>
        <v>W</v>
      </c>
      <c r="H344" t="s">
        <v>294</v>
      </c>
      <c r="I344" t="s">
        <v>295</v>
      </c>
      <c r="J344" t="s">
        <v>438</v>
      </c>
      <c r="L344" s="13" t="str">
        <f t="shared" si="11"/>
        <v>.</v>
      </c>
      <c r="M344" t="s">
        <v>515</v>
      </c>
    </row>
    <row r="345" spans="1:13" hidden="1" x14ac:dyDescent="0.45">
      <c r="A345" t="s">
        <v>57</v>
      </c>
      <c r="B345" t="s">
        <v>63</v>
      </c>
      <c r="C345">
        <v>1</v>
      </c>
      <c r="D345">
        <v>0.8</v>
      </c>
      <c r="E345">
        <v>0.880796810635188</v>
      </c>
      <c r="G345" t="str">
        <f t="shared" si="10"/>
        <v>W</v>
      </c>
      <c r="H345" t="s">
        <v>98</v>
      </c>
      <c r="I345" t="s">
        <v>99</v>
      </c>
      <c r="J345" t="s">
        <v>418</v>
      </c>
      <c r="L345" t="str">
        <f t="shared" si="11"/>
        <v>NonID</v>
      </c>
    </row>
    <row r="346" spans="1:13" hidden="1" x14ac:dyDescent="0.45">
      <c r="A346" t="s">
        <v>57</v>
      </c>
      <c r="B346" t="s">
        <v>77</v>
      </c>
      <c r="C346">
        <v>0.34542600295172732</v>
      </c>
      <c r="D346">
        <v>0.8</v>
      </c>
      <c r="E346">
        <v>0.99592990413102933</v>
      </c>
      <c r="G346" t="str">
        <f t="shared" si="10"/>
        <v>W</v>
      </c>
      <c r="H346" t="s">
        <v>471</v>
      </c>
      <c r="I346" t="s">
        <v>99</v>
      </c>
      <c r="J346" t="s">
        <v>422</v>
      </c>
      <c r="L346" t="str">
        <f t="shared" si="11"/>
        <v>NonID</v>
      </c>
    </row>
    <row r="347" spans="1:13" hidden="1" x14ac:dyDescent="0.45">
      <c r="A347" t="s">
        <v>19</v>
      </c>
      <c r="B347" t="s">
        <v>63</v>
      </c>
      <c r="C347">
        <v>0.99956829617444221</v>
      </c>
      <c r="D347">
        <v>0.8</v>
      </c>
      <c r="E347">
        <v>0.99330700849498244</v>
      </c>
      <c r="G347" t="str">
        <f t="shared" si="10"/>
        <v>W</v>
      </c>
      <c r="H347" t="s">
        <v>120</v>
      </c>
      <c r="I347" t="s">
        <v>121</v>
      </c>
      <c r="J347" t="s">
        <v>420</v>
      </c>
      <c r="L347" t="str">
        <f t="shared" si="11"/>
        <v>NonID</v>
      </c>
    </row>
    <row r="348" spans="1:13" hidden="1" x14ac:dyDescent="0.45">
      <c r="A348" t="s">
        <v>75</v>
      </c>
      <c r="B348" t="s">
        <v>75</v>
      </c>
      <c r="C348">
        <v>0.20007692125610149</v>
      </c>
      <c r="D348">
        <v>0.8</v>
      </c>
      <c r="E348">
        <v>0.99990385206411014</v>
      </c>
      <c r="G348" t="str">
        <f t="shared" si="10"/>
        <v>.</v>
      </c>
      <c r="H348" s="8" t="s">
        <v>155</v>
      </c>
      <c r="I348" s="8" t="s">
        <v>156</v>
      </c>
      <c r="J348" s="8" t="s">
        <v>429</v>
      </c>
      <c r="L348" t="str">
        <f t="shared" si="11"/>
        <v>.</v>
      </c>
    </row>
    <row r="349" spans="1:13" hidden="1" x14ac:dyDescent="0.45">
      <c r="A349" t="s">
        <v>19</v>
      </c>
      <c r="B349" t="s">
        <v>68</v>
      </c>
      <c r="C349">
        <v>0.99401964819458288</v>
      </c>
      <c r="D349">
        <v>0.8</v>
      </c>
      <c r="E349">
        <v>2.2977361934812202E-2</v>
      </c>
      <c r="G349" t="str">
        <f t="shared" si="10"/>
        <v>W</v>
      </c>
      <c r="H349" t="s">
        <v>238</v>
      </c>
      <c r="I349" t="s">
        <v>239</v>
      </c>
      <c r="J349" t="s">
        <v>435</v>
      </c>
      <c r="L349" t="str">
        <f t="shared" si="11"/>
        <v>NonID</v>
      </c>
    </row>
    <row r="350" spans="1:13" hidden="1" x14ac:dyDescent="0.45">
      <c r="A350" t="s">
        <v>57</v>
      </c>
      <c r="B350" t="s">
        <v>63</v>
      </c>
      <c r="C350">
        <v>0.99999926452212895</v>
      </c>
      <c r="D350">
        <v>0.8</v>
      </c>
      <c r="E350">
        <v>0.92413993957478202</v>
      </c>
      <c r="G350" t="str">
        <f t="shared" si="10"/>
        <v>W</v>
      </c>
      <c r="H350" t="s">
        <v>312</v>
      </c>
      <c r="I350" t="s">
        <v>99</v>
      </c>
      <c r="J350" t="s">
        <v>420</v>
      </c>
      <c r="L350" t="str">
        <f t="shared" si="11"/>
        <v>NonID</v>
      </c>
    </row>
    <row r="351" spans="1:13" hidden="1" x14ac:dyDescent="0.45">
      <c r="A351" t="s">
        <v>85</v>
      </c>
      <c r="B351" t="s">
        <v>85</v>
      </c>
      <c r="C351">
        <v>7.0967670564014984E-4</v>
      </c>
      <c r="D351">
        <v>1</v>
      </c>
      <c r="E351">
        <v>0.99929032330932133</v>
      </c>
      <c r="G351" t="str">
        <f t="shared" si="10"/>
        <v>.</v>
      </c>
      <c r="H351" s="8" t="s">
        <v>329</v>
      </c>
      <c r="I351" s="8" t="s">
        <v>330</v>
      </c>
      <c r="J351" s="8" t="s">
        <v>423</v>
      </c>
      <c r="L351" t="str">
        <f t="shared" si="11"/>
        <v>.</v>
      </c>
    </row>
    <row r="352" spans="1:13" hidden="1" x14ac:dyDescent="0.45">
      <c r="A352" t="s">
        <v>74</v>
      </c>
      <c r="B352" t="s">
        <v>74</v>
      </c>
      <c r="C352">
        <v>0.21439022217387799</v>
      </c>
      <c r="D352">
        <v>0.8</v>
      </c>
      <c r="E352">
        <v>0.98201331327910268</v>
      </c>
      <c r="G352" t="str">
        <f t="shared" si="10"/>
        <v>.</v>
      </c>
      <c r="H352" s="8" t="s">
        <v>182</v>
      </c>
      <c r="I352" s="8" t="s">
        <v>99</v>
      </c>
      <c r="J352" s="8" t="s">
        <v>426</v>
      </c>
      <c r="L352" t="str">
        <f t="shared" si="11"/>
        <v>.</v>
      </c>
    </row>
    <row r="353" spans="1:13" hidden="1" x14ac:dyDescent="0.45">
      <c r="A353" t="s">
        <v>19</v>
      </c>
      <c r="B353" t="s">
        <v>63</v>
      </c>
      <c r="C353">
        <v>1</v>
      </c>
      <c r="D353">
        <v>0.8</v>
      </c>
      <c r="E353">
        <v>0.98901298801575388</v>
      </c>
      <c r="G353" t="str">
        <f t="shared" si="10"/>
        <v>W</v>
      </c>
      <c r="H353" t="s">
        <v>277</v>
      </c>
      <c r="I353" t="s">
        <v>278</v>
      </c>
      <c r="J353" t="s">
        <v>437</v>
      </c>
      <c r="L353" t="str">
        <f t="shared" si="11"/>
        <v>NonID</v>
      </c>
    </row>
    <row r="354" spans="1:13" hidden="1" x14ac:dyDescent="0.45">
      <c r="A354" t="s">
        <v>66</v>
      </c>
      <c r="B354" t="s">
        <v>66</v>
      </c>
      <c r="C354">
        <v>0.201978077604962</v>
      </c>
      <c r="D354">
        <v>0.8</v>
      </c>
      <c r="E354">
        <v>0.99752740325115785</v>
      </c>
      <c r="G354" t="str">
        <f t="shared" si="10"/>
        <v>.</v>
      </c>
      <c r="H354" s="8" t="s">
        <v>118</v>
      </c>
      <c r="I354" s="8" t="s">
        <v>119</v>
      </c>
      <c r="J354" s="8" t="s">
        <v>421</v>
      </c>
      <c r="L354" t="str">
        <f t="shared" si="11"/>
        <v>.</v>
      </c>
    </row>
    <row r="355" spans="1:13" hidden="1" x14ac:dyDescent="0.45">
      <c r="A355" t="s">
        <v>85</v>
      </c>
      <c r="B355" t="s">
        <v>85</v>
      </c>
      <c r="C355">
        <v>0.73167010553355172</v>
      </c>
      <c r="D355">
        <v>1</v>
      </c>
      <c r="E355">
        <v>0.26894092437172351</v>
      </c>
      <c r="G355" t="str">
        <f t="shared" si="10"/>
        <v>.</v>
      </c>
      <c r="H355" s="8" t="s">
        <v>354</v>
      </c>
      <c r="I355" s="8" t="s">
        <v>355</v>
      </c>
      <c r="J355" s="8" t="s">
        <v>423</v>
      </c>
      <c r="L355" t="str">
        <f t="shared" si="11"/>
        <v>NonID</v>
      </c>
      <c r="M355" s="8" t="s">
        <v>515</v>
      </c>
    </row>
    <row r="356" spans="1:13" hidden="1" x14ac:dyDescent="0.45">
      <c r="A356" t="s">
        <v>65</v>
      </c>
      <c r="B356" t="s">
        <v>65</v>
      </c>
      <c r="C356">
        <v>0.20253813615517119</v>
      </c>
      <c r="D356">
        <v>0.8</v>
      </c>
      <c r="E356">
        <v>0.99682732998531542</v>
      </c>
      <c r="G356" t="str">
        <f t="shared" si="10"/>
        <v>.</v>
      </c>
      <c r="H356" s="8" t="s">
        <v>316</v>
      </c>
      <c r="I356" s="8" t="s">
        <v>317</v>
      </c>
      <c r="J356" s="8" t="s">
        <v>427</v>
      </c>
      <c r="L356" t="str">
        <f t="shared" si="11"/>
        <v>.</v>
      </c>
    </row>
    <row r="357" spans="1:13" hidden="1" x14ac:dyDescent="0.45">
      <c r="A357" t="s">
        <v>77</v>
      </c>
      <c r="B357" t="s">
        <v>77</v>
      </c>
      <c r="C357">
        <v>0.2002090450981909</v>
      </c>
      <c r="D357">
        <v>0.8</v>
      </c>
      <c r="E357">
        <v>0.99973869830781348</v>
      </c>
      <c r="G357" t="str">
        <f t="shared" si="10"/>
        <v>.</v>
      </c>
      <c r="H357" s="8" t="s">
        <v>236</v>
      </c>
      <c r="I357" s="8" t="s">
        <v>237</v>
      </c>
      <c r="J357" s="8" t="s">
        <v>422</v>
      </c>
      <c r="L357" t="str">
        <f t="shared" si="11"/>
        <v>.</v>
      </c>
    </row>
    <row r="358" spans="1:13" hidden="1" x14ac:dyDescent="0.45">
      <c r="A358" t="s">
        <v>80</v>
      </c>
      <c r="B358" t="s">
        <v>80</v>
      </c>
      <c r="C358">
        <v>0.20003261804964181</v>
      </c>
      <c r="D358">
        <v>0.8</v>
      </c>
      <c r="E358">
        <v>0.99998979333147131</v>
      </c>
      <c r="G358" t="str">
        <f t="shared" si="10"/>
        <v>.</v>
      </c>
      <c r="H358" s="8" t="s">
        <v>325</v>
      </c>
      <c r="I358" s="8" t="s">
        <v>321</v>
      </c>
      <c r="J358" s="8" t="s">
        <v>429</v>
      </c>
      <c r="L358" t="str">
        <f t="shared" si="11"/>
        <v>.</v>
      </c>
    </row>
    <row r="359" spans="1:13" hidden="1" x14ac:dyDescent="0.45">
      <c r="A359" t="s">
        <v>61</v>
      </c>
      <c r="B359" t="s">
        <v>61</v>
      </c>
      <c r="C359">
        <v>0.20704658588659511</v>
      </c>
      <c r="D359">
        <v>0.8</v>
      </c>
      <c r="E359">
        <v>0.99142243010824804</v>
      </c>
      <c r="G359" t="str">
        <f t="shared" si="10"/>
        <v>.</v>
      </c>
      <c r="H359" s="8" t="s">
        <v>94</v>
      </c>
      <c r="I359" s="8" t="s">
        <v>95</v>
      </c>
      <c r="J359" s="8" t="s">
        <v>416</v>
      </c>
      <c r="L359" t="str">
        <f t="shared" si="11"/>
        <v>.</v>
      </c>
    </row>
    <row r="360" spans="1:13" hidden="1" x14ac:dyDescent="0.45">
      <c r="A360" t="s">
        <v>19</v>
      </c>
      <c r="B360" t="s">
        <v>63</v>
      </c>
      <c r="C360">
        <v>1</v>
      </c>
      <c r="D360">
        <v>0.8</v>
      </c>
      <c r="E360">
        <v>0.98901275129562083</v>
      </c>
      <c r="G360" t="str">
        <f t="shared" si="10"/>
        <v>W</v>
      </c>
      <c r="H360" t="s">
        <v>199</v>
      </c>
      <c r="I360" t="s">
        <v>200</v>
      </c>
      <c r="J360" t="s">
        <v>418</v>
      </c>
      <c r="L360" t="str">
        <f t="shared" si="11"/>
        <v>NonID</v>
      </c>
    </row>
    <row r="361" spans="1:13" hidden="1" x14ac:dyDescent="0.45">
      <c r="A361" t="s">
        <v>57</v>
      </c>
      <c r="B361" t="s">
        <v>63</v>
      </c>
      <c r="C361">
        <v>0.80824664700868332</v>
      </c>
      <c r="D361">
        <v>0.8</v>
      </c>
      <c r="E361">
        <v>0.96267122613891776</v>
      </c>
      <c r="G361" t="str">
        <f t="shared" si="10"/>
        <v>W</v>
      </c>
      <c r="H361" t="s">
        <v>445</v>
      </c>
      <c r="I361" t="s">
        <v>446</v>
      </c>
      <c r="J361" t="s">
        <v>429</v>
      </c>
      <c r="L361" t="str">
        <f t="shared" si="11"/>
        <v>NonID</v>
      </c>
    </row>
    <row r="362" spans="1:13" hidden="1" x14ac:dyDescent="0.45">
      <c r="A362" t="s">
        <v>19</v>
      </c>
      <c r="B362" t="s">
        <v>82</v>
      </c>
      <c r="C362">
        <v>0.98983475249692743</v>
      </c>
      <c r="D362">
        <v>0.8</v>
      </c>
      <c r="E362">
        <v>0.85194910416773717</v>
      </c>
      <c r="G362" t="str">
        <f t="shared" si="10"/>
        <v>W</v>
      </c>
      <c r="H362" t="s">
        <v>452</v>
      </c>
      <c r="I362" t="s">
        <v>453</v>
      </c>
      <c r="J362" t="s">
        <v>420</v>
      </c>
      <c r="L362" t="str">
        <f t="shared" si="11"/>
        <v>NonID</v>
      </c>
    </row>
    <row r="363" spans="1:13" hidden="1" x14ac:dyDescent="0.45">
      <c r="A363" t="s">
        <v>19</v>
      </c>
      <c r="B363" t="s">
        <v>63</v>
      </c>
      <c r="C363">
        <v>0.99971934580288702</v>
      </c>
      <c r="D363">
        <v>0.8</v>
      </c>
      <c r="E363">
        <v>0.81757418721671737</v>
      </c>
      <c r="G363" t="str">
        <f t="shared" si="10"/>
        <v>W</v>
      </c>
      <c r="H363" t="s">
        <v>447</v>
      </c>
      <c r="I363" t="s">
        <v>448</v>
      </c>
      <c r="J363" t="s">
        <v>420</v>
      </c>
      <c r="L363" t="str">
        <f t="shared" si="11"/>
        <v>NonID</v>
      </c>
    </row>
    <row r="364" spans="1:13" hidden="1" x14ac:dyDescent="0.45">
      <c r="A364" t="s">
        <v>19</v>
      </c>
      <c r="B364" t="s">
        <v>65</v>
      </c>
      <c r="C364">
        <v>0.93931359375852097</v>
      </c>
      <c r="D364">
        <v>0.8</v>
      </c>
      <c r="E364">
        <v>7.5858008712697766E-2</v>
      </c>
      <c r="G364" t="str">
        <f t="shared" si="10"/>
        <v>W</v>
      </c>
      <c r="H364" t="s">
        <v>204</v>
      </c>
      <c r="I364" t="s">
        <v>205</v>
      </c>
      <c r="J364" s="2" t="s">
        <v>432</v>
      </c>
      <c r="L364" t="str">
        <f t="shared" si="11"/>
        <v>NonID</v>
      </c>
    </row>
    <row r="365" spans="1:13" hidden="1" x14ac:dyDescent="0.45">
      <c r="A365" t="s">
        <v>67</v>
      </c>
      <c r="B365" t="s">
        <v>67</v>
      </c>
      <c r="C365">
        <v>0.20000833414242589</v>
      </c>
      <c r="D365">
        <v>0.8</v>
      </c>
      <c r="E365">
        <v>0.99998979333147131</v>
      </c>
      <c r="G365" t="str">
        <f t="shared" si="10"/>
        <v>.</v>
      </c>
      <c r="H365" s="8" t="s">
        <v>104</v>
      </c>
      <c r="I365" s="8" t="s">
        <v>105</v>
      </c>
      <c r="J365" s="8" t="s">
        <v>422</v>
      </c>
      <c r="L365" t="str">
        <f t="shared" si="11"/>
        <v>.</v>
      </c>
    </row>
    <row r="366" spans="1:13" hidden="1" x14ac:dyDescent="0.45">
      <c r="A366" t="s">
        <v>19</v>
      </c>
      <c r="B366" t="s">
        <v>82</v>
      </c>
      <c r="C366">
        <v>0.78488841474941784</v>
      </c>
      <c r="D366">
        <v>0.8</v>
      </c>
      <c r="E366">
        <v>0.95257259338022438</v>
      </c>
      <c r="G366" t="str">
        <f t="shared" si="10"/>
        <v>W</v>
      </c>
      <c r="H366" t="s">
        <v>442</v>
      </c>
      <c r="I366" t="s">
        <v>443</v>
      </c>
      <c r="J366" t="s">
        <v>420</v>
      </c>
      <c r="L366" t="str">
        <f t="shared" si="11"/>
        <v>NonID</v>
      </c>
    </row>
    <row r="367" spans="1:13" hidden="1" x14ac:dyDescent="0.45">
      <c r="A367" t="s">
        <v>57</v>
      </c>
      <c r="B367" t="s">
        <v>61</v>
      </c>
      <c r="C367">
        <v>0.45747936025658648</v>
      </c>
      <c r="D367">
        <v>0.8</v>
      </c>
      <c r="E367">
        <v>0.67917355527194689</v>
      </c>
      <c r="G367" t="str">
        <f t="shared" si="10"/>
        <v>W</v>
      </c>
      <c r="H367" t="s">
        <v>333</v>
      </c>
      <c r="I367" t="s">
        <v>334</v>
      </c>
      <c r="J367" t="s">
        <v>435</v>
      </c>
      <c r="L367" t="str">
        <f t="shared" si="11"/>
        <v>NonID</v>
      </c>
    </row>
    <row r="368" spans="1:13" hidden="1" x14ac:dyDescent="0.45">
      <c r="A368" t="s">
        <v>61</v>
      </c>
      <c r="B368" t="s">
        <v>61</v>
      </c>
      <c r="C368">
        <v>0.22989517355445291</v>
      </c>
      <c r="D368">
        <v>0.8</v>
      </c>
      <c r="E368">
        <v>0.96267178200469405</v>
      </c>
      <c r="G368" t="str">
        <f t="shared" si="10"/>
        <v>.</v>
      </c>
      <c r="H368" s="8" t="s">
        <v>247</v>
      </c>
      <c r="I368" s="8" t="s">
        <v>248</v>
      </c>
      <c r="J368" s="8" t="s">
        <v>416</v>
      </c>
      <c r="L368" t="str">
        <f t="shared" si="11"/>
        <v>.</v>
      </c>
    </row>
    <row r="369" spans="1:13" x14ac:dyDescent="0.45">
      <c r="A369" t="s">
        <v>70</v>
      </c>
      <c r="B369" t="s">
        <v>82</v>
      </c>
      <c r="C369">
        <v>1</v>
      </c>
      <c r="D369">
        <v>0.8</v>
      </c>
      <c r="E369">
        <v>7.5858135314513964E-2</v>
      </c>
      <c r="G369" t="str">
        <f t="shared" si="10"/>
        <v>W</v>
      </c>
      <c r="H369" s="8" t="s">
        <v>115</v>
      </c>
      <c r="I369" s="8" t="s">
        <v>116</v>
      </c>
      <c r="J369" s="8" t="s">
        <v>421</v>
      </c>
      <c r="K369" s="8" t="s">
        <v>515</v>
      </c>
      <c r="L369" s="13" t="str">
        <f t="shared" si="11"/>
        <v>NonID</v>
      </c>
      <c r="M369" s="8" t="s">
        <v>515</v>
      </c>
    </row>
    <row r="370" spans="1:13" hidden="1" x14ac:dyDescent="0.45">
      <c r="A370" t="s">
        <v>19</v>
      </c>
      <c r="B370" t="s">
        <v>63</v>
      </c>
      <c r="C370">
        <v>1</v>
      </c>
      <c r="D370">
        <v>0.8</v>
      </c>
      <c r="E370">
        <v>0.99998693247732917</v>
      </c>
      <c r="G370" t="str">
        <f t="shared" si="10"/>
        <v>W</v>
      </c>
      <c r="H370" t="s">
        <v>463</v>
      </c>
      <c r="I370" t="s">
        <v>464</v>
      </c>
      <c r="J370" t="s">
        <v>436</v>
      </c>
      <c r="L370" t="str">
        <f t="shared" si="11"/>
        <v>NonID</v>
      </c>
    </row>
    <row r="371" spans="1:13" hidden="1" x14ac:dyDescent="0.45">
      <c r="A371" t="s">
        <v>57</v>
      </c>
      <c r="B371" t="s">
        <v>84</v>
      </c>
      <c r="C371">
        <v>0.2159795936255601</v>
      </c>
      <c r="D371">
        <v>0.8</v>
      </c>
      <c r="E371">
        <v>0.99966459043674005</v>
      </c>
      <c r="G371" t="str">
        <f t="shared" si="10"/>
        <v>W</v>
      </c>
      <c r="H371" t="s">
        <v>483</v>
      </c>
      <c r="I371" t="s">
        <v>484</v>
      </c>
      <c r="J371" t="s">
        <v>438</v>
      </c>
      <c r="L371" s="13" t="str">
        <f t="shared" si="11"/>
        <v>.</v>
      </c>
      <c r="M371" t="s">
        <v>515</v>
      </c>
    </row>
    <row r="372" spans="1:13" hidden="1" x14ac:dyDescent="0.45">
      <c r="A372" t="s">
        <v>61</v>
      </c>
      <c r="B372" t="s">
        <v>61</v>
      </c>
      <c r="C372">
        <v>0.24827933505674021</v>
      </c>
      <c r="D372">
        <v>0.8</v>
      </c>
      <c r="E372">
        <v>0.93991304523943053</v>
      </c>
      <c r="G372" t="str">
        <f t="shared" si="10"/>
        <v>.</v>
      </c>
      <c r="H372" s="8" t="s">
        <v>269</v>
      </c>
      <c r="I372" s="8" t="s">
        <v>270</v>
      </c>
      <c r="J372" s="8" t="s">
        <v>416</v>
      </c>
      <c r="L372" t="str">
        <f t="shared" si="11"/>
        <v>.</v>
      </c>
    </row>
    <row r="373" spans="1:13" hidden="1" x14ac:dyDescent="0.45">
      <c r="A373" t="s">
        <v>74</v>
      </c>
      <c r="B373" t="s">
        <v>74</v>
      </c>
      <c r="C373">
        <v>0.20253813613275529</v>
      </c>
      <c r="D373">
        <v>0.8</v>
      </c>
      <c r="E373">
        <v>0.99682732998531542</v>
      </c>
      <c r="G373" t="str">
        <f t="shared" si="10"/>
        <v>.</v>
      </c>
      <c r="H373" s="8" t="s">
        <v>275</v>
      </c>
      <c r="I373" s="8" t="s">
        <v>276</v>
      </c>
      <c r="J373" s="8" t="s">
        <v>426</v>
      </c>
      <c r="L373" t="str">
        <f t="shared" si="11"/>
        <v>.</v>
      </c>
    </row>
    <row r="374" spans="1:13" hidden="1" x14ac:dyDescent="0.45">
      <c r="A374" t="s">
        <v>57</v>
      </c>
      <c r="B374" t="s">
        <v>82</v>
      </c>
      <c r="C374">
        <v>0.97998541190201616</v>
      </c>
      <c r="D374">
        <v>0.8</v>
      </c>
      <c r="E374">
        <v>0.95257410863766068</v>
      </c>
      <c r="G374" t="str">
        <f t="shared" si="10"/>
        <v>W</v>
      </c>
      <c r="H374" t="s">
        <v>460</v>
      </c>
      <c r="I374" t="s">
        <v>461</v>
      </c>
      <c r="J374" t="s">
        <v>420</v>
      </c>
      <c r="L374" t="str">
        <f t="shared" si="11"/>
        <v>NonID</v>
      </c>
    </row>
    <row r="375" spans="1:13" hidden="1" x14ac:dyDescent="0.45">
      <c r="A375" t="s">
        <v>75</v>
      </c>
      <c r="B375" t="s">
        <v>75</v>
      </c>
      <c r="C375">
        <v>0.20018752624244279</v>
      </c>
      <c r="D375">
        <v>0.8</v>
      </c>
      <c r="E375">
        <v>0.99994163670334457</v>
      </c>
      <c r="G375" t="str">
        <f t="shared" si="10"/>
        <v>.</v>
      </c>
      <c r="H375" s="8" t="s">
        <v>286</v>
      </c>
      <c r="I375" s="8" t="s">
        <v>287</v>
      </c>
      <c r="J375" s="8" t="s">
        <v>429</v>
      </c>
      <c r="L375" t="str">
        <f t="shared" si="11"/>
        <v>.</v>
      </c>
    </row>
    <row r="376" spans="1:13" hidden="1" x14ac:dyDescent="0.45">
      <c r="A376" t="s">
        <v>57</v>
      </c>
      <c r="B376" t="s">
        <v>89</v>
      </c>
      <c r="C376">
        <v>0.4948887743531265</v>
      </c>
      <c r="D376">
        <v>0.8</v>
      </c>
      <c r="E376">
        <v>0.99956942349659961</v>
      </c>
      <c r="G376" t="str">
        <f t="shared" si="10"/>
        <v>W</v>
      </c>
      <c r="H376" t="s">
        <v>469</v>
      </c>
      <c r="I376" t="s">
        <v>99</v>
      </c>
      <c r="J376" t="s">
        <v>424</v>
      </c>
      <c r="L376" t="str">
        <f t="shared" si="11"/>
        <v>NonID</v>
      </c>
    </row>
    <row r="377" spans="1:13" hidden="1" x14ac:dyDescent="0.45">
      <c r="A377" t="s">
        <v>57</v>
      </c>
      <c r="B377" t="s">
        <v>63</v>
      </c>
      <c r="C377">
        <v>1</v>
      </c>
      <c r="D377">
        <v>0.8</v>
      </c>
      <c r="E377">
        <v>0.99682732998531542</v>
      </c>
      <c r="G377" t="str">
        <f t="shared" si="10"/>
        <v>W</v>
      </c>
      <c r="H377" t="s">
        <v>485</v>
      </c>
      <c r="I377" t="s">
        <v>486</v>
      </c>
      <c r="J377" t="s">
        <v>498</v>
      </c>
      <c r="L377" t="str">
        <f t="shared" si="11"/>
        <v>NonID</v>
      </c>
    </row>
    <row r="378" spans="1:13" hidden="1" x14ac:dyDescent="0.45">
      <c r="A378" t="s">
        <v>74</v>
      </c>
      <c r="B378" t="s">
        <v>74</v>
      </c>
      <c r="C378">
        <v>0.20093563295139691</v>
      </c>
      <c r="D378">
        <v>0.8</v>
      </c>
      <c r="E378">
        <v>0.99883045900532441</v>
      </c>
      <c r="G378" t="str">
        <f t="shared" si="10"/>
        <v>.</v>
      </c>
      <c r="H378" s="8" t="s">
        <v>379</v>
      </c>
      <c r="I378" s="8" t="s">
        <v>380</v>
      </c>
      <c r="J378" s="8" t="s">
        <v>426</v>
      </c>
      <c r="L378" t="str">
        <f t="shared" si="11"/>
        <v>.</v>
      </c>
    </row>
    <row r="379" spans="1:13" hidden="1" x14ac:dyDescent="0.45">
      <c r="A379" t="s">
        <v>76</v>
      </c>
      <c r="B379" t="s">
        <v>76</v>
      </c>
      <c r="C379">
        <v>0.20003774208418931</v>
      </c>
      <c r="D379">
        <v>0.8</v>
      </c>
      <c r="E379">
        <v>0.99995451003057012</v>
      </c>
      <c r="G379" t="str">
        <f t="shared" si="10"/>
        <v>.</v>
      </c>
      <c r="H379" s="8" t="s">
        <v>172</v>
      </c>
      <c r="I379" s="8" t="s">
        <v>173</v>
      </c>
      <c r="J379" s="8" t="s">
        <v>428</v>
      </c>
      <c r="L379" t="str">
        <f t="shared" si="11"/>
        <v>.</v>
      </c>
    </row>
    <row r="380" spans="1:13" hidden="1" x14ac:dyDescent="0.45">
      <c r="A380" t="s">
        <v>61</v>
      </c>
      <c r="B380" t="s">
        <v>61</v>
      </c>
      <c r="C380">
        <v>0.26069746424010509</v>
      </c>
      <c r="D380">
        <v>0.8</v>
      </c>
      <c r="E380">
        <v>0.92414157141107012</v>
      </c>
      <c r="G380" t="str">
        <f t="shared" si="10"/>
        <v>.</v>
      </c>
      <c r="H380" s="8" t="s">
        <v>213</v>
      </c>
      <c r="I380" s="8" t="s">
        <v>214</v>
      </c>
      <c r="J380" s="8" t="s">
        <v>416</v>
      </c>
      <c r="L380" t="str">
        <f t="shared" si="11"/>
        <v>.</v>
      </c>
    </row>
    <row r="381" spans="1:13" hidden="1" x14ac:dyDescent="0.45">
      <c r="A381" t="s">
        <v>57</v>
      </c>
      <c r="B381" t="s">
        <v>63</v>
      </c>
      <c r="C381">
        <v>1</v>
      </c>
      <c r="D381">
        <v>0.8</v>
      </c>
      <c r="E381">
        <v>0.99973869830781348</v>
      </c>
      <c r="G381" t="str">
        <f t="shared" si="10"/>
        <v>W</v>
      </c>
      <c r="H381" t="s">
        <v>206</v>
      </c>
      <c r="I381" t="s">
        <v>207</v>
      </c>
      <c r="J381" t="s">
        <v>433</v>
      </c>
      <c r="L381" t="str">
        <f t="shared" si="11"/>
        <v>NonID</v>
      </c>
    </row>
    <row r="382" spans="1:13" hidden="1" x14ac:dyDescent="0.45">
      <c r="A382" t="s">
        <v>57</v>
      </c>
      <c r="B382" t="s">
        <v>63</v>
      </c>
      <c r="C382">
        <v>1</v>
      </c>
      <c r="D382">
        <v>0.8</v>
      </c>
      <c r="E382">
        <v>0.99849876799337189</v>
      </c>
      <c r="G382" t="str">
        <f t="shared" si="10"/>
        <v>W</v>
      </c>
      <c r="H382" t="s">
        <v>187</v>
      </c>
      <c r="I382" t="s">
        <v>99</v>
      </c>
      <c r="J382" t="s">
        <v>431</v>
      </c>
      <c r="L382" t="str">
        <f t="shared" si="11"/>
        <v>NonID</v>
      </c>
    </row>
    <row r="383" spans="1:13" hidden="1" x14ac:dyDescent="0.45">
      <c r="A383" t="s">
        <v>19</v>
      </c>
      <c r="B383" t="s">
        <v>63</v>
      </c>
      <c r="C383">
        <v>1</v>
      </c>
      <c r="D383">
        <v>0.8</v>
      </c>
      <c r="E383">
        <v>2.2977367413042831E-2</v>
      </c>
      <c r="G383" t="str">
        <f t="shared" si="10"/>
        <v>W</v>
      </c>
      <c r="H383" t="s">
        <v>487</v>
      </c>
      <c r="I383" t="s">
        <v>488</v>
      </c>
      <c r="J383" t="s">
        <v>430</v>
      </c>
      <c r="L383" t="str">
        <f t="shared" si="11"/>
        <v>NonID</v>
      </c>
    </row>
    <row r="384" spans="1:13" hidden="1" x14ac:dyDescent="0.45">
      <c r="A384" t="s">
        <v>74</v>
      </c>
      <c r="B384" t="s">
        <v>74</v>
      </c>
      <c r="C384">
        <v>0.20154142027944941</v>
      </c>
      <c r="D384">
        <v>0.8</v>
      </c>
      <c r="E384">
        <v>0.99807322600355197</v>
      </c>
      <c r="G384" t="str">
        <f t="shared" si="10"/>
        <v>.</v>
      </c>
      <c r="H384" s="8" t="s">
        <v>138</v>
      </c>
      <c r="I384" s="8" t="s">
        <v>139</v>
      </c>
      <c r="J384" s="8" t="s">
        <v>426</v>
      </c>
      <c r="L384" t="str">
        <f t="shared" si="11"/>
        <v>.</v>
      </c>
    </row>
    <row r="385" spans="1:12" hidden="1" x14ac:dyDescent="0.45">
      <c r="A385" t="s">
        <v>57</v>
      </c>
      <c r="B385" t="s">
        <v>63</v>
      </c>
      <c r="C385">
        <v>1</v>
      </c>
      <c r="D385">
        <v>0.8</v>
      </c>
      <c r="E385">
        <v>0.99807322600355197</v>
      </c>
      <c r="G385" t="str">
        <f t="shared" si="10"/>
        <v>W</v>
      </c>
      <c r="H385" t="s">
        <v>489</v>
      </c>
      <c r="I385" t="s">
        <v>490</v>
      </c>
      <c r="J385" t="s">
        <v>498</v>
      </c>
      <c r="L385" t="str">
        <f t="shared" si="11"/>
        <v>NonID</v>
      </c>
    </row>
    <row r="386" spans="1:12" hidden="1" x14ac:dyDescent="0.45">
      <c r="A386" t="s">
        <v>57</v>
      </c>
      <c r="B386" t="s">
        <v>68</v>
      </c>
      <c r="C386">
        <v>0.27203169020833262</v>
      </c>
      <c r="D386">
        <v>0.8</v>
      </c>
      <c r="E386">
        <v>0.95257291630373819</v>
      </c>
      <c r="G386" t="str">
        <f t="shared" ref="G386:G408" si="12">IF(A386=B386,".","W")</f>
        <v>W</v>
      </c>
      <c r="H386" t="s">
        <v>491</v>
      </c>
      <c r="I386" t="s">
        <v>492</v>
      </c>
      <c r="J386" t="s">
        <v>423</v>
      </c>
      <c r="L386" t="str">
        <f t="shared" si="11"/>
        <v>NonID</v>
      </c>
    </row>
    <row r="387" spans="1:12" hidden="1" x14ac:dyDescent="0.45">
      <c r="A387" t="s">
        <v>19</v>
      </c>
      <c r="B387" t="s">
        <v>63</v>
      </c>
      <c r="C387">
        <v>0.99999506938080296</v>
      </c>
      <c r="D387">
        <v>0.8</v>
      </c>
      <c r="E387">
        <v>0.99142243010824804</v>
      </c>
      <c r="G387" t="str">
        <f t="shared" si="12"/>
        <v>W</v>
      </c>
      <c r="H387" t="s">
        <v>357</v>
      </c>
      <c r="I387" t="s">
        <v>358</v>
      </c>
      <c r="J387" t="s">
        <v>420</v>
      </c>
      <c r="L387" t="str">
        <f t="shared" ref="L387:L408" si="13">IF(C387&lt;=$L$1,".","NonID")</f>
        <v>NonID</v>
      </c>
    </row>
    <row r="388" spans="1:12" hidden="1" x14ac:dyDescent="0.45">
      <c r="A388" t="s">
        <v>65</v>
      </c>
      <c r="B388" t="s">
        <v>65</v>
      </c>
      <c r="C388">
        <v>0.20056774137467229</v>
      </c>
      <c r="D388">
        <v>0.8</v>
      </c>
      <c r="E388">
        <v>0.99929032330932133</v>
      </c>
      <c r="G388" t="str">
        <f t="shared" si="12"/>
        <v>.</v>
      </c>
      <c r="H388" s="8" t="s">
        <v>65</v>
      </c>
      <c r="I388" s="8" t="s">
        <v>395</v>
      </c>
      <c r="J388" s="8" t="s">
        <v>427</v>
      </c>
      <c r="L388" t="str">
        <f t="shared" si="13"/>
        <v>.</v>
      </c>
    </row>
    <row r="389" spans="1:12" hidden="1" x14ac:dyDescent="0.45">
      <c r="A389" t="s">
        <v>57</v>
      </c>
      <c r="B389" t="s">
        <v>63</v>
      </c>
      <c r="C389">
        <v>0.99999527922343212</v>
      </c>
      <c r="D389">
        <v>0.8</v>
      </c>
      <c r="E389">
        <v>0.95257259338022438</v>
      </c>
      <c r="G389" t="str">
        <f t="shared" si="12"/>
        <v>W</v>
      </c>
      <c r="H389" t="s">
        <v>414</v>
      </c>
      <c r="I389" t="s">
        <v>99</v>
      </c>
      <c r="J389" t="s">
        <v>420</v>
      </c>
      <c r="L389" t="str">
        <f t="shared" si="13"/>
        <v>NonID</v>
      </c>
    </row>
    <row r="390" spans="1:12" hidden="1" x14ac:dyDescent="0.45">
      <c r="A390" t="s">
        <v>57</v>
      </c>
      <c r="B390" t="s">
        <v>63</v>
      </c>
      <c r="C390">
        <v>0.99972367614546565</v>
      </c>
      <c r="D390">
        <v>0.8</v>
      </c>
      <c r="E390">
        <v>0.98593632069119785</v>
      </c>
      <c r="G390" t="str">
        <f t="shared" si="12"/>
        <v>W</v>
      </c>
      <c r="H390" t="s">
        <v>359</v>
      </c>
      <c r="I390" t="s">
        <v>99</v>
      </c>
      <c r="J390" t="s">
        <v>420</v>
      </c>
      <c r="L390" t="str">
        <f t="shared" si="13"/>
        <v>NonID</v>
      </c>
    </row>
    <row r="391" spans="1:12" hidden="1" x14ac:dyDescent="0.45">
      <c r="A391" t="s">
        <v>57</v>
      </c>
      <c r="B391" t="s">
        <v>63</v>
      </c>
      <c r="C391">
        <v>1</v>
      </c>
      <c r="D391">
        <v>0.8</v>
      </c>
      <c r="E391">
        <v>0.3208209266699501</v>
      </c>
      <c r="G391" t="str">
        <f t="shared" si="12"/>
        <v>W</v>
      </c>
      <c r="H391" t="s">
        <v>462</v>
      </c>
      <c r="I391" t="s">
        <v>99</v>
      </c>
      <c r="J391" t="s">
        <v>418</v>
      </c>
      <c r="L391" t="str">
        <f t="shared" si="13"/>
        <v>NonID</v>
      </c>
    </row>
    <row r="392" spans="1:12" hidden="1" x14ac:dyDescent="0.45">
      <c r="A392" t="s">
        <v>57</v>
      </c>
      <c r="B392" t="s">
        <v>63</v>
      </c>
      <c r="C392">
        <v>1</v>
      </c>
      <c r="D392">
        <v>0.8</v>
      </c>
      <c r="E392">
        <v>0.99752728456888673</v>
      </c>
      <c r="G392" t="str">
        <f t="shared" si="12"/>
        <v>W</v>
      </c>
      <c r="H392" t="s">
        <v>493</v>
      </c>
      <c r="I392" t="s">
        <v>494</v>
      </c>
      <c r="J392" t="s">
        <v>498</v>
      </c>
      <c r="L392" t="str">
        <f t="shared" si="13"/>
        <v>NonID</v>
      </c>
    </row>
    <row r="393" spans="1:12" hidden="1" x14ac:dyDescent="0.45">
      <c r="A393" t="s">
        <v>88</v>
      </c>
      <c r="B393" t="s">
        <v>88</v>
      </c>
      <c r="C393">
        <v>0.20154172548951171</v>
      </c>
      <c r="D393">
        <v>0.8</v>
      </c>
      <c r="E393">
        <v>0.99807322600355197</v>
      </c>
      <c r="G393" t="str">
        <f t="shared" si="12"/>
        <v>.</v>
      </c>
      <c r="H393" s="8" t="s">
        <v>400</v>
      </c>
      <c r="I393" s="8" t="s">
        <v>401</v>
      </c>
      <c r="J393" s="8" t="s">
        <v>438</v>
      </c>
      <c r="L393" t="str">
        <f t="shared" si="13"/>
        <v>.</v>
      </c>
    </row>
    <row r="394" spans="1:12" hidden="1" x14ac:dyDescent="0.45">
      <c r="A394" t="s">
        <v>19</v>
      </c>
      <c r="B394" t="s">
        <v>63</v>
      </c>
      <c r="C394">
        <v>0.57143423174794006</v>
      </c>
      <c r="D394">
        <v>0.8</v>
      </c>
      <c r="E394">
        <v>0.93991304523943053</v>
      </c>
      <c r="G394" t="str">
        <f t="shared" si="12"/>
        <v>W</v>
      </c>
      <c r="H394" t="s">
        <v>456</v>
      </c>
      <c r="I394" t="s">
        <v>457</v>
      </c>
      <c r="J394" t="s">
        <v>420</v>
      </c>
      <c r="L394" t="str">
        <f t="shared" si="13"/>
        <v>NonID</v>
      </c>
    </row>
    <row r="395" spans="1:12" hidden="1" x14ac:dyDescent="0.45">
      <c r="A395" t="s">
        <v>65</v>
      </c>
      <c r="B395" t="s">
        <v>65</v>
      </c>
      <c r="C395">
        <v>0.20120098569885889</v>
      </c>
      <c r="D395">
        <v>0.8</v>
      </c>
      <c r="E395">
        <v>0.99849876799337189</v>
      </c>
      <c r="G395" t="str">
        <f t="shared" si="12"/>
        <v>.</v>
      </c>
      <c r="H395" s="8" t="s">
        <v>211</v>
      </c>
      <c r="I395" s="8" t="s">
        <v>212</v>
      </c>
      <c r="J395" s="8" t="s">
        <v>427</v>
      </c>
      <c r="L395" t="str">
        <f t="shared" si="13"/>
        <v>.</v>
      </c>
    </row>
    <row r="396" spans="1:12" hidden="1" x14ac:dyDescent="0.45">
      <c r="A396" t="s">
        <v>57</v>
      </c>
      <c r="B396" t="s">
        <v>63</v>
      </c>
      <c r="C396">
        <v>1</v>
      </c>
      <c r="D396">
        <v>0.8</v>
      </c>
      <c r="E396">
        <v>1.169510307496603E-3</v>
      </c>
      <c r="G396" t="str">
        <f t="shared" si="12"/>
        <v>W</v>
      </c>
      <c r="H396" t="s">
        <v>495</v>
      </c>
      <c r="I396" t="s">
        <v>496</v>
      </c>
      <c r="J396" t="s">
        <v>497</v>
      </c>
      <c r="L396" t="str">
        <f t="shared" si="13"/>
        <v>NonID</v>
      </c>
    </row>
    <row r="397" spans="1:12" hidden="1" x14ac:dyDescent="0.45">
      <c r="A397" t="s">
        <v>19</v>
      </c>
      <c r="B397" t="s">
        <v>63</v>
      </c>
      <c r="C397">
        <v>1</v>
      </c>
      <c r="D397">
        <v>0.8</v>
      </c>
      <c r="E397">
        <v>0.99752740325115785</v>
      </c>
      <c r="G397" t="str">
        <f t="shared" si="12"/>
        <v>W</v>
      </c>
      <c r="H397" t="s">
        <v>410</v>
      </c>
      <c r="I397" t="s">
        <v>411</v>
      </c>
      <c r="J397" t="s">
        <v>425</v>
      </c>
      <c r="L397" t="str">
        <f t="shared" si="13"/>
        <v>NonID</v>
      </c>
    </row>
    <row r="398" spans="1:12" hidden="1" x14ac:dyDescent="0.45">
      <c r="A398" t="s">
        <v>73</v>
      </c>
      <c r="B398" t="s">
        <v>73</v>
      </c>
      <c r="C398">
        <v>0.2000466922379531</v>
      </c>
      <c r="D398">
        <v>0.8</v>
      </c>
      <c r="E398">
        <v>0.99994163670334457</v>
      </c>
      <c r="G398" t="str">
        <f t="shared" si="12"/>
        <v>.</v>
      </c>
      <c r="H398" s="8" t="s">
        <v>165</v>
      </c>
      <c r="I398" s="8" t="s">
        <v>166</v>
      </c>
      <c r="J398" s="8" t="s">
        <v>424</v>
      </c>
      <c r="L398" t="str">
        <f t="shared" si="13"/>
        <v>.</v>
      </c>
    </row>
    <row r="399" spans="1:12" hidden="1" x14ac:dyDescent="0.45">
      <c r="A399" t="s">
        <v>71</v>
      </c>
      <c r="B399" t="s">
        <v>71</v>
      </c>
      <c r="C399">
        <v>0.2183846532055643</v>
      </c>
      <c r="D399">
        <v>0.8</v>
      </c>
      <c r="E399">
        <v>0.97702170862477833</v>
      </c>
      <c r="G399" t="str">
        <f t="shared" si="12"/>
        <v>.</v>
      </c>
      <c r="H399" s="8" t="s">
        <v>197</v>
      </c>
      <c r="I399" s="8" t="s">
        <v>198</v>
      </c>
      <c r="J399" s="8" t="s">
        <v>426</v>
      </c>
      <c r="L399" t="str">
        <f t="shared" si="13"/>
        <v>.</v>
      </c>
    </row>
    <row r="400" spans="1:12" hidden="1" x14ac:dyDescent="0.45">
      <c r="A400" t="s">
        <v>19</v>
      </c>
      <c r="B400" t="s">
        <v>82</v>
      </c>
      <c r="C400">
        <v>0.99988438677683478</v>
      </c>
      <c r="D400">
        <v>0.8</v>
      </c>
      <c r="E400">
        <v>0.62245899596118281</v>
      </c>
      <c r="G400" t="str">
        <f t="shared" si="12"/>
        <v>W</v>
      </c>
      <c r="H400" t="s">
        <v>465</v>
      </c>
      <c r="I400" t="s">
        <v>466</v>
      </c>
      <c r="J400" t="s">
        <v>420</v>
      </c>
      <c r="L400" t="str">
        <f t="shared" si="13"/>
        <v>NonID</v>
      </c>
    </row>
    <row r="401" spans="1:13" hidden="1" x14ac:dyDescent="0.45">
      <c r="A401" t="s">
        <v>61</v>
      </c>
      <c r="B401" t="s">
        <v>61</v>
      </c>
      <c r="C401">
        <v>0.20535454366666039</v>
      </c>
      <c r="D401">
        <v>0.8</v>
      </c>
      <c r="E401">
        <v>0.9933068896210222</v>
      </c>
      <c r="G401" t="str">
        <f t="shared" si="12"/>
        <v>.</v>
      </c>
      <c r="H401" s="8" t="s">
        <v>323</v>
      </c>
      <c r="I401" s="8" t="s">
        <v>324</v>
      </c>
      <c r="J401" s="8" t="s">
        <v>416</v>
      </c>
      <c r="L401" t="str">
        <f t="shared" si="13"/>
        <v>.</v>
      </c>
    </row>
    <row r="402" spans="1:13" hidden="1" x14ac:dyDescent="0.45">
      <c r="A402" t="s">
        <v>19</v>
      </c>
      <c r="B402" t="s">
        <v>63</v>
      </c>
      <c r="C402">
        <v>0.99995504682468472</v>
      </c>
      <c r="D402">
        <v>0.8</v>
      </c>
      <c r="E402">
        <v>0.98901298801575388</v>
      </c>
      <c r="G402" t="str">
        <f t="shared" si="12"/>
        <v>W</v>
      </c>
      <c r="H402" t="s">
        <v>127</v>
      </c>
      <c r="I402" t="s">
        <v>128</v>
      </c>
      <c r="J402" t="s">
        <v>420</v>
      </c>
      <c r="L402" t="str">
        <f t="shared" si="13"/>
        <v>NonID</v>
      </c>
    </row>
    <row r="403" spans="1:13" hidden="1" x14ac:dyDescent="0.45">
      <c r="A403" t="s">
        <v>57</v>
      </c>
      <c r="B403" t="s">
        <v>63</v>
      </c>
      <c r="C403">
        <v>0.99995689944669053</v>
      </c>
      <c r="D403">
        <v>0.8</v>
      </c>
      <c r="E403">
        <v>0.97702216176622525</v>
      </c>
      <c r="G403" t="str">
        <f t="shared" si="12"/>
        <v>W</v>
      </c>
      <c r="H403" t="s">
        <v>441</v>
      </c>
      <c r="I403" t="s">
        <v>99</v>
      </c>
      <c r="J403" t="s">
        <v>420</v>
      </c>
      <c r="L403" t="str">
        <f t="shared" si="13"/>
        <v>NonID</v>
      </c>
    </row>
    <row r="404" spans="1:13" hidden="1" x14ac:dyDescent="0.45">
      <c r="A404" t="s">
        <v>19</v>
      </c>
      <c r="B404" t="s">
        <v>63</v>
      </c>
      <c r="C404">
        <v>1</v>
      </c>
      <c r="D404">
        <v>0.8</v>
      </c>
      <c r="E404">
        <v>0.97068725068359007</v>
      </c>
      <c r="G404" t="str">
        <f t="shared" si="12"/>
        <v>W</v>
      </c>
      <c r="H404" t="s">
        <v>129</v>
      </c>
      <c r="I404" t="s">
        <v>130</v>
      </c>
      <c r="J404" t="s">
        <v>426</v>
      </c>
      <c r="L404" t="str">
        <f t="shared" si="13"/>
        <v>NonID</v>
      </c>
    </row>
    <row r="405" spans="1:13" hidden="1" x14ac:dyDescent="0.45">
      <c r="A405" t="s">
        <v>79</v>
      </c>
      <c r="B405" t="s">
        <v>79</v>
      </c>
      <c r="C405">
        <v>0.20093863131668149</v>
      </c>
      <c r="D405">
        <v>0.8</v>
      </c>
      <c r="E405">
        <v>0.99883045900532441</v>
      </c>
      <c r="G405" t="str">
        <f t="shared" si="12"/>
        <v>.</v>
      </c>
      <c r="H405" s="8" t="s">
        <v>217</v>
      </c>
      <c r="I405" s="8" t="s">
        <v>218</v>
      </c>
      <c r="J405" s="8" t="s">
        <v>434</v>
      </c>
      <c r="L405" t="str">
        <f t="shared" si="13"/>
        <v>.</v>
      </c>
    </row>
    <row r="406" spans="1:13" hidden="1" x14ac:dyDescent="0.45">
      <c r="A406" t="s">
        <v>71</v>
      </c>
      <c r="B406" t="s">
        <v>71</v>
      </c>
      <c r="C406">
        <v>0.20197876819535071</v>
      </c>
      <c r="D406">
        <v>0.8</v>
      </c>
      <c r="E406">
        <v>0.99752740325115785</v>
      </c>
      <c r="G406" t="str">
        <f t="shared" si="12"/>
        <v>.</v>
      </c>
      <c r="H406" s="8" t="s">
        <v>201</v>
      </c>
      <c r="I406" s="8" t="s">
        <v>202</v>
      </c>
      <c r="J406" s="8" t="s">
        <v>426</v>
      </c>
      <c r="L406" t="str">
        <f t="shared" si="13"/>
        <v>.</v>
      </c>
    </row>
    <row r="407" spans="1:13" hidden="1" x14ac:dyDescent="0.45">
      <c r="A407" t="s">
        <v>19</v>
      </c>
      <c r="B407" t="s">
        <v>65</v>
      </c>
      <c r="C407">
        <v>0.2025381376678389</v>
      </c>
      <c r="D407">
        <v>0.8</v>
      </c>
      <c r="E407">
        <v>0.99682732998531542</v>
      </c>
      <c r="G407" t="str">
        <f t="shared" si="12"/>
        <v>W</v>
      </c>
      <c r="H407" t="s">
        <v>444</v>
      </c>
      <c r="I407" t="s">
        <v>99</v>
      </c>
      <c r="J407" t="s">
        <v>432</v>
      </c>
      <c r="L407" s="13" t="str">
        <f t="shared" si="13"/>
        <v>.</v>
      </c>
      <c r="M407" t="s">
        <v>514</v>
      </c>
    </row>
    <row r="408" spans="1:13" hidden="1" x14ac:dyDescent="0.45">
      <c r="A408" t="s">
        <v>65</v>
      </c>
      <c r="B408" t="s">
        <v>65</v>
      </c>
      <c r="C408">
        <v>0.20093563284621499</v>
      </c>
      <c r="D408">
        <v>0.8</v>
      </c>
      <c r="E408">
        <v>0.99883045900532441</v>
      </c>
      <c r="G408" t="str">
        <f t="shared" si="12"/>
        <v>.</v>
      </c>
      <c r="H408" s="8" t="s">
        <v>191</v>
      </c>
      <c r="I408" s="8" t="s">
        <v>192</v>
      </c>
      <c r="J408" s="8" t="s">
        <v>427</v>
      </c>
      <c r="L408" t="str">
        <f t="shared" si="13"/>
        <v>.</v>
      </c>
    </row>
  </sheetData>
  <autoFilter ref="A1:M408" xr:uid="{00000000-0001-0000-0200-000000000000}">
    <filterColumn colId="0">
      <filters>
        <filter val="Azimuth"/>
        <filter val="BitDepth"/>
        <filter val="DensityIn"/>
        <filter val="DensityOut"/>
        <filter val="DownholeRPM"/>
        <filter val="DownholeTemperature"/>
        <filter val="FlowRateIn"/>
        <filter val="HoleDepth"/>
        <filter val="HookLoad"/>
        <filter val="HookPosition"/>
        <filter val="HookVelocity"/>
        <filter val="Inclination"/>
        <filter val="MeasuredDepth"/>
        <filter val="PumpRate"/>
        <filter val="ROP"/>
        <filter val="SPP"/>
        <filter val="SurfaceRPM"/>
        <filter val="SurfaceTorque"/>
        <filter val="TemperatureOut"/>
        <filter val="TrueVerticalDepth"/>
        <filter val="WOB"/>
      </filters>
    </filterColumn>
    <filterColumn colId="6">
      <filters>
        <filter val="W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C4DE5-2AFD-489B-9B26-ECFADA4E4B39}">
  <dimension ref="A1:H12"/>
  <sheetViews>
    <sheetView tabSelected="1" topLeftCell="A2" zoomScale="115" zoomScaleNormal="115" workbookViewId="0">
      <selection activeCell="H12" sqref="H12"/>
    </sheetView>
  </sheetViews>
  <sheetFormatPr defaultRowHeight="14.25" x14ac:dyDescent="0.45"/>
  <cols>
    <col min="1" max="1" width="14.19921875" customWidth="1"/>
    <col min="2" max="2" width="8.265625" customWidth="1"/>
    <col min="3" max="3" width="9" bestFit="1" customWidth="1"/>
    <col min="4" max="4" width="28.06640625" customWidth="1"/>
    <col min="5" max="5" width="37.265625" customWidth="1"/>
    <col min="6" max="6" width="20.796875" customWidth="1"/>
    <col min="7" max="7" width="22.265625" customWidth="1"/>
    <col min="8" max="8" width="29.33203125" customWidth="1"/>
  </cols>
  <sheetData>
    <row r="1" spans="1:8" ht="28.5" x14ac:dyDescent="0.45">
      <c r="A1" s="4" t="s">
        <v>499</v>
      </c>
      <c r="B1" s="4" t="s">
        <v>500</v>
      </c>
      <c r="C1" s="4" t="s">
        <v>501</v>
      </c>
      <c r="D1" s="4" t="s">
        <v>516</v>
      </c>
      <c r="E1" s="4" t="s">
        <v>518</v>
      </c>
      <c r="F1" s="4"/>
      <c r="G1" s="4" t="s">
        <v>502</v>
      </c>
      <c r="H1" s="4" t="s">
        <v>503</v>
      </c>
    </row>
    <row r="2" spans="1:8" ht="85.5" x14ac:dyDescent="0.45">
      <c r="A2" s="6" t="s">
        <v>504</v>
      </c>
      <c r="B2" s="5">
        <v>382</v>
      </c>
      <c r="C2" s="5">
        <v>15</v>
      </c>
      <c r="D2" s="5" t="s">
        <v>528</v>
      </c>
      <c r="E2" s="5" t="s">
        <v>519</v>
      </c>
      <c r="F2" s="5"/>
      <c r="G2" s="5" t="s">
        <v>505</v>
      </c>
      <c r="H2" s="5" t="s">
        <v>506</v>
      </c>
    </row>
    <row r="3" spans="1:8" ht="42.75" x14ac:dyDescent="0.45">
      <c r="A3" s="6" t="s">
        <v>415</v>
      </c>
      <c r="B3" s="5">
        <v>382</v>
      </c>
      <c r="C3" s="5">
        <v>30</v>
      </c>
      <c r="D3" s="5" t="s">
        <v>522</v>
      </c>
      <c r="E3" s="5"/>
      <c r="F3" s="5"/>
      <c r="G3" s="5" t="s">
        <v>507</v>
      </c>
      <c r="H3" s="5" t="s">
        <v>508</v>
      </c>
    </row>
    <row r="4" spans="1:8" ht="42.75" x14ac:dyDescent="0.45">
      <c r="A4" s="6" t="s">
        <v>509</v>
      </c>
      <c r="B4" s="5">
        <v>153</v>
      </c>
      <c r="C4" s="5">
        <v>10</v>
      </c>
      <c r="D4" s="5" t="s">
        <v>517</v>
      </c>
      <c r="E4" s="5"/>
      <c r="F4" s="5"/>
      <c r="G4" s="5" t="s">
        <v>510</v>
      </c>
      <c r="H4" s="5" t="s">
        <v>511</v>
      </c>
    </row>
    <row r="7" spans="1:8" x14ac:dyDescent="0.45">
      <c r="A7" s="4"/>
      <c r="C7" s="4"/>
      <c r="E7" s="4"/>
    </row>
    <row r="8" spans="1:8" x14ac:dyDescent="0.45">
      <c r="A8" s="16" t="s">
        <v>499</v>
      </c>
      <c r="B8" s="16" t="s">
        <v>500</v>
      </c>
      <c r="C8" s="15" t="s">
        <v>530</v>
      </c>
      <c r="D8" s="15"/>
      <c r="E8" s="15" t="s">
        <v>531</v>
      </c>
      <c r="F8" s="15"/>
    </row>
    <row r="9" spans="1:8" ht="28.5" x14ac:dyDescent="0.45">
      <c r="A9" s="16"/>
      <c r="B9" s="16"/>
      <c r="C9" s="4" t="s">
        <v>501</v>
      </c>
      <c r="D9" s="4" t="s">
        <v>516</v>
      </c>
      <c r="E9" s="4" t="s">
        <v>501</v>
      </c>
      <c r="F9" s="4" t="s">
        <v>516</v>
      </c>
    </row>
    <row r="10" spans="1:8" ht="57" x14ac:dyDescent="0.45">
      <c r="A10" s="6" t="s">
        <v>504</v>
      </c>
      <c r="B10" s="5">
        <v>382</v>
      </c>
      <c r="C10" s="5">
        <v>15</v>
      </c>
      <c r="D10" s="5" t="s">
        <v>528</v>
      </c>
      <c r="E10" s="5">
        <v>18</v>
      </c>
      <c r="F10" s="5" t="s">
        <v>543</v>
      </c>
    </row>
    <row r="11" spans="1:8" ht="57" x14ac:dyDescent="0.45">
      <c r="A11" s="6" t="s">
        <v>415</v>
      </c>
      <c r="B11" s="5">
        <v>382</v>
      </c>
      <c r="C11" s="5">
        <v>30</v>
      </c>
      <c r="D11" s="5" t="s">
        <v>522</v>
      </c>
      <c r="E11" s="5">
        <v>15</v>
      </c>
      <c r="F11" s="5" t="s">
        <v>544</v>
      </c>
    </row>
    <row r="12" spans="1:8" ht="57" x14ac:dyDescent="0.45">
      <c r="A12" s="6" t="s">
        <v>509</v>
      </c>
      <c r="B12" s="5">
        <v>153</v>
      </c>
      <c r="C12" s="5">
        <v>10</v>
      </c>
      <c r="D12" s="5" t="s">
        <v>517</v>
      </c>
      <c r="E12" s="5">
        <v>11</v>
      </c>
      <c r="F12" s="5" t="s">
        <v>545</v>
      </c>
    </row>
  </sheetData>
  <mergeCells count="4">
    <mergeCell ref="C8:D8"/>
    <mergeCell ref="E8:F8"/>
    <mergeCell ref="B8:B9"/>
    <mergeCell ref="A8:A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7D364-FF45-4136-AC1F-CB86FE07C952}">
  <dimension ref="A1:E4"/>
  <sheetViews>
    <sheetView zoomScale="160" zoomScaleNormal="160" workbookViewId="0">
      <selection activeCell="E14" sqref="E14"/>
    </sheetView>
  </sheetViews>
  <sheetFormatPr defaultRowHeight="14.25" x14ac:dyDescent="0.45"/>
  <cols>
    <col min="1" max="1" width="13.53125" customWidth="1"/>
    <col min="2" max="2" width="12.19921875" bestFit="1" customWidth="1"/>
    <col min="3" max="3" width="22.53125" customWidth="1"/>
    <col min="4" max="4" width="13.73046875" customWidth="1"/>
    <col min="5" max="5" width="25.796875" customWidth="1"/>
  </cols>
  <sheetData>
    <row r="1" spans="1:5" x14ac:dyDescent="0.45">
      <c r="A1" s="4" t="s">
        <v>499</v>
      </c>
      <c r="B1" t="s">
        <v>520</v>
      </c>
      <c r="C1" s="4" t="s">
        <v>516</v>
      </c>
      <c r="D1" t="s">
        <v>521</v>
      </c>
      <c r="E1" s="4" t="s">
        <v>516</v>
      </c>
    </row>
    <row r="2" spans="1:5" ht="28.5" x14ac:dyDescent="0.45">
      <c r="A2" s="6" t="s">
        <v>504</v>
      </c>
      <c r="B2">
        <v>4</v>
      </c>
      <c r="C2" s="14" t="s">
        <v>523</v>
      </c>
      <c r="D2">
        <v>9</v>
      </c>
      <c r="E2" s="5" t="s">
        <v>529</v>
      </c>
    </row>
    <row r="3" spans="1:5" ht="28.5" x14ac:dyDescent="0.45">
      <c r="A3" s="6" t="s">
        <v>415</v>
      </c>
      <c r="B3">
        <v>4</v>
      </c>
      <c r="C3" s="14" t="s">
        <v>523</v>
      </c>
      <c r="D3">
        <v>10</v>
      </c>
      <c r="E3" s="5" t="s">
        <v>526</v>
      </c>
    </row>
    <row r="4" spans="1:5" ht="57" x14ac:dyDescent="0.45">
      <c r="A4" s="6" t="s">
        <v>509</v>
      </c>
      <c r="B4">
        <v>31</v>
      </c>
      <c r="C4" s="14" t="s">
        <v>525</v>
      </c>
      <c r="D4">
        <v>18</v>
      </c>
      <c r="E4" s="5" t="s">
        <v>527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B1107-F012-4A28-ABFD-0A8C30DA6207}">
  <sheetPr filterMode="1"/>
  <dimension ref="A1:J408"/>
  <sheetViews>
    <sheetView workbookViewId="0">
      <selection activeCell="F152" activeCellId="1" sqref="F46:F108 F152"/>
    </sheetView>
  </sheetViews>
  <sheetFormatPr defaultRowHeight="14.25" x14ac:dyDescent="0.45"/>
  <cols>
    <col min="1" max="1" width="56.796875" bestFit="1" customWidth="1"/>
    <col min="2" max="2" width="29.59765625" bestFit="1" customWidth="1"/>
    <col min="5" max="5" width="7.33203125" bestFit="1" customWidth="1"/>
    <col min="8" max="8" width="14.06640625" style="8" bestFit="1" customWidth="1"/>
    <col min="9" max="9" width="32.06640625" style="8" bestFit="1" customWidth="1"/>
    <col min="10" max="10" width="7.33203125" style="8" bestFit="1" customWidth="1"/>
  </cols>
  <sheetData>
    <row r="1" spans="1:10" x14ac:dyDescent="0.45">
      <c r="A1" s="1" t="s">
        <v>0</v>
      </c>
      <c r="B1" s="1" t="s">
        <v>1</v>
      </c>
      <c r="D1" t="s">
        <v>541</v>
      </c>
      <c r="E1" t="s">
        <v>542</v>
      </c>
      <c r="F1" s="11" t="s">
        <v>512</v>
      </c>
      <c r="H1" s="7" t="s">
        <v>92</v>
      </c>
      <c r="I1" s="7" t="s">
        <v>93</v>
      </c>
      <c r="J1" s="7" t="s">
        <v>415</v>
      </c>
    </row>
    <row r="2" spans="1:10" hidden="1" x14ac:dyDescent="0.45">
      <c r="A2" t="s">
        <v>5</v>
      </c>
      <c r="B2" t="s">
        <v>5</v>
      </c>
      <c r="D2" t="str">
        <f>IF(A2='Quantity-logprob'!A2,".","N")</f>
        <v>.</v>
      </c>
      <c r="E2" t="str">
        <f>IF(A2=B2,".","N")</f>
        <v>.</v>
      </c>
      <c r="H2" s="8" t="s">
        <v>94</v>
      </c>
      <c r="I2" s="8" t="s">
        <v>95</v>
      </c>
      <c r="J2" s="8" t="s">
        <v>416</v>
      </c>
    </row>
    <row r="3" spans="1:10" hidden="1" x14ac:dyDescent="0.45">
      <c r="A3" t="s">
        <v>6</v>
      </c>
      <c r="B3" t="s">
        <v>6</v>
      </c>
      <c r="D3" t="str">
        <f>IF(A3='Quantity-logprob'!A3,".","N")</f>
        <v>.</v>
      </c>
      <c r="E3" t="str">
        <f t="shared" ref="E3:E66" si="0">IF(A3=B3,".","N")</f>
        <v>.</v>
      </c>
      <c r="H3" s="8" t="s">
        <v>96</v>
      </c>
      <c r="I3" s="8" t="s">
        <v>97</v>
      </c>
      <c r="J3" s="8" t="s">
        <v>417</v>
      </c>
    </row>
    <row r="4" spans="1:10" hidden="1" x14ac:dyDescent="0.45">
      <c r="A4" t="s">
        <v>7</v>
      </c>
      <c r="B4" t="s">
        <v>7</v>
      </c>
      <c r="D4" t="str">
        <f>IF(A4='Quantity-logprob'!A4,".","N")</f>
        <v>.</v>
      </c>
      <c r="E4" t="str">
        <f t="shared" si="0"/>
        <v>.</v>
      </c>
      <c r="H4" s="8" t="s">
        <v>98</v>
      </c>
      <c r="I4" s="8" t="s">
        <v>99</v>
      </c>
      <c r="J4" s="8" t="s">
        <v>418</v>
      </c>
    </row>
    <row r="5" spans="1:10" hidden="1" x14ac:dyDescent="0.45">
      <c r="A5" t="s">
        <v>8</v>
      </c>
      <c r="B5" t="s">
        <v>8</v>
      </c>
      <c r="D5" t="str">
        <f>IF(A5='Quantity-logprob'!A5,".","N")</f>
        <v>.</v>
      </c>
      <c r="E5" t="str">
        <f t="shared" si="0"/>
        <v>.</v>
      </c>
      <c r="H5" s="8" t="s">
        <v>100</v>
      </c>
      <c r="I5" s="8" t="s">
        <v>101</v>
      </c>
      <c r="J5" s="8" t="s">
        <v>419</v>
      </c>
    </row>
    <row r="6" spans="1:10" hidden="1" x14ac:dyDescent="0.45">
      <c r="A6" t="s">
        <v>9</v>
      </c>
      <c r="B6" t="s">
        <v>5</v>
      </c>
      <c r="D6" t="str">
        <f>IF(A6='Quantity-logprob'!A6,".","N")</f>
        <v>.</v>
      </c>
      <c r="E6" t="str">
        <f t="shared" si="0"/>
        <v>N</v>
      </c>
      <c r="H6" s="8" t="s">
        <v>102</v>
      </c>
      <c r="I6" s="8" t="s">
        <v>99</v>
      </c>
      <c r="J6" s="8" t="s">
        <v>420</v>
      </c>
    </row>
    <row r="7" spans="1:10" hidden="1" x14ac:dyDescent="0.45">
      <c r="A7" t="s">
        <v>10</v>
      </c>
      <c r="B7" t="s">
        <v>10</v>
      </c>
      <c r="D7" t="str">
        <f>IF(A7='Quantity-logprob'!A7,".","N")</f>
        <v>.</v>
      </c>
      <c r="E7" t="str">
        <f t="shared" si="0"/>
        <v>.</v>
      </c>
      <c r="H7" s="8" t="s">
        <v>103</v>
      </c>
      <c r="I7" s="8" t="s">
        <v>99</v>
      </c>
      <c r="J7" s="8" t="s">
        <v>421</v>
      </c>
    </row>
    <row r="8" spans="1:10" hidden="1" x14ac:dyDescent="0.45">
      <c r="A8" t="s">
        <v>11</v>
      </c>
      <c r="B8" t="s">
        <v>11</v>
      </c>
      <c r="D8" t="str">
        <f>IF(A8='Quantity-logprob'!A8,".","N")</f>
        <v>.</v>
      </c>
      <c r="E8" t="str">
        <f t="shared" si="0"/>
        <v>.</v>
      </c>
      <c r="H8" s="8" t="s">
        <v>104</v>
      </c>
      <c r="I8" s="8" t="s">
        <v>105</v>
      </c>
      <c r="J8" s="8" t="s">
        <v>422</v>
      </c>
    </row>
    <row r="9" spans="1:10" hidden="1" x14ac:dyDescent="0.45">
      <c r="A9" t="s">
        <v>5</v>
      </c>
      <c r="B9" t="s">
        <v>5</v>
      </c>
      <c r="D9" t="str">
        <f>IF(A9='Quantity-logprob'!A9,".","N")</f>
        <v>.</v>
      </c>
      <c r="E9" t="str">
        <f t="shared" si="0"/>
        <v>.</v>
      </c>
      <c r="H9" s="8" t="s">
        <v>106</v>
      </c>
      <c r="I9" s="8" t="s">
        <v>99</v>
      </c>
      <c r="J9" s="8" t="s">
        <v>423</v>
      </c>
    </row>
    <row r="10" spans="1:10" hidden="1" x14ac:dyDescent="0.45">
      <c r="A10" t="s">
        <v>6</v>
      </c>
      <c r="B10" t="s">
        <v>6</v>
      </c>
      <c r="D10" t="str">
        <f>IF(A10='Quantity-logprob'!A10,".","N")</f>
        <v>.</v>
      </c>
      <c r="E10" t="str">
        <f t="shared" si="0"/>
        <v>.</v>
      </c>
      <c r="H10" s="8" t="s">
        <v>107</v>
      </c>
      <c r="I10" s="8" t="s">
        <v>108</v>
      </c>
      <c r="J10" s="8" t="s">
        <v>417</v>
      </c>
    </row>
    <row r="11" spans="1:10" hidden="1" x14ac:dyDescent="0.45">
      <c r="A11" t="s">
        <v>6</v>
      </c>
      <c r="B11" t="s">
        <v>6</v>
      </c>
      <c r="D11" t="str">
        <f>IF(A11='Quantity-logprob'!A11,".","N")</f>
        <v>.</v>
      </c>
      <c r="E11" t="str">
        <f t="shared" si="0"/>
        <v>.</v>
      </c>
      <c r="H11" s="8" t="s">
        <v>109</v>
      </c>
      <c r="I11" s="8" t="s">
        <v>110</v>
      </c>
      <c r="J11" s="8" t="s">
        <v>417</v>
      </c>
    </row>
    <row r="12" spans="1:10" x14ac:dyDescent="0.45">
      <c r="A12" t="s">
        <v>10</v>
      </c>
      <c r="B12" t="s">
        <v>532</v>
      </c>
      <c r="D12" t="str">
        <f>IF(A12='Quantity-logprob'!A12,".","N")</f>
        <v>.</v>
      </c>
      <c r="E12" t="str">
        <f t="shared" si="0"/>
        <v>N</v>
      </c>
      <c r="F12" s="8" t="s">
        <v>515</v>
      </c>
      <c r="H12" s="8" t="s">
        <v>111</v>
      </c>
      <c r="I12" s="8" t="s">
        <v>112</v>
      </c>
      <c r="J12" s="8" t="s">
        <v>421</v>
      </c>
    </row>
    <row r="13" spans="1:10" hidden="1" x14ac:dyDescent="0.45">
      <c r="A13" t="s">
        <v>12</v>
      </c>
      <c r="B13" t="s">
        <v>12</v>
      </c>
      <c r="D13" t="str">
        <f>IF(A13='Quantity-logprob'!A13,".","N")</f>
        <v>.</v>
      </c>
      <c r="E13" t="str">
        <f t="shared" si="0"/>
        <v>.</v>
      </c>
      <c r="H13" s="8" t="s">
        <v>113</v>
      </c>
      <c r="I13" s="8" t="s">
        <v>114</v>
      </c>
      <c r="J13" s="8" t="s">
        <v>424</v>
      </c>
    </row>
    <row r="14" spans="1:10" x14ac:dyDescent="0.45">
      <c r="A14" t="s">
        <v>10</v>
      </c>
      <c r="B14" t="s">
        <v>532</v>
      </c>
      <c r="D14" t="str">
        <f>IF(A14='Quantity-logprob'!A14,".","N")</f>
        <v>.</v>
      </c>
      <c r="E14" t="str">
        <f t="shared" si="0"/>
        <v>N</v>
      </c>
      <c r="F14" s="8" t="s">
        <v>515</v>
      </c>
      <c r="H14" s="8" t="s">
        <v>115</v>
      </c>
      <c r="I14" s="8" t="s">
        <v>116</v>
      </c>
      <c r="J14" s="8" t="s">
        <v>421</v>
      </c>
    </row>
    <row r="15" spans="1:10" hidden="1" x14ac:dyDescent="0.45">
      <c r="A15" t="s">
        <v>13</v>
      </c>
      <c r="B15" t="s">
        <v>13</v>
      </c>
      <c r="D15" t="str">
        <f>IF(A15='Quantity-logprob'!A15,".","N")</f>
        <v>.</v>
      </c>
      <c r="E15" t="str">
        <f t="shared" si="0"/>
        <v>.</v>
      </c>
      <c r="H15" s="8" t="s">
        <v>117</v>
      </c>
      <c r="I15" s="8" t="s">
        <v>99</v>
      </c>
      <c r="J15" s="8" t="s">
        <v>420</v>
      </c>
    </row>
    <row r="16" spans="1:10" x14ac:dyDescent="0.45">
      <c r="A16" t="s">
        <v>10</v>
      </c>
      <c r="B16" t="s">
        <v>532</v>
      </c>
      <c r="D16" t="str">
        <f>IF(A16='Quantity-logprob'!A16,".","N")</f>
        <v>.</v>
      </c>
      <c r="E16" t="str">
        <f t="shared" si="0"/>
        <v>N</v>
      </c>
      <c r="F16" s="8" t="s">
        <v>515</v>
      </c>
      <c r="H16" s="8" t="s">
        <v>118</v>
      </c>
      <c r="I16" s="8" t="s">
        <v>119</v>
      </c>
      <c r="J16" s="8" t="s">
        <v>421</v>
      </c>
    </row>
    <row r="17" spans="1:10" hidden="1" x14ac:dyDescent="0.45">
      <c r="A17" t="s">
        <v>13</v>
      </c>
      <c r="B17" t="s">
        <v>13</v>
      </c>
      <c r="D17" t="str">
        <f>IF(A17='Quantity-logprob'!A17,".","N")</f>
        <v>.</v>
      </c>
      <c r="E17" t="str">
        <f t="shared" si="0"/>
        <v>.</v>
      </c>
      <c r="H17" s="8" t="s">
        <v>120</v>
      </c>
      <c r="I17" s="8" t="s">
        <v>121</v>
      </c>
      <c r="J17" s="8" t="s">
        <v>420</v>
      </c>
    </row>
    <row r="18" spans="1:10" hidden="1" x14ac:dyDescent="0.45">
      <c r="A18" t="s">
        <v>14</v>
      </c>
      <c r="B18" t="s">
        <v>14</v>
      </c>
      <c r="D18" t="str">
        <f>IF(A18='Quantity-logprob'!A18,".","N")</f>
        <v>.</v>
      </c>
      <c r="E18" t="str">
        <f t="shared" si="0"/>
        <v>.</v>
      </c>
      <c r="H18" s="8" t="s">
        <v>122</v>
      </c>
      <c r="I18" s="8" t="s">
        <v>123</v>
      </c>
      <c r="J18" s="8" t="s">
        <v>425</v>
      </c>
    </row>
    <row r="19" spans="1:10" hidden="1" x14ac:dyDescent="0.45">
      <c r="A19" t="s">
        <v>7</v>
      </c>
      <c r="B19" t="s">
        <v>7</v>
      </c>
      <c r="D19" t="str">
        <f>IF(A19='Quantity-logprob'!A19,".","N")</f>
        <v>.</v>
      </c>
      <c r="E19" t="str">
        <f t="shared" si="0"/>
        <v>.</v>
      </c>
      <c r="H19" s="8" t="s">
        <v>124</v>
      </c>
      <c r="I19" s="8" t="s">
        <v>99</v>
      </c>
      <c r="J19" s="8" t="s">
        <v>418</v>
      </c>
    </row>
    <row r="20" spans="1:10" hidden="1" x14ac:dyDescent="0.45">
      <c r="A20" t="s">
        <v>6</v>
      </c>
      <c r="B20" t="s">
        <v>6</v>
      </c>
      <c r="D20" t="str">
        <f>IF(A20='Quantity-logprob'!A20,".","N")</f>
        <v>.</v>
      </c>
      <c r="E20" t="str">
        <f t="shared" si="0"/>
        <v>.</v>
      </c>
      <c r="H20" s="8" t="s">
        <v>125</v>
      </c>
      <c r="I20" s="8" t="s">
        <v>126</v>
      </c>
      <c r="J20" s="8" t="s">
        <v>417</v>
      </c>
    </row>
    <row r="21" spans="1:10" hidden="1" x14ac:dyDescent="0.45">
      <c r="A21" t="s">
        <v>13</v>
      </c>
      <c r="B21" t="s">
        <v>13</v>
      </c>
      <c r="D21" t="str">
        <f>IF(A21='Quantity-logprob'!A21,".","N")</f>
        <v>.</v>
      </c>
      <c r="E21" t="str">
        <f t="shared" si="0"/>
        <v>.</v>
      </c>
      <c r="H21" s="8" t="s">
        <v>127</v>
      </c>
      <c r="I21" s="8" t="s">
        <v>128</v>
      </c>
      <c r="J21" s="8" t="s">
        <v>420</v>
      </c>
    </row>
    <row r="22" spans="1:10" hidden="1" x14ac:dyDescent="0.45">
      <c r="A22" t="s">
        <v>15</v>
      </c>
      <c r="B22" t="s">
        <v>15</v>
      </c>
      <c r="D22" t="str">
        <f>IF(A22='Quantity-logprob'!A22,".","N")</f>
        <v>.</v>
      </c>
      <c r="E22" t="str">
        <f t="shared" si="0"/>
        <v>.</v>
      </c>
      <c r="H22" s="8" t="s">
        <v>129</v>
      </c>
      <c r="I22" s="8" t="s">
        <v>130</v>
      </c>
      <c r="J22" s="8" t="s">
        <v>426</v>
      </c>
    </row>
    <row r="23" spans="1:10" hidden="1" x14ac:dyDescent="0.45">
      <c r="A23" t="s">
        <v>8</v>
      </c>
      <c r="B23" t="s">
        <v>8</v>
      </c>
      <c r="D23" t="str">
        <f>IF(A23='Quantity-logprob'!A23,".","N")</f>
        <v>.</v>
      </c>
      <c r="E23" t="str">
        <f t="shared" si="0"/>
        <v>.</v>
      </c>
      <c r="H23" s="8" t="s">
        <v>131</v>
      </c>
      <c r="I23" s="8" t="s">
        <v>132</v>
      </c>
      <c r="J23" s="8" t="s">
        <v>427</v>
      </c>
    </row>
    <row r="24" spans="1:10" hidden="1" x14ac:dyDescent="0.45">
      <c r="A24" t="s">
        <v>16</v>
      </c>
      <c r="B24" t="s">
        <v>16</v>
      </c>
      <c r="D24" t="str">
        <f>IF(A24='Quantity-logprob'!A24,".","N")</f>
        <v>.</v>
      </c>
      <c r="E24" t="str">
        <f t="shared" si="0"/>
        <v>.</v>
      </c>
      <c r="H24" s="8" t="s">
        <v>133</v>
      </c>
      <c r="I24" s="8" t="s">
        <v>134</v>
      </c>
      <c r="J24" s="8" t="s">
        <v>428</v>
      </c>
    </row>
    <row r="25" spans="1:10" hidden="1" x14ac:dyDescent="0.45">
      <c r="A25" t="s">
        <v>13</v>
      </c>
      <c r="B25" t="s">
        <v>13</v>
      </c>
      <c r="D25" t="str">
        <f>IF(A25='Quantity-logprob'!A25,".","N")</f>
        <v>.</v>
      </c>
      <c r="E25" t="str">
        <f t="shared" si="0"/>
        <v>.</v>
      </c>
      <c r="H25" s="8" t="s">
        <v>135</v>
      </c>
      <c r="I25" s="8" t="s">
        <v>99</v>
      </c>
      <c r="J25" s="8" t="s">
        <v>420</v>
      </c>
    </row>
    <row r="26" spans="1:10" hidden="1" x14ac:dyDescent="0.45">
      <c r="A26" t="s">
        <v>13</v>
      </c>
      <c r="B26" t="s">
        <v>13</v>
      </c>
      <c r="D26" t="str">
        <f>IF(A26='Quantity-logprob'!A26,".","N")</f>
        <v>.</v>
      </c>
      <c r="E26" t="str">
        <f t="shared" si="0"/>
        <v>.</v>
      </c>
      <c r="H26" s="8" t="s">
        <v>136</v>
      </c>
      <c r="I26" s="8" t="s">
        <v>99</v>
      </c>
      <c r="J26" s="8" t="s">
        <v>420</v>
      </c>
    </row>
    <row r="27" spans="1:10" hidden="1" x14ac:dyDescent="0.45">
      <c r="A27" t="s">
        <v>9</v>
      </c>
      <c r="B27" t="s">
        <v>12</v>
      </c>
      <c r="D27" t="str">
        <f>IF(A27='Quantity-logprob'!A27,".","N")</f>
        <v>.</v>
      </c>
      <c r="E27" t="str">
        <f t="shared" si="0"/>
        <v>N</v>
      </c>
      <c r="H27" s="8" t="s">
        <v>137</v>
      </c>
      <c r="I27" s="8" t="s">
        <v>99</v>
      </c>
      <c r="J27" s="8" t="s">
        <v>424</v>
      </c>
    </row>
    <row r="28" spans="1:10" hidden="1" x14ac:dyDescent="0.45">
      <c r="A28" t="s">
        <v>15</v>
      </c>
      <c r="B28" t="s">
        <v>15</v>
      </c>
      <c r="D28" t="str">
        <f>IF(A28='Quantity-logprob'!A28,".","N")</f>
        <v>.</v>
      </c>
      <c r="E28" t="str">
        <f t="shared" si="0"/>
        <v>.</v>
      </c>
      <c r="H28" s="8" t="s">
        <v>138</v>
      </c>
      <c r="I28" s="8" t="s">
        <v>139</v>
      </c>
      <c r="J28" s="8" t="s">
        <v>426</v>
      </c>
    </row>
    <row r="29" spans="1:10" hidden="1" x14ac:dyDescent="0.45">
      <c r="A29" t="s">
        <v>13</v>
      </c>
      <c r="B29" t="s">
        <v>13</v>
      </c>
      <c r="D29" t="str">
        <f>IF(A29='Quantity-logprob'!A29,".","N")</f>
        <v>.</v>
      </c>
      <c r="E29" t="str">
        <f t="shared" si="0"/>
        <v>.</v>
      </c>
      <c r="H29" s="8" t="s">
        <v>140</v>
      </c>
      <c r="I29" s="8" t="s">
        <v>141</v>
      </c>
      <c r="J29" s="8" t="s">
        <v>420</v>
      </c>
    </row>
    <row r="30" spans="1:10" hidden="1" x14ac:dyDescent="0.45">
      <c r="A30" t="s">
        <v>15</v>
      </c>
      <c r="B30" t="s">
        <v>15</v>
      </c>
      <c r="D30" t="str">
        <f>IF(A30='Quantity-logprob'!A30,".","N")</f>
        <v>.</v>
      </c>
      <c r="E30" t="str">
        <f t="shared" si="0"/>
        <v>.</v>
      </c>
      <c r="H30" s="8" t="s">
        <v>142</v>
      </c>
      <c r="I30" s="8" t="s">
        <v>99</v>
      </c>
      <c r="J30" s="8" t="s">
        <v>426</v>
      </c>
    </row>
    <row r="31" spans="1:10" hidden="1" x14ac:dyDescent="0.45">
      <c r="A31" t="s">
        <v>6</v>
      </c>
      <c r="B31" t="s">
        <v>6</v>
      </c>
      <c r="D31" t="str">
        <f>IF(A31='Quantity-logprob'!A31,".","N")</f>
        <v>.</v>
      </c>
      <c r="E31" t="str">
        <f t="shared" si="0"/>
        <v>.</v>
      </c>
      <c r="H31" s="8" t="s">
        <v>143</v>
      </c>
      <c r="I31" s="8" t="s">
        <v>144</v>
      </c>
      <c r="J31" s="8" t="s">
        <v>417</v>
      </c>
    </row>
    <row r="32" spans="1:10" hidden="1" x14ac:dyDescent="0.45">
      <c r="A32" t="s">
        <v>6</v>
      </c>
      <c r="B32" t="s">
        <v>6</v>
      </c>
      <c r="D32" t="str">
        <f>IF(A32='Quantity-logprob'!A32,".","N")</f>
        <v>.</v>
      </c>
      <c r="E32" t="str">
        <f t="shared" si="0"/>
        <v>.</v>
      </c>
      <c r="H32" s="8" t="s">
        <v>145</v>
      </c>
      <c r="I32" s="8" t="s">
        <v>146</v>
      </c>
      <c r="J32" s="8" t="s">
        <v>417</v>
      </c>
    </row>
    <row r="33" spans="1:10" hidden="1" x14ac:dyDescent="0.45">
      <c r="A33" t="s">
        <v>6</v>
      </c>
      <c r="B33" t="s">
        <v>6</v>
      </c>
      <c r="D33" t="str">
        <f>IF(A33='Quantity-logprob'!A33,".","N")</f>
        <v>.</v>
      </c>
      <c r="E33" t="str">
        <f t="shared" si="0"/>
        <v>.</v>
      </c>
      <c r="H33" s="8" t="s">
        <v>147</v>
      </c>
      <c r="I33" s="8" t="s">
        <v>148</v>
      </c>
      <c r="J33" s="8" t="s">
        <v>417</v>
      </c>
    </row>
    <row r="34" spans="1:10" hidden="1" x14ac:dyDescent="0.45">
      <c r="A34" t="s">
        <v>13</v>
      </c>
      <c r="B34" t="s">
        <v>13</v>
      </c>
      <c r="D34" t="str">
        <f>IF(A34='Quantity-logprob'!A34,".","N")</f>
        <v>.</v>
      </c>
      <c r="E34" t="str">
        <f t="shared" si="0"/>
        <v>.</v>
      </c>
      <c r="H34" s="8" t="s">
        <v>149</v>
      </c>
      <c r="I34" s="8" t="s">
        <v>99</v>
      </c>
      <c r="J34" s="8" t="s">
        <v>420</v>
      </c>
    </row>
    <row r="35" spans="1:10" hidden="1" x14ac:dyDescent="0.45">
      <c r="A35" t="s">
        <v>13</v>
      </c>
      <c r="B35" t="s">
        <v>13</v>
      </c>
      <c r="D35" t="str">
        <f>IF(A35='Quantity-logprob'!A35,".","N")</f>
        <v>.</v>
      </c>
      <c r="E35" t="str">
        <f t="shared" si="0"/>
        <v>.</v>
      </c>
      <c r="H35" s="8" t="s">
        <v>150</v>
      </c>
      <c r="I35" s="8" t="s">
        <v>151</v>
      </c>
      <c r="J35" s="8" t="s">
        <v>420</v>
      </c>
    </row>
    <row r="36" spans="1:10" hidden="1" x14ac:dyDescent="0.45">
      <c r="A36" t="s">
        <v>5</v>
      </c>
      <c r="B36" t="s">
        <v>5</v>
      </c>
      <c r="D36" t="str">
        <f>IF(A36='Quantity-logprob'!A36,".","N")</f>
        <v>.</v>
      </c>
      <c r="E36" t="str">
        <f t="shared" si="0"/>
        <v>.</v>
      </c>
      <c r="H36" s="8" t="s">
        <v>152</v>
      </c>
      <c r="I36" s="8" t="s">
        <v>153</v>
      </c>
      <c r="J36" s="8" t="s">
        <v>423</v>
      </c>
    </row>
    <row r="37" spans="1:10" hidden="1" x14ac:dyDescent="0.45">
      <c r="A37" t="s">
        <v>13</v>
      </c>
      <c r="B37" t="s">
        <v>13</v>
      </c>
      <c r="D37" t="str">
        <f>IF(A37='Quantity-logprob'!A37,".","N")</f>
        <v>.</v>
      </c>
      <c r="E37" t="str">
        <f t="shared" si="0"/>
        <v>.</v>
      </c>
      <c r="H37" s="8" t="s">
        <v>154</v>
      </c>
      <c r="I37" s="8" t="s">
        <v>99</v>
      </c>
      <c r="J37" s="8" t="s">
        <v>420</v>
      </c>
    </row>
    <row r="38" spans="1:10" hidden="1" x14ac:dyDescent="0.45">
      <c r="A38" t="s">
        <v>17</v>
      </c>
      <c r="B38" t="s">
        <v>17</v>
      </c>
      <c r="D38" t="str">
        <f>IF(A38='Quantity-logprob'!A38,".","N")</f>
        <v>.</v>
      </c>
      <c r="E38" t="str">
        <f t="shared" si="0"/>
        <v>.</v>
      </c>
      <c r="H38" s="8" t="s">
        <v>155</v>
      </c>
      <c r="I38" s="8" t="s">
        <v>156</v>
      </c>
      <c r="J38" s="8" t="s">
        <v>429</v>
      </c>
    </row>
    <row r="39" spans="1:10" hidden="1" x14ac:dyDescent="0.45">
      <c r="A39" t="s">
        <v>19</v>
      </c>
      <c r="B39" t="s">
        <v>533</v>
      </c>
      <c r="D39" t="str">
        <f>IF(A39='Quantity-logprob'!A39,".","N")</f>
        <v>.</v>
      </c>
      <c r="E39" t="str">
        <f t="shared" si="0"/>
        <v>N</v>
      </c>
      <c r="H39" s="9" t="s">
        <v>157</v>
      </c>
      <c r="I39" s="8" t="s">
        <v>158</v>
      </c>
      <c r="J39" s="8" t="s">
        <v>430</v>
      </c>
    </row>
    <row r="40" spans="1:10" hidden="1" x14ac:dyDescent="0.45">
      <c r="A40" t="s">
        <v>13</v>
      </c>
      <c r="B40" t="s">
        <v>13</v>
      </c>
      <c r="D40" t="str">
        <f>IF(A40='Quantity-logprob'!A40,".","N")</f>
        <v>.</v>
      </c>
      <c r="E40" t="str">
        <f t="shared" si="0"/>
        <v>.</v>
      </c>
      <c r="H40" s="8" t="s">
        <v>159</v>
      </c>
      <c r="I40" s="8" t="s">
        <v>99</v>
      </c>
      <c r="J40" s="8" t="s">
        <v>420</v>
      </c>
    </row>
    <row r="41" spans="1:10" hidden="1" x14ac:dyDescent="0.45">
      <c r="A41" t="s">
        <v>13</v>
      </c>
      <c r="B41" t="s">
        <v>13</v>
      </c>
      <c r="D41" t="str">
        <f>IF(A41='Quantity-logprob'!A41,".","N")</f>
        <v>.</v>
      </c>
      <c r="E41" t="str">
        <f t="shared" si="0"/>
        <v>.</v>
      </c>
      <c r="H41" s="9" t="s">
        <v>160</v>
      </c>
      <c r="I41" s="8" t="s">
        <v>161</v>
      </c>
      <c r="J41" s="8" t="s">
        <v>420</v>
      </c>
    </row>
    <row r="42" spans="1:10" hidden="1" x14ac:dyDescent="0.45">
      <c r="A42" t="s">
        <v>14</v>
      </c>
      <c r="B42" t="s">
        <v>14</v>
      </c>
      <c r="D42" t="str">
        <f>IF(A42='Quantity-logprob'!A42,".","N")</f>
        <v>.</v>
      </c>
      <c r="E42" t="str">
        <f t="shared" si="0"/>
        <v>.</v>
      </c>
      <c r="H42" s="8" t="s">
        <v>162</v>
      </c>
      <c r="I42" s="8" t="s">
        <v>163</v>
      </c>
      <c r="J42" s="8" t="s">
        <v>425</v>
      </c>
    </row>
    <row r="43" spans="1:10" hidden="1" x14ac:dyDescent="0.45">
      <c r="A43" t="s">
        <v>10</v>
      </c>
      <c r="B43" t="s">
        <v>10</v>
      </c>
      <c r="D43" t="str">
        <f>IF(A43='Quantity-logprob'!A43,".","N")</f>
        <v>.</v>
      </c>
      <c r="E43" t="str">
        <f t="shared" si="0"/>
        <v>.</v>
      </c>
      <c r="H43" s="8" t="s">
        <v>164</v>
      </c>
      <c r="I43" s="8" t="s">
        <v>99</v>
      </c>
      <c r="J43" s="8" t="s">
        <v>421</v>
      </c>
    </row>
    <row r="44" spans="1:10" hidden="1" x14ac:dyDescent="0.45">
      <c r="A44" t="s">
        <v>12</v>
      </c>
      <c r="B44" t="s">
        <v>12</v>
      </c>
      <c r="D44" t="str">
        <f>IF(A44='Quantity-logprob'!A44,".","N")</f>
        <v>.</v>
      </c>
      <c r="E44" t="str">
        <f t="shared" si="0"/>
        <v>.</v>
      </c>
      <c r="H44" s="8" t="s">
        <v>165</v>
      </c>
      <c r="I44" s="8" t="s">
        <v>166</v>
      </c>
      <c r="J44" s="8" t="s">
        <v>424</v>
      </c>
    </row>
    <row r="45" spans="1:10" hidden="1" x14ac:dyDescent="0.45">
      <c r="A45" t="s">
        <v>13</v>
      </c>
      <c r="B45" t="s">
        <v>13</v>
      </c>
      <c r="D45" t="str">
        <f>IF(A45='Quantity-logprob'!A45,".","N")</f>
        <v>.</v>
      </c>
      <c r="E45" t="str">
        <f t="shared" si="0"/>
        <v>.</v>
      </c>
      <c r="H45" s="8" t="s">
        <v>167</v>
      </c>
      <c r="I45" s="8" t="s">
        <v>168</v>
      </c>
      <c r="J45" s="8" t="s">
        <v>420</v>
      </c>
    </row>
    <row r="46" spans="1:10" x14ac:dyDescent="0.45">
      <c r="A46" t="s">
        <v>10</v>
      </c>
      <c r="B46" t="s">
        <v>532</v>
      </c>
      <c r="D46" t="str">
        <f>IF(A46='Quantity-logprob'!A46,".","N")</f>
        <v>.</v>
      </c>
      <c r="E46" t="str">
        <f t="shared" si="0"/>
        <v>N</v>
      </c>
      <c r="F46" s="8" t="s">
        <v>514</v>
      </c>
      <c r="H46" s="8" t="s">
        <v>169</v>
      </c>
      <c r="I46" s="8" t="s">
        <v>99</v>
      </c>
      <c r="J46" s="8" t="s">
        <v>421</v>
      </c>
    </row>
    <row r="47" spans="1:10" hidden="1" x14ac:dyDescent="0.45">
      <c r="A47" t="s">
        <v>13</v>
      </c>
      <c r="B47" t="s">
        <v>13</v>
      </c>
      <c r="D47" t="str">
        <f>IF(A47='Quantity-logprob'!A47,".","N")</f>
        <v>.</v>
      </c>
      <c r="E47" t="str">
        <f t="shared" si="0"/>
        <v>.</v>
      </c>
      <c r="H47" s="8" t="s">
        <v>170</v>
      </c>
      <c r="I47" s="8" t="s">
        <v>171</v>
      </c>
      <c r="J47" s="8" t="s">
        <v>420</v>
      </c>
    </row>
    <row r="48" spans="1:10" hidden="1" x14ac:dyDescent="0.45">
      <c r="A48" t="s">
        <v>16</v>
      </c>
      <c r="B48" t="s">
        <v>16</v>
      </c>
      <c r="D48" t="str">
        <f>IF(A48='Quantity-logprob'!A48,".","N")</f>
        <v>.</v>
      </c>
      <c r="E48" t="str">
        <f t="shared" si="0"/>
        <v>.</v>
      </c>
      <c r="H48" s="8" t="s">
        <v>172</v>
      </c>
      <c r="I48" s="8" t="s">
        <v>173</v>
      </c>
      <c r="J48" s="8" t="s">
        <v>428</v>
      </c>
    </row>
    <row r="49" spans="1:10" hidden="1" x14ac:dyDescent="0.45">
      <c r="A49" t="s">
        <v>7</v>
      </c>
      <c r="B49" t="s">
        <v>7</v>
      </c>
      <c r="D49" t="str">
        <f>IF(A49='Quantity-logprob'!A49,".","N")</f>
        <v>.</v>
      </c>
      <c r="E49" t="str">
        <f t="shared" si="0"/>
        <v>.</v>
      </c>
      <c r="H49" s="8" t="s">
        <v>174</v>
      </c>
      <c r="I49" s="8" t="s">
        <v>99</v>
      </c>
      <c r="J49" s="8" t="s">
        <v>418</v>
      </c>
    </row>
    <row r="50" spans="1:10" hidden="1" x14ac:dyDescent="0.45">
      <c r="A50" t="s">
        <v>13</v>
      </c>
      <c r="B50" t="s">
        <v>13</v>
      </c>
      <c r="D50" t="str">
        <f>IF(A50='Quantity-logprob'!A50,".","N")</f>
        <v>.</v>
      </c>
      <c r="E50" t="str">
        <f t="shared" si="0"/>
        <v>.</v>
      </c>
      <c r="H50" s="8" t="s">
        <v>175</v>
      </c>
      <c r="I50" s="8" t="s">
        <v>99</v>
      </c>
      <c r="J50" s="8" t="s">
        <v>420</v>
      </c>
    </row>
    <row r="51" spans="1:10" hidden="1" x14ac:dyDescent="0.45">
      <c r="A51" t="s">
        <v>5</v>
      </c>
      <c r="B51" t="s">
        <v>5</v>
      </c>
      <c r="D51" t="str">
        <f>IF(A51='Quantity-logprob'!A51,".","N")</f>
        <v>.</v>
      </c>
      <c r="E51" t="str">
        <f t="shared" si="0"/>
        <v>.</v>
      </c>
      <c r="H51" s="8" t="s">
        <v>176</v>
      </c>
      <c r="I51" s="8" t="s">
        <v>177</v>
      </c>
      <c r="J51" s="8" t="s">
        <v>423</v>
      </c>
    </row>
    <row r="52" spans="1:10" hidden="1" x14ac:dyDescent="0.45">
      <c r="A52" t="s">
        <v>15</v>
      </c>
      <c r="B52" t="s">
        <v>15</v>
      </c>
      <c r="D52" t="str">
        <f>IF(A52='Quantity-logprob'!A52,".","N")</f>
        <v>.</v>
      </c>
      <c r="E52" t="str">
        <f t="shared" si="0"/>
        <v>.</v>
      </c>
      <c r="H52" s="8" t="s">
        <v>178</v>
      </c>
      <c r="I52" s="8" t="s">
        <v>179</v>
      </c>
      <c r="J52" s="8" t="s">
        <v>426</v>
      </c>
    </row>
    <row r="53" spans="1:10" hidden="1" x14ac:dyDescent="0.45">
      <c r="A53" t="s">
        <v>6</v>
      </c>
      <c r="B53" t="s">
        <v>6</v>
      </c>
      <c r="D53" t="str">
        <f>IF(A53='Quantity-logprob'!A53,".","N")</f>
        <v>.</v>
      </c>
      <c r="E53" t="str">
        <f t="shared" si="0"/>
        <v>.</v>
      </c>
      <c r="H53" s="8" t="s">
        <v>180</v>
      </c>
      <c r="I53" s="8" t="s">
        <v>181</v>
      </c>
      <c r="J53" s="8" t="s">
        <v>417</v>
      </c>
    </row>
    <row r="54" spans="1:10" hidden="1" x14ac:dyDescent="0.45">
      <c r="A54" t="s">
        <v>15</v>
      </c>
      <c r="B54" t="s">
        <v>15</v>
      </c>
      <c r="D54" t="str">
        <f>IF(A54='Quantity-logprob'!A54,".","N")</f>
        <v>.</v>
      </c>
      <c r="E54" t="str">
        <f t="shared" si="0"/>
        <v>.</v>
      </c>
      <c r="H54" s="8" t="s">
        <v>182</v>
      </c>
      <c r="I54" s="8" t="s">
        <v>99</v>
      </c>
      <c r="J54" s="8" t="s">
        <v>426</v>
      </c>
    </row>
    <row r="55" spans="1:10" hidden="1" x14ac:dyDescent="0.45">
      <c r="A55" t="s">
        <v>5</v>
      </c>
      <c r="B55" t="s">
        <v>5</v>
      </c>
      <c r="D55" t="str">
        <f>IF(A55='Quantity-logprob'!A55,".","N")</f>
        <v>.</v>
      </c>
      <c r="E55" t="str">
        <f t="shared" si="0"/>
        <v>.</v>
      </c>
      <c r="H55" s="8" t="s">
        <v>183</v>
      </c>
      <c r="I55" s="8" t="s">
        <v>184</v>
      </c>
      <c r="J55" s="8" t="s">
        <v>416</v>
      </c>
    </row>
    <row r="56" spans="1:10" hidden="1" x14ac:dyDescent="0.45">
      <c r="A56" t="s">
        <v>14</v>
      </c>
      <c r="B56" t="s">
        <v>14</v>
      </c>
      <c r="D56" t="str">
        <f>IF(A56='Quantity-logprob'!A56,".","N")</f>
        <v>.</v>
      </c>
      <c r="E56" t="str">
        <f t="shared" si="0"/>
        <v>.</v>
      </c>
      <c r="H56" s="8" t="s">
        <v>185</v>
      </c>
      <c r="I56" s="8" t="s">
        <v>186</v>
      </c>
      <c r="J56" s="8" t="s">
        <v>425</v>
      </c>
    </row>
    <row r="57" spans="1:10" hidden="1" x14ac:dyDescent="0.45">
      <c r="A57" t="s">
        <v>7</v>
      </c>
      <c r="B57" t="s">
        <v>7</v>
      </c>
      <c r="D57" t="str">
        <f>IF(A57='Quantity-logprob'!A57,".","N")</f>
        <v>.</v>
      </c>
      <c r="E57" t="str">
        <f t="shared" si="0"/>
        <v>.</v>
      </c>
      <c r="H57" s="8" t="s">
        <v>187</v>
      </c>
      <c r="I57" s="8" t="s">
        <v>99</v>
      </c>
      <c r="J57" s="8" t="s">
        <v>431</v>
      </c>
    </row>
    <row r="58" spans="1:10" hidden="1" x14ac:dyDescent="0.45">
      <c r="A58" t="s">
        <v>11</v>
      </c>
      <c r="B58" t="s">
        <v>11</v>
      </c>
      <c r="D58" t="str">
        <f>IF(A58='Quantity-logprob'!A58,".","N")</f>
        <v>.</v>
      </c>
      <c r="E58" t="str">
        <f t="shared" si="0"/>
        <v>.</v>
      </c>
      <c r="H58" s="8" t="s">
        <v>188</v>
      </c>
      <c r="I58" s="8" t="s">
        <v>99</v>
      </c>
      <c r="J58" s="8" t="s">
        <v>422</v>
      </c>
    </row>
    <row r="59" spans="1:10" hidden="1" x14ac:dyDescent="0.45">
      <c r="A59" t="s">
        <v>6</v>
      </c>
      <c r="B59" t="s">
        <v>6</v>
      </c>
      <c r="D59" t="str">
        <f>IF(A59='Quantity-logprob'!A59,".","N")</f>
        <v>.</v>
      </c>
      <c r="E59" t="str">
        <f t="shared" si="0"/>
        <v>.</v>
      </c>
      <c r="H59" s="8" t="s">
        <v>189</v>
      </c>
      <c r="I59" s="8" t="s">
        <v>190</v>
      </c>
      <c r="J59" s="8" t="s">
        <v>417</v>
      </c>
    </row>
    <row r="60" spans="1:10" hidden="1" x14ac:dyDescent="0.45">
      <c r="A60" t="s">
        <v>8</v>
      </c>
      <c r="B60" t="s">
        <v>8</v>
      </c>
      <c r="D60" t="str">
        <f>IF(A60='Quantity-logprob'!A60,".","N")</f>
        <v>.</v>
      </c>
      <c r="E60" t="str">
        <f t="shared" si="0"/>
        <v>.</v>
      </c>
      <c r="H60" s="8" t="s">
        <v>191</v>
      </c>
      <c r="I60" s="8" t="s">
        <v>192</v>
      </c>
      <c r="J60" s="8" t="s">
        <v>427</v>
      </c>
    </row>
    <row r="61" spans="1:10" hidden="1" x14ac:dyDescent="0.45">
      <c r="A61" t="s">
        <v>17</v>
      </c>
      <c r="B61" t="s">
        <v>17</v>
      </c>
      <c r="D61" t="str">
        <f>IF(A61='Quantity-logprob'!A61,".","N")</f>
        <v>.</v>
      </c>
      <c r="E61" t="str">
        <f t="shared" si="0"/>
        <v>.</v>
      </c>
      <c r="H61" s="8" t="s">
        <v>193</v>
      </c>
      <c r="I61" s="8" t="s">
        <v>99</v>
      </c>
      <c r="J61" s="8" t="s">
        <v>429</v>
      </c>
    </row>
    <row r="62" spans="1:10" hidden="1" x14ac:dyDescent="0.45">
      <c r="A62" t="s">
        <v>17</v>
      </c>
      <c r="B62" t="s">
        <v>17</v>
      </c>
      <c r="D62" t="str">
        <f>IF(A62='Quantity-logprob'!A62,".","N")</f>
        <v>.</v>
      </c>
      <c r="E62" t="str">
        <f t="shared" si="0"/>
        <v>.</v>
      </c>
      <c r="H62" s="8" t="s">
        <v>194</v>
      </c>
      <c r="I62" s="8" t="s">
        <v>99</v>
      </c>
      <c r="J62" s="8" t="s">
        <v>429</v>
      </c>
    </row>
    <row r="63" spans="1:10" hidden="1" x14ac:dyDescent="0.45">
      <c r="A63" t="s">
        <v>8</v>
      </c>
      <c r="B63" t="s">
        <v>8</v>
      </c>
      <c r="D63" t="str">
        <f>IF(A63='Quantity-logprob'!A63,".","N")</f>
        <v>.</v>
      </c>
      <c r="E63" t="str">
        <f t="shared" si="0"/>
        <v>.</v>
      </c>
      <c r="H63" s="8" t="s">
        <v>195</v>
      </c>
      <c r="I63" s="8" t="s">
        <v>196</v>
      </c>
      <c r="J63" s="8" t="s">
        <v>419</v>
      </c>
    </row>
    <row r="64" spans="1:10" hidden="1" x14ac:dyDescent="0.45">
      <c r="A64" t="s">
        <v>15</v>
      </c>
      <c r="B64" t="s">
        <v>15</v>
      </c>
      <c r="D64" t="str">
        <f>IF(A64='Quantity-logprob'!A64,".","N")</f>
        <v>.</v>
      </c>
      <c r="E64" t="str">
        <f t="shared" si="0"/>
        <v>.</v>
      </c>
      <c r="H64" s="8" t="s">
        <v>197</v>
      </c>
      <c r="I64" s="8" t="s">
        <v>198</v>
      </c>
      <c r="J64" s="8" t="s">
        <v>426</v>
      </c>
    </row>
    <row r="65" spans="1:10" hidden="1" x14ac:dyDescent="0.45">
      <c r="A65" t="s">
        <v>7</v>
      </c>
      <c r="B65" t="s">
        <v>7</v>
      </c>
      <c r="D65" t="str">
        <f>IF(A65='Quantity-logprob'!A65,".","N")</f>
        <v>.</v>
      </c>
      <c r="E65" t="str">
        <f t="shared" si="0"/>
        <v>.</v>
      </c>
      <c r="H65" s="8" t="s">
        <v>199</v>
      </c>
      <c r="I65" s="8" t="s">
        <v>200</v>
      </c>
      <c r="J65" s="8" t="s">
        <v>418</v>
      </c>
    </row>
    <row r="66" spans="1:10" hidden="1" x14ac:dyDescent="0.45">
      <c r="A66" t="s">
        <v>15</v>
      </c>
      <c r="B66" t="s">
        <v>15</v>
      </c>
      <c r="D66" t="str">
        <f>IF(A66='Quantity-logprob'!A66,".","N")</f>
        <v>.</v>
      </c>
      <c r="E66" t="str">
        <f t="shared" si="0"/>
        <v>.</v>
      </c>
      <c r="H66" s="8" t="s">
        <v>201</v>
      </c>
      <c r="I66" s="8" t="s">
        <v>202</v>
      </c>
      <c r="J66" s="8" t="s">
        <v>426</v>
      </c>
    </row>
    <row r="67" spans="1:10" hidden="1" x14ac:dyDescent="0.45">
      <c r="A67" t="s">
        <v>15</v>
      </c>
      <c r="B67" t="s">
        <v>15</v>
      </c>
      <c r="D67" t="str">
        <f>IF(A67='Quantity-logprob'!A67,".","N")</f>
        <v>.</v>
      </c>
      <c r="E67" t="str">
        <f t="shared" ref="E67:E130" si="1">IF(A67=B67,".","N")</f>
        <v>.</v>
      </c>
      <c r="H67" s="8" t="s">
        <v>203</v>
      </c>
      <c r="I67" s="8" t="s">
        <v>99</v>
      </c>
      <c r="J67" s="8" t="s">
        <v>426</v>
      </c>
    </row>
    <row r="68" spans="1:10" hidden="1" x14ac:dyDescent="0.45">
      <c r="A68" t="s">
        <v>19</v>
      </c>
      <c r="B68" t="s">
        <v>8</v>
      </c>
      <c r="D68" t="str">
        <f>IF(A68='Quantity-logprob'!A68,".","N")</f>
        <v>.</v>
      </c>
      <c r="E68" t="str">
        <f t="shared" si="1"/>
        <v>N</v>
      </c>
      <c r="H68" s="8" t="s">
        <v>204</v>
      </c>
      <c r="I68" s="8" t="s">
        <v>205</v>
      </c>
      <c r="J68" s="8" t="s">
        <v>432</v>
      </c>
    </row>
    <row r="69" spans="1:10" hidden="1" x14ac:dyDescent="0.45">
      <c r="A69" t="s">
        <v>20</v>
      </c>
      <c r="B69" t="s">
        <v>20</v>
      </c>
      <c r="D69" t="str">
        <f>IF(A69='Quantity-logprob'!A69,".","N")</f>
        <v>.</v>
      </c>
      <c r="E69" t="str">
        <f t="shared" si="1"/>
        <v>.</v>
      </c>
      <c r="H69" s="8" t="s">
        <v>206</v>
      </c>
      <c r="I69" s="8" t="s">
        <v>207</v>
      </c>
      <c r="J69" s="8" t="s">
        <v>433</v>
      </c>
    </row>
    <row r="70" spans="1:10" hidden="1" x14ac:dyDescent="0.45">
      <c r="A70" t="s">
        <v>13</v>
      </c>
      <c r="B70" t="s">
        <v>13</v>
      </c>
      <c r="D70" t="str">
        <f>IF(A70='Quantity-logprob'!A70,".","N")</f>
        <v>.</v>
      </c>
      <c r="E70" t="str">
        <f t="shared" si="1"/>
        <v>.</v>
      </c>
      <c r="H70" s="8" t="s">
        <v>208</v>
      </c>
      <c r="I70" s="8" t="s">
        <v>99</v>
      </c>
      <c r="J70" s="8" t="s">
        <v>420</v>
      </c>
    </row>
    <row r="71" spans="1:10" hidden="1" x14ac:dyDescent="0.45">
      <c r="A71" t="s">
        <v>6</v>
      </c>
      <c r="B71" t="s">
        <v>6</v>
      </c>
      <c r="D71" t="str">
        <f>IF(A71='Quantity-logprob'!A71,".","N")</f>
        <v>.</v>
      </c>
      <c r="E71" t="str">
        <f t="shared" si="1"/>
        <v>.</v>
      </c>
      <c r="H71" s="8" t="s">
        <v>209</v>
      </c>
      <c r="I71" s="8" t="s">
        <v>210</v>
      </c>
      <c r="J71" s="8" t="s">
        <v>417</v>
      </c>
    </row>
    <row r="72" spans="1:10" hidden="1" x14ac:dyDescent="0.45">
      <c r="A72" t="s">
        <v>8</v>
      </c>
      <c r="B72" t="s">
        <v>8</v>
      </c>
      <c r="D72" t="str">
        <f>IF(A72='Quantity-logprob'!A72,".","N")</f>
        <v>.</v>
      </c>
      <c r="E72" t="str">
        <f t="shared" si="1"/>
        <v>.</v>
      </c>
      <c r="H72" s="8" t="s">
        <v>211</v>
      </c>
      <c r="I72" s="8" t="s">
        <v>212</v>
      </c>
      <c r="J72" s="8" t="s">
        <v>427</v>
      </c>
    </row>
    <row r="73" spans="1:10" hidden="1" x14ac:dyDescent="0.45">
      <c r="A73" t="s">
        <v>5</v>
      </c>
      <c r="B73" t="s">
        <v>5</v>
      </c>
      <c r="D73" t="str">
        <f>IF(A73='Quantity-logprob'!A73,".","N")</f>
        <v>.</v>
      </c>
      <c r="E73" t="str">
        <f t="shared" si="1"/>
        <v>.</v>
      </c>
      <c r="H73" s="8" t="s">
        <v>213</v>
      </c>
      <c r="I73" s="8" t="s">
        <v>214</v>
      </c>
      <c r="J73" s="8" t="s">
        <v>416</v>
      </c>
    </row>
    <row r="74" spans="1:10" hidden="1" x14ac:dyDescent="0.45">
      <c r="A74" t="s">
        <v>17</v>
      </c>
      <c r="B74" t="s">
        <v>17</v>
      </c>
      <c r="D74" t="str">
        <f>IF(A74='Quantity-logprob'!A74,".","N")</f>
        <v>.</v>
      </c>
      <c r="E74" t="str">
        <f t="shared" si="1"/>
        <v>.</v>
      </c>
      <c r="H74" s="8" t="s">
        <v>215</v>
      </c>
      <c r="I74" s="8" t="s">
        <v>99</v>
      </c>
      <c r="J74" s="8" t="s">
        <v>429</v>
      </c>
    </row>
    <row r="75" spans="1:10" hidden="1" x14ac:dyDescent="0.45">
      <c r="A75" t="s">
        <v>13</v>
      </c>
      <c r="B75" t="s">
        <v>13</v>
      </c>
      <c r="D75" t="str">
        <f>IF(A75='Quantity-logprob'!A75,".","N")</f>
        <v>.</v>
      </c>
      <c r="E75" t="str">
        <f t="shared" si="1"/>
        <v>.</v>
      </c>
      <c r="H75" s="8" t="s">
        <v>216</v>
      </c>
      <c r="I75" s="8" t="s">
        <v>99</v>
      </c>
      <c r="J75" s="8" t="s">
        <v>420</v>
      </c>
    </row>
    <row r="76" spans="1:10" hidden="1" x14ac:dyDescent="0.45">
      <c r="A76" t="s">
        <v>21</v>
      </c>
      <c r="B76" t="s">
        <v>21</v>
      </c>
      <c r="D76" t="str">
        <f>IF(A76='Quantity-logprob'!A76,".","N")</f>
        <v>.</v>
      </c>
      <c r="E76" t="str">
        <f t="shared" si="1"/>
        <v>.</v>
      </c>
      <c r="H76" s="8" t="s">
        <v>217</v>
      </c>
      <c r="I76" s="8" t="s">
        <v>218</v>
      </c>
      <c r="J76" s="8" t="s">
        <v>434</v>
      </c>
    </row>
    <row r="77" spans="1:10" hidden="1" x14ac:dyDescent="0.45">
      <c r="A77" t="s">
        <v>15</v>
      </c>
      <c r="B77" t="s">
        <v>15</v>
      </c>
      <c r="D77" t="str">
        <f>IF(A77='Quantity-logprob'!A77,".","N")</f>
        <v>.</v>
      </c>
      <c r="E77" t="str">
        <f t="shared" si="1"/>
        <v>.</v>
      </c>
      <c r="H77" s="8" t="s">
        <v>219</v>
      </c>
      <c r="I77" s="8" t="s">
        <v>220</v>
      </c>
      <c r="J77" s="8" t="s">
        <v>426</v>
      </c>
    </row>
    <row r="78" spans="1:10" hidden="1" x14ac:dyDescent="0.45">
      <c r="A78" t="s">
        <v>17</v>
      </c>
      <c r="B78" t="s">
        <v>17</v>
      </c>
      <c r="D78" t="str">
        <f>IF(A78='Quantity-logprob'!A78,".","N")</f>
        <v>.</v>
      </c>
      <c r="E78" t="str">
        <f t="shared" si="1"/>
        <v>.</v>
      </c>
      <c r="H78" s="8" t="s">
        <v>221</v>
      </c>
      <c r="I78" s="8" t="s">
        <v>222</v>
      </c>
      <c r="J78" s="8" t="s">
        <v>429</v>
      </c>
    </row>
    <row r="79" spans="1:10" hidden="1" x14ac:dyDescent="0.45">
      <c r="A79" t="s">
        <v>17</v>
      </c>
      <c r="B79" t="s">
        <v>17</v>
      </c>
      <c r="D79" t="str">
        <f>IF(A79='Quantity-logprob'!A79,".","N")</f>
        <v>.</v>
      </c>
      <c r="E79" t="str">
        <f t="shared" si="1"/>
        <v>.</v>
      </c>
      <c r="H79" s="8" t="s">
        <v>223</v>
      </c>
      <c r="I79" s="8" t="s">
        <v>224</v>
      </c>
      <c r="J79" s="8" t="s">
        <v>429</v>
      </c>
    </row>
    <row r="80" spans="1:10" hidden="1" x14ac:dyDescent="0.45">
      <c r="A80" t="s">
        <v>17</v>
      </c>
      <c r="B80" t="s">
        <v>17</v>
      </c>
      <c r="D80" t="str">
        <f>IF(A80='Quantity-logprob'!A80,".","N")</f>
        <v>.</v>
      </c>
      <c r="E80" t="str">
        <f t="shared" si="1"/>
        <v>.</v>
      </c>
      <c r="H80" s="8" t="s">
        <v>225</v>
      </c>
      <c r="I80" s="8" t="s">
        <v>226</v>
      </c>
      <c r="J80" s="8" t="s">
        <v>429</v>
      </c>
    </row>
    <row r="81" spans="1:10" hidden="1" x14ac:dyDescent="0.45">
      <c r="A81" t="s">
        <v>6</v>
      </c>
      <c r="B81" t="s">
        <v>6</v>
      </c>
      <c r="D81" t="str">
        <f>IF(A81='Quantity-logprob'!A81,".","N")</f>
        <v>.</v>
      </c>
      <c r="E81" t="str">
        <f t="shared" si="1"/>
        <v>.</v>
      </c>
      <c r="H81" s="8" t="s">
        <v>227</v>
      </c>
      <c r="I81" s="8" t="s">
        <v>228</v>
      </c>
      <c r="J81" s="8" t="s">
        <v>417</v>
      </c>
    </row>
    <row r="82" spans="1:10" hidden="1" x14ac:dyDescent="0.45">
      <c r="A82" t="s">
        <v>13</v>
      </c>
      <c r="B82" t="s">
        <v>13</v>
      </c>
      <c r="D82" t="str">
        <f>IF(A82='Quantity-logprob'!A82,".","N")</f>
        <v>.</v>
      </c>
      <c r="E82" t="str">
        <f t="shared" si="1"/>
        <v>.</v>
      </c>
      <c r="H82" s="8" t="s">
        <v>229</v>
      </c>
      <c r="I82" s="8" t="s">
        <v>230</v>
      </c>
      <c r="J82" s="8" t="s">
        <v>420</v>
      </c>
    </row>
    <row r="83" spans="1:10" hidden="1" x14ac:dyDescent="0.45">
      <c r="A83" t="s">
        <v>8</v>
      </c>
      <c r="B83" t="s">
        <v>8</v>
      </c>
      <c r="D83" t="str">
        <f>IF(A83='Quantity-logprob'!A83,".","N")</f>
        <v>.</v>
      </c>
      <c r="E83" t="str">
        <f t="shared" si="1"/>
        <v>.</v>
      </c>
      <c r="H83" s="8" t="s">
        <v>231</v>
      </c>
      <c r="I83" s="8" t="s">
        <v>232</v>
      </c>
      <c r="J83" s="8" t="s">
        <v>419</v>
      </c>
    </row>
    <row r="84" spans="1:10" hidden="1" x14ac:dyDescent="0.45">
      <c r="A84" t="s">
        <v>14</v>
      </c>
      <c r="B84" t="s">
        <v>14</v>
      </c>
      <c r="D84" t="str">
        <f>IF(A84='Quantity-logprob'!A84,".","N")</f>
        <v>.</v>
      </c>
      <c r="E84" t="str">
        <f t="shared" si="1"/>
        <v>.</v>
      </c>
      <c r="H84" s="8" t="s">
        <v>233</v>
      </c>
      <c r="I84" s="8" t="s">
        <v>234</v>
      </c>
      <c r="J84" s="8" t="s">
        <v>425</v>
      </c>
    </row>
    <row r="85" spans="1:10" hidden="1" x14ac:dyDescent="0.45">
      <c r="A85" t="s">
        <v>16</v>
      </c>
      <c r="B85" t="s">
        <v>16</v>
      </c>
      <c r="D85" t="str">
        <f>IF(A85='Quantity-logprob'!A85,".","N")</f>
        <v>.</v>
      </c>
      <c r="E85" t="str">
        <f t="shared" si="1"/>
        <v>.</v>
      </c>
      <c r="H85" s="8" t="s">
        <v>235</v>
      </c>
      <c r="I85" s="8" t="s">
        <v>99</v>
      </c>
      <c r="J85" s="8" t="s">
        <v>428</v>
      </c>
    </row>
    <row r="86" spans="1:10" hidden="1" x14ac:dyDescent="0.45">
      <c r="A86" t="s">
        <v>11</v>
      </c>
      <c r="B86" t="s">
        <v>11</v>
      </c>
      <c r="D86" t="str">
        <f>IF(A86='Quantity-logprob'!A86,".","N")</f>
        <v>.</v>
      </c>
      <c r="E86" t="str">
        <f t="shared" si="1"/>
        <v>.</v>
      </c>
      <c r="H86" s="8" t="s">
        <v>236</v>
      </c>
      <c r="I86" s="8" t="s">
        <v>237</v>
      </c>
      <c r="J86" s="8" t="s">
        <v>422</v>
      </c>
    </row>
    <row r="87" spans="1:10" hidden="1" x14ac:dyDescent="0.45">
      <c r="A87" t="s">
        <v>5</v>
      </c>
      <c r="B87" t="s">
        <v>5</v>
      </c>
      <c r="D87" t="str">
        <f>IF(A87='Quantity-logprob'!A87,".","N")</f>
        <v>.</v>
      </c>
      <c r="E87" t="str">
        <f t="shared" si="1"/>
        <v>.</v>
      </c>
      <c r="H87" s="8" t="s">
        <v>238</v>
      </c>
      <c r="I87" s="8" t="s">
        <v>239</v>
      </c>
      <c r="J87" s="8" t="s">
        <v>435</v>
      </c>
    </row>
    <row r="88" spans="1:10" x14ac:dyDescent="0.45">
      <c r="A88" t="s">
        <v>10</v>
      </c>
      <c r="B88" t="s">
        <v>533</v>
      </c>
      <c r="D88" t="str">
        <f>IF(A88='Quantity-logprob'!A88,".","N")</f>
        <v>.</v>
      </c>
      <c r="E88" t="str">
        <f t="shared" si="1"/>
        <v>N</v>
      </c>
      <c r="F88" s="8" t="s">
        <v>514</v>
      </c>
      <c r="H88" s="8" t="s">
        <v>240</v>
      </c>
      <c r="I88" s="8" t="s">
        <v>99</v>
      </c>
      <c r="J88" s="8" t="s">
        <v>421</v>
      </c>
    </row>
    <row r="89" spans="1:10" hidden="1" x14ac:dyDescent="0.45">
      <c r="A89" t="s">
        <v>7</v>
      </c>
      <c r="B89" t="s">
        <v>7</v>
      </c>
      <c r="D89" t="str">
        <f>IF(A89='Quantity-logprob'!A89,".","N")</f>
        <v>.</v>
      </c>
      <c r="E89" t="str">
        <f t="shared" si="1"/>
        <v>.</v>
      </c>
      <c r="H89" s="8" t="s">
        <v>241</v>
      </c>
      <c r="I89" s="8" t="s">
        <v>242</v>
      </c>
      <c r="J89" s="8" t="s">
        <v>418</v>
      </c>
    </row>
    <row r="90" spans="1:10" hidden="1" x14ac:dyDescent="0.45">
      <c r="A90" t="s">
        <v>13</v>
      </c>
      <c r="B90" t="s">
        <v>13</v>
      </c>
      <c r="D90" t="str">
        <f>IF(A90='Quantity-logprob'!A90,".","N")</f>
        <v>N</v>
      </c>
      <c r="E90" t="str">
        <f t="shared" si="1"/>
        <v>.</v>
      </c>
      <c r="H90" s="8" t="s">
        <v>243</v>
      </c>
      <c r="I90" s="8" t="s">
        <v>244</v>
      </c>
      <c r="J90" s="8" t="s">
        <v>433</v>
      </c>
    </row>
    <row r="91" spans="1:10" hidden="1" x14ac:dyDescent="0.45">
      <c r="A91" t="s">
        <v>13</v>
      </c>
      <c r="B91" t="s">
        <v>13</v>
      </c>
      <c r="D91" t="str">
        <f>IF(A91='Quantity-logprob'!A91,".","N")</f>
        <v>.</v>
      </c>
      <c r="E91" t="str">
        <f t="shared" si="1"/>
        <v>.</v>
      </c>
      <c r="H91" s="8" t="s">
        <v>245</v>
      </c>
      <c r="I91" s="8" t="s">
        <v>246</v>
      </c>
      <c r="J91" s="8" t="s">
        <v>420</v>
      </c>
    </row>
    <row r="92" spans="1:10" hidden="1" x14ac:dyDescent="0.45">
      <c r="A92" t="s">
        <v>5</v>
      </c>
      <c r="B92" t="s">
        <v>5</v>
      </c>
      <c r="D92" t="str">
        <f>IF(A92='Quantity-logprob'!A92,".","N")</f>
        <v>.</v>
      </c>
      <c r="E92" t="str">
        <f t="shared" si="1"/>
        <v>.</v>
      </c>
      <c r="H92" s="8" t="s">
        <v>247</v>
      </c>
      <c r="I92" s="8" t="s">
        <v>248</v>
      </c>
      <c r="J92" s="8" t="s">
        <v>416</v>
      </c>
    </row>
    <row r="93" spans="1:10" hidden="1" x14ac:dyDescent="0.45">
      <c r="A93" t="s">
        <v>13</v>
      </c>
      <c r="B93" t="s">
        <v>13</v>
      </c>
      <c r="D93" t="str">
        <f>IF(A93='Quantity-logprob'!A93,".","N")</f>
        <v>.</v>
      </c>
      <c r="E93" t="str">
        <f t="shared" si="1"/>
        <v>.</v>
      </c>
      <c r="H93" s="8" t="s">
        <v>249</v>
      </c>
      <c r="I93" s="8" t="s">
        <v>250</v>
      </c>
      <c r="J93" s="8" t="s">
        <v>420</v>
      </c>
    </row>
    <row r="94" spans="1:10" hidden="1" x14ac:dyDescent="0.45">
      <c r="A94" t="s">
        <v>5</v>
      </c>
      <c r="B94" t="s">
        <v>5</v>
      </c>
      <c r="D94" t="str">
        <f>IF(A94='Quantity-logprob'!A94,".","N")</f>
        <v>.</v>
      </c>
      <c r="E94" t="str">
        <f t="shared" si="1"/>
        <v>.</v>
      </c>
      <c r="H94" s="8" t="s">
        <v>251</v>
      </c>
      <c r="I94" s="8" t="s">
        <v>252</v>
      </c>
      <c r="J94" s="8" t="s">
        <v>416</v>
      </c>
    </row>
    <row r="95" spans="1:10" hidden="1" x14ac:dyDescent="0.45">
      <c r="A95" t="s">
        <v>13</v>
      </c>
      <c r="B95" t="s">
        <v>13</v>
      </c>
      <c r="D95" t="str">
        <f>IF(A95='Quantity-logprob'!A95,".","N")</f>
        <v>.</v>
      </c>
      <c r="E95" t="str">
        <f t="shared" si="1"/>
        <v>.</v>
      </c>
      <c r="H95" s="8" t="s">
        <v>253</v>
      </c>
      <c r="I95" s="8" t="s">
        <v>254</v>
      </c>
      <c r="J95" s="8" t="s">
        <v>420</v>
      </c>
    </row>
    <row r="96" spans="1:10" hidden="1" x14ac:dyDescent="0.45">
      <c r="A96" t="s">
        <v>6</v>
      </c>
      <c r="B96" t="s">
        <v>6</v>
      </c>
      <c r="D96" t="str">
        <f>IF(A96='Quantity-logprob'!A96,".","N")</f>
        <v>.</v>
      </c>
      <c r="E96" t="str">
        <f t="shared" si="1"/>
        <v>.</v>
      </c>
      <c r="H96" s="8" t="s">
        <v>255</v>
      </c>
      <c r="I96" s="8" t="s">
        <v>256</v>
      </c>
      <c r="J96" s="8" t="s">
        <v>417</v>
      </c>
    </row>
    <row r="97" spans="1:10" hidden="1" x14ac:dyDescent="0.45">
      <c r="A97" t="s">
        <v>6</v>
      </c>
      <c r="B97" t="s">
        <v>6</v>
      </c>
      <c r="D97" t="str">
        <f>IF(A97='Quantity-logprob'!A97,".","N")</f>
        <v>.</v>
      </c>
      <c r="E97" t="str">
        <f t="shared" si="1"/>
        <v>.</v>
      </c>
      <c r="H97" s="8" t="s">
        <v>257</v>
      </c>
      <c r="I97" s="8" t="s">
        <v>258</v>
      </c>
      <c r="J97" s="8" t="s">
        <v>417</v>
      </c>
    </row>
    <row r="98" spans="1:10" hidden="1" x14ac:dyDescent="0.45">
      <c r="A98" t="s">
        <v>13</v>
      </c>
      <c r="B98" t="s">
        <v>13</v>
      </c>
      <c r="D98" t="str">
        <f>IF(A98='Quantity-logprob'!A98,".","N")</f>
        <v>.</v>
      </c>
      <c r="E98" t="str">
        <f t="shared" si="1"/>
        <v>.</v>
      </c>
      <c r="H98" s="8" t="s">
        <v>259</v>
      </c>
      <c r="I98" s="8" t="s">
        <v>99</v>
      </c>
      <c r="J98" s="8" t="s">
        <v>420</v>
      </c>
    </row>
    <row r="99" spans="1:10" hidden="1" x14ac:dyDescent="0.45">
      <c r="A99" t="s">
        <v>13</v>
      </c>
      <c r="B99" t="s">
        <v>13</v>
      </c>
      <c r="D99" t="str">
        <f>IF(A99='Quantity-logprob'!A99,".","N")</f>
        <v>.</v>
      </c>
      <c r="E99" t="str">
        <f t="shared" si="1"/>
        <v>.</v>
      </c>
      <c r="H99" s="8" t="s">
        <v>260</v>
      </c>
      <c r="I99" s="8" t="s">
        <v>99</v>
      </c>
      <c r="J99" s="8" t="s">
        <v>420</v>
      </c>
    </row>
    <row r="100" spans="1:10" hidden="1" x14ac:dyDescent="0.45">
      <c r="A100" t="s">
        <v>7</v>
      </c>
      <c r="B100" t="s">
        <v>7</v>
      </c>
      <c r="D100" t="str">
        <f>IF(A100='Quantity-logprob'!A100,".","N")</f>
        <v>.</v>
      </c>
      <c r="E100" t="str">
        <f t="shared" si="1"/>
        <v>.</v>
      </c>
      <c r="H100" s="8" t="s">
        <v>261</v>
      </c>
      <c r="I100" s="8" t="s">
        <v>262</v>
      </c>
      <c r="J100" s="8" t="s">
        <v>436</v>
      </c>
    </row>
    <row r="101" spans="1:10" hidden="1" x14ac:dyDescent="0.45">
      <c r="A101" t="s">
        <v>13</v>
      </c>
      <c r="B101" t="s">
        <v>13</v>
      </c>
      <c r="D101" t="str">
        <f>IF(A101='Quantity-logprob'!A101,".","N")</f>
        <v>.</v>
      </c>
      <c r="E101" t="str">
        <f t="shared" si="1"/>
        <v>.</v>
      </c>
      <c r="H101" s="8" t="s">
        <v>263</v>
      </c>
      <c r="I101" s="8" t="s">
        <v>264</v>
      </c>
      <c r="J101" s="8" t="s">
        <v>420</v>
      </c>
    </row>
    <row r="102" spans="1:10" hidden="1" x14ac:dyDescent="0.45">
      <c r="A102" t="s">
        <v>17</v>
      </c>
      <c r="B102" t="s">
        <v>17</v>
      </c>
      <c r="D102" t="str">
        <f>IF(A102='Quantity-logprob'!A102,".","N")</f>
        <v>.</v>
      </c>
      <c r="E102" t="str">
        <f t="shared" si="1"/>
        <v>.</v>
      </c>
      <c r="H102" s="8" t="s">
        <v>265</v>
      </c>
      <c r="I102" s="8" t="s">
        <v>266</v>
      </c>
      <c r="J102" s="8" t="s">
        <v>429</v>
      </c>
    </row>
    <row r="103" spans="1:10" hidden="1" x14ac:dyDescent="0.45">
      <c r="A103" t="s">
        <v>13</v>
      </c>
      <c r="B103" t="s">
        <v>13</v>
      </c>
      <c r="D103" t="str">
        <f>IF(A103='Quantity-logprob'!A103,".","N")</f>
        <v>.</v>
      </c>
      <c r="E103" t="str">
        <f t="shared" si="1"/>
        <v>.</v>
      </c>
      <c r="H103" s="8" t="s">
        <v>267</v>
      </c>
      <c r="I103" s="8" t="s">
        <v>99</v>
      </c>
      <c r="J103" s="8" t="s">
        <v>420</v>
      </c>
    </row>
    <row r="104" spans="1:10" hidden="1" x14ac:dyDescent="0.45">
      <c r="A104" t="s">
        <v>13</v>
      </c>
      <c r="B104" t="s">
        <v>13</v>
      </c>
      <c r="D104" t="str">
        <f>IF(A104='Quantity-logprob'!A104,".","N")</f>
        <v>.</v>
      </c>
      <c r="E104" t="str">
        <f t="shared" si="1"/>
        <v>.</v>
      </c>
      <c r="H104" s="8" t="s">
        <v>268</v>
      </c>
      <c r="I104" s="8" t="s">
        <v>99</v>
      </c>
      <c r="J104" s="8" t="s">
        <v>420</v>
      </c>
    </row>
    <row r="105" spans="1:10" hidden="1" x14ac:dyDescent="0.45">
      <c r="A105" t="s">
        <v>5</v>
      </c>
      <c r="B105" t="s">
        <v>5</v>
      </c>
      <c r="D105" t="str">
        <f>IF(A105='Quantity-logprob'!A105,".","N")</f>
        <v>.</v>
      </c>
      <c r="E105" t="str">
        <f t="shared" si="1"/>
        <v>.</v>
      </c>
      <c r="H105" s="8" t="s">
        <v>269</v>
      </c>
      <c r="I105" s="8" t="s">
        <v>270</v>
      </c>
      <c r="J105" s="8" t="s">
        <v>416</v>
      </c>
    </row>
    <row r="106" spans="1:10" hidden="1" x14ac:dyDescent="0.45">
      <c r="A106" t="s">
        <v>13</v>
      </c>
      <c r="B106" t="s">
        <v>13</v>
      </c>
      <c r="D106" t="str">
        <f>IF(A106='Quantity-logprob'!A106,".","N")</f>
        <v>.</v>
      </c>
      <c r="E106" t="str">
        <f t="shared" si="1"/>
        <v>.</v>
      </c>
      <c r="H106" s="8" t="s">
        <v>271</v>
      </c>
      <c r="I106" s="8" t="s">
        <v>99</v>
      </c>
      <c r="J106" s="8" t="s">
        <v>420</v>
      </c>
    </row>
    <row r="107" spans="1:10" hidden="1" x14ac:dyDescent="0.45">
      <c r="A107" t="s">
        <v>15</v>
      </c>
      <c r="B107" t="s">
        <v>15</v>
      </c>
      <c r="D107" t="str">
        <f>IF(A107='Quantity-logprob'!A107,".","N")</f>
        <v>.</v>
      </c>
      <c r="E107" t="str">
        <f t="shared" si="1"/>
        <v>.</v>
      </c>
      <c r="H107" s="8" t="s">
        <v>272</v>
      </c>
      <c r="I107" s="8" t="s">
        <v>273</v>
      </c>
      <c r="J107" s="8" t="s">
        <v>426</v>
      </c>
    </row>
    <row r="108" spans="1:10" x14ac:dyDescent="0.45">
      <c r="A108" t="s">
        <v>10</v>
      </c>
      <c r="B108" t="s">
        <v>533</v>
      </c>
      <c r="D108" t="str">
        <f>IF(A108='Quantity-logprob'!A108,".","N")</f>
        <v>.</v>
      </c>
      <c r="E108" t="str">
        <f t="shared" si="1"/>
        <v>N</v>
      </c>
      <c r="F108" s="8" t="s">
        <v>514</v>
      </c>
      <c r="H108" s="8" t="s">
        <v>274</v>
      </c>
      <c r="I108" s="8" t="s">
        <v>99</v>
      </c>
      <c r="J108" s="8" t="s">
        <v>421</v>
      </c>
    </row>
    <row r="109" spans="1:10" hidden="1" x14ac:dyDescent="0.45">
      <c r="A109" t="s">
        <v>15</v>
      </c>
      <c r="B109" t="s">
        <v>15</v>
      </c>
      <c r="D109" t="str">
        <f>IF(A109='Quantity-logprob'!A109,".","N")</f>
        <v>.</v>
      </c>
      <c r="E109" t="str">
        <f t="shared" si="1"/>
        <v>.</v>
      </c>
      <c r="H109" s="8" t="s">
        <v>275</v>
      </c>
      <c r="I109" s="8" t="s">
        <v>276</v>
      </c>
      <c r="J109" s="8" t="s">
        <v>426</v>
      </c>
    </row>
    <row r="110" spans="1:10" hidden="1" x14ac:dyDescent="0.45">
      <c r="A110" t="s">
        <v>22</v>
      </c>
      <c r="B110" t="s">
        <v>22</v>
      </c>
      <c r="D110" t="str">
        <f>IF(A110='Quantity-logprob'!A110,".","N")</f>
        <v>.</v>
      </c>
      <c r="E110" t="str">
        <f t="shared" si="1"/>
        <v>.</v>
      </c>
      <c r="H110" s="8" t="s">
        <v>277</v>
      </c>
      <c r="I110" s="8" t="s">
        <v>278</v>
      </c>
      <c r="J110" s="8" t="s">
        <v>437</v>
      </c>
    </row>
    <row r="111" spans="1:10" hidden="1" x14ac:dyDescent="0.45">
      <c r="A111" t="s">
        <v>17</v>
      </c>
      <c r="B111" t="s">
        <v>17</v>
      </c>
      <c r="D111" t="str">
        <f>IF(A111='Quantity-logprob'!A111,".","N")</f>
        <v>.</v>
      </c>
      <c r="E111" t="str">
        <f t="shared" si="1"/>
        <v>.</v>
      </c>
      <c r="H111" s="8" t="s">
        <v>279</v>
      </c>
      <c r="I111" s="8" t="s">
        <v>99</v>
      </c>
      <c r="J111" s="8" t="s">
        <v>429</v>
      </c>
    </row>
    <row r="112" spans="1:10" hidden="1" x14ac:dyDescent="0.45">
      <c r="A112" t="s">
        <v>7</v>
      </c>
      <c r="B112" t="s">
        <v>7</v>
      </c>
      <c r="D112" t="str">
        <f>IF(A112='Quantity-logprob'!A112,".","N")</f>
        <v>.</v>
      </c>
      <c r="E112" t="str">
        <f t="shared" si="1"/>
        <v>.</v>
      </c>
      <c r="H112" s="8" t="s">
        <v>280</v>
      </c>
      <c r="I112" s="8" t="s">
        <v>281</v>
      </c>
      <c r="J112" s="8" t="s">
        <v>418</v>
      </c>
    </row>
    <row r="113" spans="1:10" hidden="1" x14ac:dyDescent="0.45">
      <c r="A113" t="s">
        <v>9</v>
      </c>
      <c r="B113" t="s">
        <v>5</v>
      </c>
      <c r="D113" t="str">
        <f>IF(A113='Quantity-logprob'!A113,".","N")</f>
        <v>.</v>
      </c>
      <c r="E113" t="str">
        <f t="shared" si="1"/>
        <v>N</v>
      </c>
      <c r="H113" s="8" t="s">
        <v>282</v>
      </c>
      <c r="I113" s="8" t="s">
        <v>99</v>
      </c>
      <c r="J113" s="8" t="s">
        <v>420</v>
      </c>
    </row>
    <row r="114" spans="1:10" hidden="1" x14ac:dyDescent="0.45">
      <c r="A114" t="s">
        <v>13</v>
      </c>
      <c r="B114" t="s">
        <v>13</v>
      </c>
      <c r="D114" t="str">
        <f>IF(A114='Quantity-logprob'!A114,".","N")</f>
        <v>.</v>
      </c>
      <c r="E114" t="str">
        <f t="shared" si="1"/>
        <v>.</v>
      </c>
      <c r="H114" s="8" t="s">
        <v>283</v>
      </c>
      <c r="I114" s="8" t="s">
        <v>99</v>
      </c>
      <c r="J114" s="8" t="s">
        <v>420</v>
      </c>
    </row>
    <row r="115" spans="1:10" hidden="1" x14ac:dyDescent="0.45">
      <c r="A115" t="s">
        <v>21</v>
      </c>
      <c r="B115" t="s">
        <v>21</v>
      </c>
      <c r="D115" t="str">
        <f>IF(A115='Quantity-logprob'!A115,".","N")</f>
        <v>.</v>
      </c>
      <c r="E115" t="str">
        <f t="shared" si="1"/>
        <v>.</v>
      </c>
      <c r="H115" s="8" t="s">
        <v>284</v>
      </c>
      <c r="I115" s="8" t="s">
        <v>99</v>
      </c>
      <c r="J115" s="8" t="s">
        <v>434</v>
      </c>
    </row>
    <row r="116" spans="1:10" hidden="1" x14ac:dyDescent="0.45">
      <c r="A116" t="s">
        <v>7</v>
      </c>
      <c r="B116" t="s">
        <v>7</v>
      </c>
      <c r="D116" t="str">
        <f>IF(A116='Quantity-logprob'!A116,".","N")</f>
        <v>.</v>
      </c>
      <c r="E116" t="str">
        <f t="shared" si="1"/>
        <v>.</v>
      </c>
      <c r="H116" s="8" t="s">
        <v>285</v>
      </c>
      <c r="I116" s="8" t="s">
        <v>99</v>
      </c>
      <c r="J116" s="8" t="s">
        <v>418</v>
      </c>
    </row>
    <row r="117" spans="1:10" hidden="1" x14ac:dyDescent="0.45">
      <c r="A117" t="s">
        <v>17</v>
      </c>
      <c r="B117" t="s">
        <v>17</v>
      </c>
      <c r="D117" t="str">
        <f>IF(A117='Quantity-logprob'!A117,".","N")</f>
        <v>.</v>
      </c>
      <c r="E117" t="str">
        <f t="shared" si="1"/>
        <v>.</v>
      </c>
      <c r="H117" s="8" t="s">
        <v>286</v>
      </c>
      <c r="I117" s="8" t="s">
        <v>287</v>
      </c>
      <c r="J117" s="8" t="s">
        <v>429</v>
      </c>
    </row>
    <row r="118" spans="1:10" hidden="1" x14ac:dyDescent="0.45">
      <c r="A118" t="s">
        <v>9</v>
      </c>
      <c r="B118" t="s">
        <v>13</v>
      </c>
      <c r="D118" t="str">
        <f>IF(A118='Quantity-logprob'!A118,".","N")</f>
        <v>.</v>
      </c>
      <c r="E118" t="str">
        <f t="shared" si="1"/>
        <v>N</v>
      </c>
      <c r="H118" s="8" t="s">
        <v>288</v>
      </c>
      <c r="I118" s="8" t="s">
        <v>289</v>
      </c>
      <c r="J118" s="8" t="s">
        <v>420</v>
      </c>
    </row>
    <row r="119" spans="1:10" hidden="1" x14ac:dyDescent="0.45">
      <c r="A119" t="s">
        <v>13</v>
      </c>
      <c r="B119" t="s">
        <v>13</v>
      </c>
      <c r="D119" t="str">
        <f>IF(A119='Quantity-logprob'!A119,".","N")</f>
        <v>.</v>
      </c>
      <c r="E119" t="str">
        <f t="shared" si="1"/>
        <v>.</v>
      </c>
      <c r="H119" s="8" t="s">
        <v>290</v>
      </c>
      <c r="I119" s="8" t="s">
        <v>99</v>
      </c>
      <c r="J119" s="8" t="s">
        <v>420</v>
      </c>
    </row>
    <row r="120" spans="1:10" hidden="1" x14ac:dyDescent="0.45">
      <c r="A120" t="s">
        <v>7</v>
      </c>
      <c r="B120" t="s">
        <v>7</v>
      </c>
      <c r="D120" t="str">
        <f>IF(A120='Quantity-logprob'!A120,".","N")</f>
        <v>.</v>
      </c>
      <c r="E120" t="str">
        <f t="shared" si="1"/>
        <v>.</v>
      </c>
      <c r="H120" s="8" t="s">
        <v>291</v>
      </c>
      <c r="I120" s="8" t="s">
        <v>292</v>
      </c>
      <c r="J120" s="8" t="s">
        <v>436</v>
      </c>
    </row>
    <row r="121" spans="1:10" hidden="1" x14ac:dyDescent="0.45">
      <c r="A121" t="s">
        <v>13</v>
      </c>
      <c r="B121" t="s">
        <v>13</v>
      </c>
      <c r="D121" t="str">
        <f>IF(A121='Quantity-logprob'!A121,".","N")</f>
        <v>.</v>
      </c>
      <c r="E121" t="str">
        <f t="shared" si="1"/>
        <v>.</v>
      </c>
      <c r="H121" s="8" t="s">
        <v>293</v>
      </c>
      <c r="I121" s="8" t="s">
        <v>99</v>
      </c>
      <c r="J121" s="8" t="s">
        <v>420</v>
      </c>
    </row>
    <row r="122" spans="1:10" hidden="1" x14ac:dyDescent="0.45">
      <c r="A122" t="s">
        <v>23</v>
      </c>
      <c r="B122" t="s">
        <v>23</v>
      </c>
      <c r="D122" t="str">
        <f>IF(A122='Quantity-logprob'!A122,".","N")</f>
        <v>.</v>
      </c>
      <c r="E122" t="str">
        <f t="shared" si="1"/>
        <v>.</v>
      </c>
      <c r="H122" s="8" t="s">
        <v>294</v>
      </c>
      <c r="I122" s="8" t="s">
        <v>295</v>
      </c>
      <c r="J122" s="8" t="s">
        <v>438</v>
      </c>
    </row>
    <row r="123" spans="1:10" hidden="1" x14ac:dyDescent="0.45">
      <c r="A123" t="s">
        <v>16</v>
      </c>
      <c r="B123" t="s">
        <v>16</v>
      </c>
      <c r="D123" t="str">
        <f>IF(A123='Quantity-logprob'!A123,".","N")</f>
        <v>.</v>
      </c>
      <c r="E123" t="str">
        <f t="shared" si="1"/>
        <v>.</v>
      </c>
      <c r="H123" s="8" t="s">
        <v>296</v>
      </c>
      <c r="I123" s="8" t="s">
        <v>297</v>
      </c>
      <c r="J123" s="8" t="s">
        <v>439</v>
      </c>
    </row>
    <row r="124" spans="1:10" hidden="1" x14ac:dyDescent="0.45">
      <c r="A124" t="s">
        <v>15</v>
      </c>
      <c r="B124" t="s">
        <v>15</v>
      </c>
      <c r="D124" t="str">
        <f>IF(A124='Quantity-logprob'!A124,".","N")</f>
        <v>.</v>
      </c>
      <c r="E124" t="str">
        <f t="shared" si="1"/>
        <v>.</v>
      </c>
      <c r="H124" s="8" t="s">
        <v>298</v>
      </c>
      <c r="I124" s="8" t="s">
        <v>299</v>
      </c>
      <c r="J124" s="8" t="s">
        <v>426</v>
      </c>
    </row>
    <row r="125" spans="1:10" hidden="1" x14ac:dyDescent="0.45">
      <c r="A125" t="s">
        <v>13</v>
      </c>
      <c r="B125" t="s">
        <v>13</v>
      </c>
      <c r="D125" t="str">
        <f>IF(A125='Quantity-logprob'!A125,".","N")</f>
        <v>.</v>
      </c>
      <c r="E125" t="str">
        <f t="shared" si="1"/>
        <v>.</v>
      </c>
      <c r="H125" s="8" t="s">
        <v>300</v>
      </c>
      <c r="I125" s="8" t="s">
        <v>99</v>
      </c>
      <c r="J125" s="8" t="s">
        <v>420</v>
      </c>
    </row>
    <row r="126" spans="1:10" hidden="1" x14ac:dyDescent="0.45">
      <c r="A126" t="s">
        <v>13</v>
      </c>
      <c r="B126" t="s">
        <v>13</v>
      </c>
      <c r="D126" t="str">
        <f>IF(A126='Quantity-logprob'!A126,".","N")</f>
        <v>.</v>
      </c>
      <c r="E126" t="str">
        <f t="shared" si="1"/>
        <v>.</v>
      </c>
      <c r="H126" s="8" t="s">
        <v>301</v>
      </c>
      <c r="I126" s="8" t="s">
        <v>302</v>
      </c>
      <c r="J126" s="8" t="s">
        <v>420</v>
      </c>
    </row>
    <row r="127" spans="1:10" x14ac:dyDescent="0.45">
      <c r="A127" t="s">
        <v>10</v>
      </c>
      <c r="B127" t="s">
        <v>533</v>
      </c>
      <c r="D127" t="str">
        <f>IF(A127='Quantity-logprob'!A127,".","N")</f>
        <v>.</v>
      </c>
      <c r="E127" t="str">
        <f t="shared" si="1"/>
        <v>N</v>
      </c>
      <c r="F127" s="8" t="s">
        <v>515</v>
      </c>
      <c r="H127" s="8" t="s">
        <v>303</v>
      </c>
      <c r="I127" s="8" t="s">
        <v>304</v>
      </c>
      <c r="J127" s="8" t="s">
        <v>421</v>
      </c>
    </row>
    <row r="128" spans="1:10" hidden="1" x14ac:dyDescent="0.45">
      <c r="A128" t="s">
        <v>21</v>
      </c>
      <c r="B128" t="s">
        <v>21</v>
      </c>
      <c r="D128" t="str">
        <f>IF(A128='Quantity-logprob'!A128,".","N")</f>
        <v>.</v>
      </c>
      <c r="E128" t="str">
        <f t="shared" si="1"/>
        <v>.</v>
      </c>
      <c r="H128" s="8" t="s">
        <v>305</v>
      </c>
      <c r="I128" s="8" t="s">
        <v>306</v>
      </c>
      <c r="J128" s="8" t="s">
        <v>434</v>
      </c>
    </row>
    <row r="129" spans="1:10" hidden="1" x14ac:dyDescent="0.45">
      <c r="A129" t="s">
        <v>5</v>
      </c>
      <c r="B129" t="s">
        <v>5</v>
      </c>
      <c r="D129" t="str">
        <f>IF(A129='Quantity-logprob'!A129,".","N")</f>
        <v>.</v>
      </c>
      <c r="E129" t="str">
        <f t="shared" si="1"/>
        <v>.</v>
      </c>
      <c r="H129" s="8" t="s">
        <v>307</v>
      </c>
      <c r="I129" s="8" t="s">
        <v>308</v>
      </c>
      <c r="J129" s="8" t="s">
        <v>416</v>
      </c>
    </row>
    <row r="130" spans="1:10" hidden="1" x14ac:dyDescent="0.45">
      <c r="A130" t="s">
        <v>8</v>
      </c>
      <c r="B130" t="s">
        <v>8</v>
      </c>
      <c r="D130" t="str">
        <f>IF(A130='Quantity-logprob'!A130,".","N")</f>
        <v>.</v>
      </c>
      <c r="E130" t="str">
        <f t="shared" si="1"/>
        <v>.</v>
      </c>
      <c r="H130" s="8" t="s">
        <v>309</v>
      </c>
      <c r="I130" s="8" t="s">
        <v>99</v>
      </c>
      <c r="J130" s="8" t="s">
        <v>427</v>
      </c>
    </row>
    <row r="131" spans="1:10" hidden="1" x14ac:dyDescent="0.45">
      <c r="A131" t="s">
        <v>6</v>
      </c>
      <c r="B131" t="s">
        <v>6</v>
      </c>
      <c r="D131" t="str">
        <f>IF(A131='Quantity-logprob'!A131,".","N")</f>
        <v>.</v>
      </c>
      <c r="E131" t="str">
        <f t="shared" ref="E131:E194" si="2">IF(A131=B131,".","N")</f>
        <v>.</v>
      </c>
      <c r="H131" s="8" t="s">
        <v>310</v>
      </c>
      <c r="I131" s="8" t="s">
        <v>311</v>
      </c>
      <c r="J131" s="8" t="s">
        <v>417</v>
      </c>
    </row>
    <row r="132" spans="1:10" hidden="1" x14ac:dyDescent="0.45">
      <c r="A132" t="s">
        <v>13</v>
      </c>
      <c r="B132" t="s">
        <v>13</v>
      </c>
      <c r="D132" t="str">
        <f>IF(A132='Quantity-logprob'!A132,".","N")</f>
        <v>.</v>
      </c>
      <c r="E132" t="str">
        <f t="shared" si="2"/>
        <v>.</v>
      </c>
      <c r="H132" s="8" t="s">
        <v>312</v>
      </c>
      <c r="I132" s="8" t="s">
        <v>99</v>
      </c>
      <c r="J132" s="8" t="s">
        <v>420</v>
      </c>
    </row>
    <row r="133" spans="1:10" hidden="1" x14ac:dyDescent="0.45">
      <c r="A133" t="s">
        <v>13</v>
      </c>
      <c r="B133" t="s">
        <v>13</v>
      </c>
      <c r="D133" t="str">
        <f>IF(A133='Quantity-logprob'!A133,".","N")</f>
        <v>.</v>
      </c>
      <c r="E133" t="str">
        <f t="shared" si="2"/>
        <v>.</v>
      </c>
      <c r="H133" s="8" t="s">
        <v>313</v>
      </c>
      <c r="I133" s="8" t="s">
        <v>99</v>
      </c>
      <c r="J133" s="8" t="s">
        <v>420</v>
      </c>
    </row>
    <row r="134" spans="1:10" hidden="1" x14ac:dyDescent="0.45">
      <c r="A134" t="s">
        <v>9</v>
      </c>
      <c r="B134" t="s">
        <v>21</v>
      </c>
      <c r="D134" t="str">
        <f>IF(A134='Quantity-logprob'!A134,".","N")</f>
        <v>.</v>
      </c>
      <c r="E134" t="str">
        <f t="shared" si="2"/>
        <v>N</v>
      </c>
      <c r="H134" s="8" t="s">
        <v>314</v>
      </c>
      <c r="I134" s="8" t="s">
        <v>99</v>
      </c>
      <c r="J134" s="8" t="s">
        <v>434</v>
      </c>
    </row>
    <row r="135" spans="1:10" hidden="1" x14ac:dyDescent="0.45">
      <c r="A135" t="s">
        <v>9</v>
      </c>
      <c r="B135" t="s">
        <v>16</v>
      </c>
      <c r="D135" t="str">
        <f>IF(A135='Quantity-logprob'!A135,".","N")</f>
        <v>.</v>
      </c>
      <c r="E135" t="str">
        <f t="shared" si="2"/>
        <v>N</v>
      </c>
      <c r="H135" s="8" t="s">
        <v>315</v>
      </c>
      <c r="I135" s="8" t="s">
        <v>99</v>
      </c>
      <c r="J135" s="8" t="s">
        <v>428</v>
      </c>
    </row>
    <row r="136" spans="1:10" hidden="1" x14ac:dyDescent="0.45">
      <c r="A136" t="s">
        <v>8</v>
      </c>
      <c r="B136" t="s">
        <v>8</v>
      </c>
      <c r="D136" t="str">
        <f>IF(A136='Quantity-logprob'!A136,".","N")</f>
        <v>.</v>
      </c>
      <c r="E136" t="str">
        <f t="shared" si="2"/>
        <v>.</v>
      </c>
      <c r="H136" s="8" t="s">
        <v>316</v>
      </c>
      <c r="I136" s="8" t="s">
        <v>317</v>
      </c>
      <c r="J136" s="8" t="s">
        <v>427</v>
      </c>
    </row>
    <row r="137" spans="1:10" hidden="1" x14ac:dyDescent="0.45">
      <c r="A137" t="s">
        <v>6</v>
      </c>
      <c r="B137" t="s">
        <v>6</v>
      </c>
      <c r="D137" t="str">
        <f>IF(A137='Quantity-logprob'!A137,".","N")</f>
        <v>.</v>
      </c>
      <c r="E137" t="str">
        <f t="shared" si="2"/>
        <v>.</v>
      </c>
      <c r="H137" s="8" t="s">
        <v>318</v>
      </c>
      <c r="I137" s="8" t="s">
        <v>319</v>
      </c>
      <c r="J137" s="8" t="s">
        <v>417</v>
      </c>
    </row>
    <row r="138" spans="1:10" hidden="1" x14ac:dyDescent="0.45">
      <c r="A138" t="s">
        <v>17</v>
      </c>
      <c r="B138" t="s">
        <v>17</v>
      </c>
      <c r="D138" t="str">
        <f>IF(A138='Quantity-logprob'!A138,".","N")</f>
        <v>.</v>
      </c>
      <c r="E138" t="str">
        <f t="shared" si="2"/>
        <v>.</v>
      </c>
      <c r="H138" s="8" t="s">
        <v>320</v>
      </c>
      <c r="I138" s="8" t="s">
        <v>321</v>
      </c>
      <c r="J138" s="8" t="s">
        <v>429</v>
      </c>
    </row>
    <row r="139" spans="1:10" hidden="1" x14ac:dyDescent="0.45">
      <c r="A139" t="s">
        <v>12</v>
      </c>
      <c r="B139" t="s">
        <v>12</v>
      </c>
      <c r="D139" t="str">
        <f>IF(A139='Quantity-logprob'!A139,".","N")</f>
        <v>.</v>
      </c>
      <c r="E139" t="str">
        <f t="shared" si="2"/>
        <v>.</v>
      </c>
      <c r="H139" s="8" t="s">
        <v>322</v>
      </c>
      <c r="I139" s="8" t="s">
        <v>99</v>
      </c>
      <c r="J139" s="8" t="s">
        <v>424</v>
      </c>
    </row>
    <row r="140" spans="1:10" hidden="1" x14ac:dyDescent="0.45">
      <c r="A140" t="s">
        <v>5</v>
      </c>
      <c r="B140" t="s">
        <v>5</v>
      </c>
      <c r="D140" t="str">
        <f>IF(A140='Quantity-logprob'!A140,".","N")</f>
        <v>.</v>
      </c>
      <c r="E140" t="str">
        <f t="shared" si="2"/>
        <v>.</v>
      </c>
      <c r="H140" s="8" t="s">
        <v>323</v>
      </c>
      <c r="I140" s="8" t="s">
        <v>324</v>
      </c>
      <c r="J140" s="8" t="s">
        <v>416</v>
      </c>
    </row>
    <row r="141" spans="1:10" hidden="1" x14ac:dyDescent="0.45">
      <c r="A141" t="s">
        <v>17</v>
      </c>
      <c r="B141" t="s">
        <v>17</v>
      </c>
      <c r="D141" t="str">
        <f>IF(A141='Quantity-logprob'!A141,".","N")</f>
        <v>.</v>
      </c>
      <c r="E141" t="str">
        <f t="shared" si="2"/>
        <v>.</v>
      </c>
      <c r="H141" s="8" t="s">
        <v>325</v>
      </c>
      <c r="I141" s="8" t="s">
        <v>321</v>
      </c>
      <c r="J141" s="8" t="s">
        <v>429</v>
      </c>
    </row>
    <row r="142" spans="1:10" hidden="1" x14ac:dyDescent="0.45">
      <c r="A142" t="s">
        <v>13</v>
      </c>
      <c r="B142" t="s">
        <v>13</v>
      </c>
      <c r="D142" t="str">
        <f>IF(A142='Quantity-logprob'!A142,".","N")</f>
        <v>.</v>
      </c>
      <c r="E142" t="str">
        <f t="shared" si="2"/>
        <v>.</v>
      </c>
      <c r="H142" s="8" t="s">
        <v>326</v>
      </c>
      <c r="I142" s="8" t="s">
        <v>99</v>
      </c>
      <c r="J142" s="8" t="s">
        <v>420</v>
      </c>
    </row>
    <row r="143" spans="1:10" hidden="1" x14ac:dyDescent="0.45">
      <c r="A143" t="s">
        <v>6</v>
      </c>
      <c r="B143" t="s">
        <v>6</v>
      </c>
      <c r="D143" t="str">
        <f>IF(A143='Quantity-logprob'!A143,".","N")</f>
        <v>.</v>
      </c>
      <c r="E143" t="str">
        <f t="shared" si="2"/>
        <v>.</v>
      </c>
      <c r="H143" s="8" t="s">
        <v>327</v>
      </c>
      <c r="I143" s="8" t="s">
        <v>328</v>
      </c>
      <c r="J143" s="8" t="s">
        <v>417</v>
      </c>
    </row>
    <row r="144" spans="1:10" hidden="1" x14ac:dyDescent="0.45">
      <c r="A144" t="s">
        <v>5</v>
      </c>
      <c r="B144" t="s">
        <v>5</v>
      </c>
      <c r="D144" t="str">
        <f>IF(A144='Quantity-logprob'!A144,".","N")</f>
        <v>.</v>
      </c>
      <c r="E144" t="str">
        <f t="shared" si="2"/>
        <v>.</v>
      </c>
      <c r="H144" s="8" t="s">
        <v>329</v>
      </c>
      <c r="I144" s="8" t="s">
        <v>330</v>
      </c>
      <c r="J144" s="8" t="s">
        <v>423</v>
      </c>
    </row>
    <row r="145" spans="1:10" hidden="1" x14ac:dyDescent="0.45">
      <c r="A145" t="s">
        <v>13</v>
      </c>
      <c r="B145" t="s">
        <v>13</v>
      </c>
      <c r="D145" t="str">
        <f>IF(A145='Quantity-logprob'!A145,".","N")</f>
        <v>.</v>
      </c>
      <c r="E145" t="str">
        <f t="shared" si="2"/>
        <v>.</v>
      </c>
      <c r="H145" s="8" t="s">
        <v>331</v>
      </c>
      <c r="I145" s="8" t="s">
        <v>332</v>
      </c>
      <c r="J145" s="8" t="s">
        <v>420</v>
      </c>
    </row>
    <row r="146" spans="1:10" hidden="1" x14ac:dyDescent="0.45">
      <c r="A146" t="s">
        <v>5</v>
      </c>
      <c r="B146" t="s">
        <v>5</v>
      </c>
      <c r="D146" t="str">
        <f>IF(A146='Quantity-logprob'!A146,".","N")</f>
        <v>.</v>
      </c>
      <c r="E146" t="str">
        <f t="shared" si="2"/>
        <v>.</v>
      </c>
      <c r="H146" s="8" t="s">
        <v>333</v>
      </c>
      <c r="I146" s="8" t="s">
        <v>334</v>
      </c>
      <c r="J146" s="8" t="s">
        <v>435</v>
      </c>
    </row>
    <row r="147" spans="1:10" hidden="1" x14ac:dyDescent="0.45">
      <c r="A147" t="s">
        <v>9</v>
      </c>
      <c r="B147" t="s">
        <v>15</v>
      </c>
      <c r="D147" t="str">
        <f>IF(A147='Quantity-logprob'!A147,".","N")</f>
        <v>.</v>
      </c>
      <c r="E147" t="str">
        <f t="shared" si="2"/>
        <v>N</v>
      </c>
      <c r="H147" s="8" t="s">
        <v>335</v>
      </c>
      <c r="I147" s="8" t="s">
        <v>99</v>
      </c>
      <c r="J147" s="8" t="s">
        <v>426</v>
      </c>
    </row>
    <row r="148" spans="1:10" hidden="1" x14ac:dyDescent="0.45">
      <c r="A148" t="s">
        <v>13</v>
      </c>
      <c r="B148" t="s">
        <v>13</v>
      </c>
      <c r="D148" t="str">
        <f>IF(A148='Quantity-logprob'!A148,".","N")</f>
        <v>.</v>
      </c>
      <c r="E148" t="str">
        <f t="shared" si="2"/>
        <v>.</v>
      </c>
      <c r="H148" s="8" t="s">
        <v>336</v>
      </c>
      <c r="I148" s="8" t="s">
        <v>337</v>
      </c>
      <c r="J148" s="8" t="s">
        <v>420</v>
      </c>
    </row>
    <row r="149" spans="1:10" hidden="1" x14ac:dyDescent="0.45">
      <c r="A149" t="s">
        <v>22</v>
      </c>
      <c r="B149" t="s">
        <v>22</v>
      </c>
      <c r="D149" t="str">
        <f>IF(A149='Quantity-logprob'!A149,".","N")</f>
        <v>.</v>
      </c>
      <c r="E149" t="str">
        <f t="shared" si="2"/>
        <v>.</v>
      </c>
      <c r="H149" s="8" t="s">
        <v>338</v>
      </c>
      <c r="I149" s="8" t="s">
        <v>99</v>
      </c>
      <c r="J149" s="8" t="s">
        <v>437</v>
      </c>
    </row>
    <row r="150" spans="1:10" hidden="1" x14ac:dyDescent="0.45">
      <c r="A150" t="s">
        <v>17</v>
      </c>
      <c r="B150" t="s">
        <v>17</v>
      </c>
      <c r="D150" t="str">
        <f>IF(A150='Quantity-logprob'!A150,".","N")</f>
        <v>.</v>
      </c>
      <c r="E150" t="str">
        <f t="shared" si="2"/>
        <v>.</v>
      </c>
      <c r="H150" s="8" t="s">
        <v>339</v>
      </c>
      <c r="I150" s="8" t="s">
        <v>340</v>
      </c>
      <c r="J150" s="8" t="s">
        <v>429</v>
      </c>
    </row>
    <row r="151" spans="1:10" hidden="1" x14ac:dyDescent="0.45">
      <c r="A151" t="s">
        <v>13</v>
      </c>
      <c r="B151" t="s">
        <v>13</v>
      </c>
      <c r="D151" t="str">
        <f>IF(A151='Quantity-logprob'!A151,".","N")</f>
        <v>.</v>
      </c>
      <c r="E151" t="str">
        <f t="shared" si="2"/>
        <v>.</v>
      </c>
      <c r="H151" s="8" t="s">
        <v>341</v>
      </c>
      <c r="I151" s="8" t="s">
        <v>99</v>
      </c>
      <c r="J151" s="8" t="s">
        <v>420</v>
      </c>
    </row>
    <row r="152" spans="1:10" x14ac:dyDescent="0.45">
      <c r="A152" t="s">
        <v>10</v>
      </c>
      <c r="B152" t="s">
        <v>5</v>
      </c>
      <c r="D152" t="str">
        <f>IF(A152='Quantity-logprob'!A152,".","N")</f>
        <v>.</v>
      </c>
      <c r="E152" t="str">
        <f t="shared" si="2"/>
        <v>N</v>
      </c>
      <c r="F152" s="8" t="s">
        <v>514</v>
      </c>
      <c r="H152" s="8" t="s">
        <v>342</v>
      </c>
      <c r="I152" s="8" t="s">
        <v>99</v>
      </c>
      <c r="J152" s="8" t="s">
        <v>421</v>
      </c>
    </row>
    <row r="153" spans="1:10" hidden="1" x14ac:dyDescent="0.45">
      <c r="A153" t="s">
        <v>23</v>
      </c>
      <c r="B153" t="s">
        <v>23</v>
      </c>
      <c r="D153" t="str">
        <f>IF(A153='Quantity-logprob'!A153,".","N")</f>
        <v>.</v>
      </c>
      <c r="E153" t="str">
        <f t="shared" si="2"/>
        <v>.</v>
      </c>
      <c r="H153" s="8" t="s">
        <v>343</v>
      </c>
      <c r="I153" s="8" t="s">
        <v>344</v>
      </c>
      <c r="J153" s="8" t="s">
        <v>438</v>
      </c>
    </row>
    <row r="154" spans="1:10" hidden="1" x14ac:dyDescent="0.45">
      <c r="A154" t="s">
        <v>21</v>
      </c>
      <c r="B154" t="s">
        <v>21</v>
      </c>
      <c r="D154" t="str">
        <f>IF(A154='Quantity-logprob'!A154,".","N")</f>
        <v>.</v>
      </c>
      <c r="E154" t="str">
        <f t="shared" si="2"/>
        <v>.</v>
      </c>
      <c r="H154" s="8" t="s">
        <v>345</v>
      </c>
      <c r="I154" s="8" t="s">
        <v>99</v>
      </c>
      <c r="J154" s="8" t="s">
        <v>434</v>
      </c>
    </row>
    <row r="155" spans="1:10" hidden="1" x14ac:dyDescent="0.45">
      <c r="A155" t="s">
        <v>6</v>
      </c>
      <c r="B155" t="s">
        <v>6</v>
      </c>
      <c r="D155" t="str">
        <f>IF(A155='Quantity-logprob'!A155,".","N")</f>
        <v>.</v>
      </c>
      <c r="E155" t="str">
        <f t="shared" si="2"/>
        <v>.</v>
      </c>
      <c r="H155" s="8" t="s">
        <v>346</v>
      </c>
      <c r="I155" s="8" t="s">
        <v>347</v>
      </c>
      <c r="J155" s="8" t="s">
        <v>417</v>
      </c>
    </row>
    <row r="156" spans="1:10" hidden="1" x14ac:dyDescent="0.45">
      <c r="A156" t="s">
        <v>13</v>
      </c>
      <c r="B156" t="s">
        <v>13</v>
      </c>
      <c r="D156" t="str">
        <f>IF(A156='Quantity-logprob'!A156,".","N")</f>
        <v>.</v>
      </c>
      <c r="E156" t="str">
        <f t="shared" si="2"/>
        <v>.</v>
      </c>
      <c r="H156" s="8" t="s">
        <v>348</v>
      </c>
      <c r="I156" s="8" t="s">
        <v>99</v>
      </c>
      <c r="J156" s="8" t="s">
        <v>420</v>
      </c>
    </row>
    <row r="157" spans="1:10" hidden="1" x14ac:dyDescent="0.45">
      <c r="A157" t="s">
        <v>17</v>
      </c>
      <c r="B157" t="s">
        <v>17</v>
      </c>
      <c r="D157" t="str">
        <f>IF(A157='Quantity-logprob'!A157,".","N")</f>
        <v>.</v>
      </c>
      <c r="E157" t="str">
        <f t="shared" si="2"/>
        <v>.</v>
      </c>
      <c r="H157" s="8" t="s">
        <v>349</v>
      </c>
      <c r="I157" s="8" t="s">
        <v>99</v>
      </c>
      <c r="J157" s="8" t="s">
        <v>429</v>
      </c>
    </row>
    <row r="158" spans="1:10" hidden="1" x14ac:dyDescent="0.45">
      <c r="A158" t="s">
        <v>21</v>
      </c>
      <c r="B158" t="s">
        <v>21</v>
      </c>
      <c r="D158" t="str">
        <f>IF(A158='Quantity-logprob'!A158,".","N")</f>
        <v>.</v>
      </c>
      <c r="E158" t="str">
        <f t="shared" si="2"/>
        <v>.</v>
      </c>
      <c r="H158" s="8" t="s">
        <v>350</v>
      </c>
      <c r="I158" s="8" t="s">
        <v>351</v>
      </c>
      <c r="J158" s="8" t="s">
        <v>434</v>
      </c>
    </row>
    <row r="159" spans="1:10" hidden="1" x14ac:dyDescent="0.45">
      <c r="A159" t="s">
        <v>17</v>
      </c>
      <c r="B159" t="s">
        <v>17</v>
      </c>
      <c r="D159" t="str">
        <f>IF(A159='Quantity-logprob'!A159,".","N")</f>
        <v>.</v>
      </c>
      <c r="E159" t="str">
        <f t="shared" si="2"/>
        <v>.</v>
      </c>
      <c r="H159" s="8" t="s">
        <v>352</v>
      </c>
      <c r="I159" s="8" t="s">
        <v>353</v>
      </c>
      <c r="J159" s="8" t="s">
        <v>429</v>
      </c>
    </row>
    <row r="160" spans="1:10" hidden="1" x14ac:dyDescent="0.45">
      <c r="A160" t="s">
        <v>5</v>
      </c>
      <c r="B160" t="s">
        <v>5</v>
      </c>
      <c r="D160" t="str">
        <f>IF(A160='Quantity-logprob'!A160,".","N")</f>
        <v>.</v>
      </c>
      <c r="E160" t="str">
        <f t="shared" si="2"/>
        <v>.</v>
      </c>
      <c r="H160" s="8" t="s">
        <v>354</v>
      </c>
      <c r="I160" s="8" t="s">
        <v>355</v>
      </c>
      <c r="J160" s="8" t="s">
        <v>423</v>
      </c>
    </row>
    <row r="161" spans="1:10" hidden="1" x14ac:dyDescent="0.45">
      <c r="A161" t="s">
        <v>9</v>
      </c>
      <c r="B161" t="s">
        <v>12</v>
      </c>
      <c r="D161" t="str">
        <f>IF(A161='Quantity-logprob'!A161,".","N")</f>
        <v>.</v>
      </c>
      <c r="E161" t="str">
        <f t="shared" si="2"/>
        <v>N</v>
      </c>
      <c r="H161" s="8" t="s">
        <v>356</v>
      </c>
      <c r="I161" s="8" t="s">
        <v>99</v>
      </c>
      <c r="J161" s="8" t="s">
        <v>424</v>
      </c>
    </row>
    <row r="162" spans="1:10" hidden="1" x14ac:dyDescent="0.45">
      <c r="A162" t="s">
        <v>13</v>
      </c>
      <c r="B162" t="s">
        <v>13</v>
      </c>
      <c r="D162" t="str">
        <f>IF(A162='Quantity-logprob'!A162,".","N")</f>
        <v>.</v>
      </c>
      <c r="E162" t="str">
        <f t="shared" si="2"/>
        <v>.</v>
      </c>
      <c r="H162" s="8" t="s">
        <v>357</v>
      </c>
      <c r="I162" s="8" t="s">
        <v>358</v>
      </c>
      <c r="J162" s="8" t="s">
        <v>420</v>
      </c>
    </row>
    <row r="163" spans="1:10" hidden="1" x14ac:dyDescent="0.45">
      <c r="A163" t="s">
        <v>13</v>
      </c>
      <c r="B163" t="s">
        <v>13</v>
      </c>
      <c r="D163" t="str">
        <f>IF(A163='Quantity-logprob'!A163,".","N")</f>
        <v>.</v>
      </c>
      <c r="E163" t="str">
        <f t="shared" si="2"/>
        <v>.</v>
      </c>
      <c r="H163" s="8" t="s">
        <v>359</v>
      </c>
      <c r="I163" s="8" t="s">
        <v>99</v>
      </c>
      <c r="J163" s="8" t="s">
        <v>420</v>
      </c>
    </row>
    <row r="164" spans="1:10" hidden="1" x14ac:dyDescent="0.45">
      <c r="A164" t="s">
        <v>13</v>
      </c>
      <c r="B164" t="s">
        <v>13</v>
      </c>
      <c r="D164" t="str">
        <f>IF(A164='Quantity-logprob'!A164,".","N")</f>
        <v>.</v>
      </c>
      <c r="E164" t="str">
        <f t="shared" si="2"/>
        <v>.</v>
      </c>
      <c r="H164" s="8" t="s">
        <v>360</v>
      </c>
      <c r="I164" s="8" t="s">
        <v>361</v>
      </c>
      <c r="J164" s="8" t="s">
        <v>420</v>
      </c>
    </row>
    <row r="165" spans="1:10" hidden="1" x14ac:dyDescent="0.45">
      <c r="A165" t="s">
        <v>13</v>
      </c>
      <c r="B165" t="s">
        <v>13</v>
      </c>
      <c r="D165" t="str">
        <f>IF(A165='Quantity-logprob'!A165,".","N")</f>
        <v>.</v>
      </c>
      <c r="E165" t="str">
        <f t="shared" si="2"/>
        <v>.</v>
      </c>
      <c r="H165" s="8" t="s">
        <v>362</v>
      </c>
      <c r="I165" s="8" t="s">
        <v>99</v>
      </c>
      <c r="J165" s="8" t="s">
        <v>420</v>
      </c>
    </row>
    <row r="166" spans="1:10" hidden="1" x14ac:dyDescent="0.45">
      <c r="A166" t="s">
        <v>9</v>
      </c>
      <c r="B166" t="s">
        <v>5</v>
      </c>
      <c r="D166" t="str">
        <f>IF(A166='Quantity-logprob'!A166,".","N")</f>
        <v>.</v>
      </c>
      <c r="E166" t="str">
        <f t="shared" si="2"/>
        <v>N</v>
      </c>
      <c r="H166" s="8" t="s">
        <v>363</v>
      </c>
      <c r="I166" s="8" t="s">
        <v>99</v>
      </c>
      <c r="J166" s="8" t="s">
        <v>420</v>
      </c>
    </row>
    <row r="167" spans="1:10" hidden="1" x14ac:dyDescent="0.45">
      <c r="A167" t="s">
        <v>13</v>
      </c>
      <c r="B167" t="s">
        <v>13</v>
      </c>
      <c r="D167" t="str">
        <f>IF(A167='Quantity-logprob'!A167,".","N")</f>
        <v>.</v>
      </c>
      <c r="E167" t="str">
        <f t="shared" si="2"/>
        <v>.</v>
      </c>
      <c r="H167" s="8" t="s">
        <v>364</v>
      </c>
      <c r="I167" s="8" t="s">
        <v>99</v>
      </c>
      <c r="J167" s="8" t="s">
        <v>420</v>
      </c>
    </row>
    <row r="168" spans="1:10" hidden="1" x14ac:dyDescent="0.45">
      <c r="A168" t="s">
        <v>17</v>
      </c>
      <c r="B168" t="s">
        <v>17</v>
      </c>
      <c r="D168" t="str">
        <f>IF(A168='Quantity-logprob'!A168,".","N")</f>
        <v>.</v>
      </c>
      <c r="E168" t="str">
        <f t="shared" si="2"/>
        <v>.</v>
      </c>
      <c r="H168" s="8" t="s">
        <v>365</v>
      </c>
      <c r="I168" s="8" t="s">
        <v>366</v>
      </c>
      <c r="J168" s="8" t="s">
        <v>429</v>
      </c>
    </row>
    <row r="169" spans="1:10" hidden="1" x14ac:dyDescent="0.45">
      <c r="A169" t="s">
        <v>13</v>
      </c>
      <c r="B169" t="s">
        <v>13</v>
      </c>
      <c r="D169" t="str">
        <f>IF(A169='Quantity-logprob'!A169,".","N")</f>
        <v>.</v>
      </c>
      <c r="E169" t="str">
        <f t="shared" si="2"/>
        <v>.</v>
      </c>
      <c r="H169" s="8" t="s">
        <v>367</v>
      </c>
      <c r="I169" s="8" t="s">
        <v>368</v>
      </c>
      <c r="J169" s="8" t="s">
        <v>420</v>
      </c>
    </row>
    <row r="170" spans="1:10" hidden="1" x14ac:dyDescent="0.45">
      <c r="A170" t="s">
        <v>12</v>
      </c>
      <c r="B170" t="s">
        <v>12</v>
      </c>
      <c r="D170" t="str">
        <f>IF(A170='Quantity-logprob'!A170,".","N")</f>
        <v>.</v>
      </c>
      <c r="E170" t="str">
        <f t="shared" si="2"/>
        <v>.</v>
      </c>
      <c r="H170" s="8" t="s">
        <v>369</v>
      </c>
      <c r="I170" s="8" t="s">
        <v>99</v>
      </c>
      <c r="J170" s="8" t="s">
        <v>424</v>
      </c>
    </row>
    <row r="171" spans="1:10" hidden="1" x14ac:dyDescent="0.45">
      <c r="A171" t="s">
        <v>12</v>
      </c>
      <c r="B171" t="s">
        <v>12</v>
      </c>
      <c r="D171" t="str">
        <f>IF(A171='Quantity-logprob'!A171,".","N")</f>
        <v>.</v>
      </c>
      <c r="E171" t="str">
        <f t="shared" si="2"/>
        <v>.</v>
      </c>
      <c r="H171" s="8" t="s">
        <v>370</v>
      </c>
      <c r="I171" s="8" t="s">
        <v>371</v>
      </c>
      <c r="J171" s="8" t="s">
        <v>424</v>
      </c>
    </row>
    <row r="172" spans="1:10" hidden="1" x14ac:dyDescent="0.45">
      <c r="A172" t="s">
        <v>15</v>
      </c>
      <c r="B172" t="s">
        <v>15</v>
      </c>
      <c r="D172" t="str">
        <f>IF(A172='Quantity-logprob'!A172,".","N")</f>
        <v>.</v>
      </c>
      <c r="E172" t="str">
        <f t="shared" si="2"/>
        <v>.</v>
      </c>
      <c r="H172" s="8" t="s">
        <v>372</v>
      </c>
      <c r="I172" s="8" t="s">
        <v>99</v>
      </c>
      <c r="J172" s="8" t="s">
        <v>426</v>
      </c>
    </row>
    <row r="173" spans="1:10" hidden="1" x14ac:dyDescent="0.45">
      <c r="A173" t="s">
        <v>13</v>
      </c>
      <c r="B173" t="s">
        <v>13</v>
      </c>
      <c r="D173" t="str">
        <f>IF(A173='Quantity-logprob'!A173,".","N")</f>
        <v>.</v>
      </c>
      <c r="E173" t="str">
        <f t="shared" si="2"/>
        <v>.</v>
      </c>
      <c r="H173" s="8" t="s">
        <v>373</v>
      </c>
      <c r="I173" s="8" t="s">
        <v>99</v>
      </c>
      <c r="J173" s="8" t="s">
        <v>420</v>
      </c>
    </row>
    <row r="174" spans="1:10" hidden="1" x14ac:dyDescent="0.45">
      <c r="A174" t="s">
        <v>13</v>
      </c>
      <c r="B174" t="s">
        <v>13</v>
      </c>
      <c r="D174" t="str">
        <f>IF(A174='Quantity-logprob'!A174,".","N")</f>
        <v>.</v>
      </c>
      <c r="E174" t="str">
        <f t="shared" si="2"/>
        <v>.</v>
      </c>
      <c r="H174" s="8" t="s">
        <v>374</v>
      </c>
      <c r="I174" s="8" t="s">
        <v>99</v>
      </c>
      <c r="J174" s="8" t="s">
        <v>420</v>
      </c>
    </row>
    <row r="175" spans="1:10" hidden="1" x14ac:dyDescent="0.45">
      <c r="A175" t="s">
        <v>14</v>
      </c>
      <c r="B175" t="s">
        <v>14</v>
      </c>
      <c r="D175" t="str">
        <f>IF(A175='Quantity-logprob'!A175,".","N")</f>
        <v>.</v>
      </c>
      <c r="E175" t="str">
        <f t="shared" si="2"/>
        <v>.</v>
      </c>
      <c r="H175" s="8" t="s">
        <v>375</v>
      </c>
      <c r="I175" s="8" t="s">
        <v>376</v>
      </c>
      <c r="J175" s="8" t="s">
        <v>425</v>
      </c>
    </row>
    <row r="176" spans="1:10" hidden="1" x14ac:dyDescent="0.45">
      <c r="A176" t="s">
        <v>15</v>
      </c>
      <c r="B176" t="s">
        <v>15</v>
      </c>
      <c r="D176" t="str">
        <f>IF(A176='Quantity-logprob'!A176,".","N")</f>
        <v>.</v>
      </c>
      <c r="E176" t="str">
        <f t="shared" si="2"/>
        <v>.</v>
      </c>
      <c r="H176" s="8" t="s">
        <v>377</v>
      </c>
      <c r="I176" s="8" t="s">
        <v>378</v>
      </c>
      <c r="J176" s="8" t="s">
        <v>426</v>
      </c>
    </row>
    <row r="177" spans="1:10" hidden="1" x14ac:dyDescent="0.45">
      <c r="A177" t="s">
        <v>15</v>
      </c>
      <c r="B177" t="s">
        <v>15</v>
      </c>
      <c r="D177" t="str">
        <f>IF(A177='Quantity-logprob'!A177,".","N")</f>
        <v>.</v>
      </c>
      <c r="E177" t="str">
        <f t="shared" si="2"/>
        <v>.</v>
      </c>
      <c r="H177" s="8" t="s">
        <v>379</v>
      </c>
      <c r="I177" s="8" t="s">
        <v>380</v>
      </c>
      <c r="J177" s="8" t="s">
        <v>426</v>
      </c>
    </row>
    <row r="178" spans="1:10" hidden="1" x14ac:dyDescent="0.45">
      <c r="A178" t="s">
        <v>13</v>
      </c>
      <c r="B178" t="s">
        <v>13</v>
      </c>
      <c r="D178" t="str">
        <f>IF(A178='Quantity-logprob'!A178,".","N")</f>
        <v>.</v>
      </c>
      <c r="E178" t="str">
        <f t="shared" si="2"/>
        <v>.</v>
      </c>
      <c r="H178" s="8" t="s">
        <v>381</v>
      </c>
      <c r="I178" s="8" t="s">
        <v>382</v>
      </c>
      <c r="J178" s="8" t="s">
        <v>420</v>
      </c>
    </row>
    <row r="179" spans="1:10" hidden="1" x14ac:dyDescent="0.45">
      <c r="A179" t="s">
        <v>6</v>
      </c>
      <c r="B179" t="s">
        <v>6</v>
      </c>
      <c r="D179" t="str">
        <f>IF(A179='Quantity-logprob'!A179,".","N")</f>
        <v>.</v>
      </c>
      <c r="E179" t="str">
        <f t="shared" si="2"/>
        <v>.</v>
      </c>
      <c r="H179" s="8" t="s">
        <v>383</v>
      </c>
      <c r="I179" s="8" t="s">
        <v>384</v>
      </c>
      <c r="J179" s="8" t="s">
        <v>417</v>
      </c>
    </row>
    <row r="180" spans="1:10" hidden="1" x14ac:dyDescent="0.45">
      <c r="A180" t="s">
        <v>5</v>
      </c>
      <c r="B180" t="s">
        <v>5</v>
      </c>
      <c r="D180" t="str">
        <f>IF(A180='Quantity-logprob'!A180,".","N")</f>
        <v>.</v>
      </c>
      <c r="E180" t="str">
        <f t="shared" si="2"/>
        <v>.</v>
      </c>
      <c r="H180" s="8" t="s">
        <v>385</v>
      </c>
      <c r="I180" s="8" t="s">
        <v>99</v>
      </c>
      <c r="J180" s="8" t="s">
        <v>423</v>
      </c>
    </row>
    <row r="181" spans="1:10" hidden="1" x14ac:dyDescent="0.45">
      <c r="A181" t="s">
        <v>14</v>
      </c>
      <c r="B181" t="s">
        <v>14</v>
      </c>
      <c r="D181" t="str">
        <f>IF(A181='Quantity-logprob'!A181,".","N")</f>
        <v>.</v>
      </c>
      <c r="E181" t="str">
        <f t="shared" si="2"/>
        <v>.</v>
      </c>
      <c r="H181" s="8" t="s">
        <v>386</v>
      </c>
      <c r="I181" s="8" t="s">
        <v>387</v>
      </c>
      <c r="J181" s="8" t="s">
        <v>425</v>
      </c>
    </row>
    <row r="182" spans="1:10" hidden="1" x14ac:dyDescent="0.45">
      <c r="A182" t="s">
        <v>13</v>
      </c>
      <c r="B182" t="s">
        <v>13</v>
      </c>
      <c r="D182" t="str">
        <f>IF(A182='Quantity-logprob'!A182,".","N")</f>
        <v>.</v>
      </c>
      <c r="E182" t="str">
        <f t="shared" si="2"/>
        <v>.</v>
      </c>
      <c r="H182" s="8" t="s">
        <v>388</v>
      </c>
      <c r="I182" s="8" t="s">
        <v>99</v>
      </c>
      <c r="J182" s="8" t="s">
        <v>420</v>
      </c>
    </row>
    <row r="183" spans="1:10" hidden="1" x14ac:dyDescent="0.45">
      <c r="A183" t="s">
        <v>13</v>
      </c>
      <c r="B183" t="s">
        <v>13</v>
      </c>
      <c r="D183" t="str">
        <f>IF(A183='Quantity-logprob'!A183,".","N")</f>
        <v>.</v>
      </c>
      <c r="E183" t="str">
        <f t="shared" si="2"/>
        <v>.</v>
      </c>
      <c r="H183" s="8" t="s">
        <v>389</v>
      </c>
      <c r="I183" s="8" t="s">
        <v>390</v>
      </c>
      <c r="J183" s="8" t="s">
        <v>420</v>
      </c>
    </row>
    <row r="184" spans="1:10" hidden="1" x14ac:dyDescent="0.45">
      <c r="A184" t="s">
        <v>17</v>
      </c>
      <c r="B184" t="s">
        <v>17</v>
      </c>
      <c r="D184" t="str">
        <f>IF(A184='Quantity-logprob'!A184,".","N")</f>
        <v>.</v>
      </c>
      <c r="E184" t="str">
        <f t="shared" si="2"/>
        <v>.</v>
      </c>
      <c r="H184" s="8" t="s">
        <v>391</v>
      </c>
      <c r="I184" s="8" t="s">
        <v>392</v>
      </c>
      <c r="J184" s="8" t="s">
        <v>429</v>
      </c>
    </row>
    <row r="185" spans="1:10" hidden="1" x14ac:dyDescent="0.45">
      <c r="A185" t="s">
        <v>13</v>
      </c>
      <c r="B185" t="s">
        <v>13</v>
      </c>
      <c r="D185" t="str">
        <f>IF(A185='Quantity-logprob'!A185,".","N")</f>
        <v>.</v>
      </c>
      <c r="E185" t="str">
        <f t="shared" si="2"/>
        <v>.</v>
      </c>
      <c r="H185" s="8" t="s">
        <v>393</v>
      </c>
      <c r="I185" s="8" t="s">
        <v>99</v>
      </c>
      <c r="J185" s="8" t="s">
        <v>420</v>
      </c>
    </row>
    <row r="186" spans="1:10" hidden="1" x14ac:dyDescent="0.45">
      <c r="A186" t="s">
        <v>17</v>
      </c>
      <c r="B186" t="s">
        <v>17</v>
      </c>
      <c r="D186" t="str">
        <f>IF(A186='Quantity-logprob'!A186,".","N")</f>
        <v>.</v>
      </c>
      <c r="E186" t="str">
        <f t="shared" si="2"/>
        <v>.</v>
      </c>
      <c r="H186" s="8" t="s">
        <v>394</v>
      </c>
      <c r="I186" s="8" t="s">
        <v>99</v>
      </c>
      <c r="J186" s="8" t="s">
        <v>429</v>
      </c>
    </row>
    <row r="187" spans="1:10" hidden="1" x14ac:dyDescent="0.45">
      <c r="A187" t="s">
        <v>8</v>
      </c>
      <c r="B187" t="s">
        <v>8</v>
      </c>
      <c r="D187" t="str">
        <f>IF(A187='Quantity-logprob'!A187,".","N")</f>
        <v>.</v>
      </c>
      <c r="E187" t="str">
        <f t="shared" si="2"/>
        <v>.</v>
      </c>
      <c r="H187" s="8" t="s">
        <v>65</v>
      </c>
      <c r="I187" s="8" t="s">
        <v>395</v>
      </c>
      <c r="J187" s="8" t="s">
        <v>427</v>
      </c>
    </row>
    <row r="188" spans="1:10" hidden="1" x14ac:dyDescent="0.45">
      <c r="A188" t="s">
        <v>7</v>
      </c>
      <c r="B188" t="s">
        <v>7</v>
      </c>
      <c r="D188" t="str">
        <f>IF(A188='Quantity-logprob'!A188,".","N")</f>
        <v>.</v>
      </c>
      <c r="E188" t="str">
        <f t="shared" si="2"/>
        <v>.</v>
      </c>
      <c r="H188" s="8" t="s">
        <v>396</v>
      </c>
      <c r="I188" s="8" t="s">
        <v>397</v>
      </c>
      <c r="J188" s="8" t="s">
        <v>418</v>
      </c>
    </row>
    <row r="189" spans="1:10" x14ac:dyDescent="0.45">
      <c r="A189" t="s">
        <v>534</v>
      </c>
      <c r="B189" t="s">
        <v>533</v>
      </c>
      <c r="D189" t="str">
        <f>IF(A189='Quantity-logprob'!A189,".","N")</f>
        <v>N</v>
      </c>
      <c r="E189" t="str">
        <f t="shared" si="2"/>
        <v>N</v>
      </c>
      <c r="F189" s="8" t="s">
        <v>515</v>
      </c>
      <c r="H189" s="8" t="s">
        <v>398</v>
      </c>
      <c r="I189" s="8" t="s">
        <v>399</v>
      </c>
      <c r="J189" s="8" t="s">
        <v>433</v>
      </c>
    </row>
    <row r="190" spans="1:10" hidden="1" x14ac:dyDescent="0.45">
      <c r="A190" t="s">
        <v>23</v>
      </c>
      <c r="B190" t="s">
        <v>23</v>
      </c>
      <c r="D190" t="str">
        <f>IF(A190='Quantity-logprob'!A190,".","N")</f>
        <v>.</v>
      </c>
      <c r="E190" t="str">
        <f t="shared" si="2"/>
        <v>.</v>
      </c>
      <c r="H190" s="8" t="s">
        <v>400</v>
      </c>
      <c r="I190" s="8" t="s">
        <v>401</v>
      </c>
      <c r="J190" s="8" t="s">
        <v>438</v>
      </c>
    </row>
    <row r="191" spans="1:10" hidden="1" x14ac:dyDescent="0.45">
      <c r="A191" t="s">
        <v>10</v>
      </c>
      <c r="B191" t="s">
        <v>10</v>
      </c>
      <c r="D191" t="str">
        <f>IF(A191='Quantity-logprob'!A191,".","N")</f>
        <v>.</v>
      </c>
      <c r="E191" t="str">
        <f t="shared" si="2"/>
        <v>.</v>
      </c>
      <c r="H191" s="8" t="s">
        <v>402</v>
      </c>
      <c r="I191" s="8" t="s">
        <v>99</v>
      </c>
      <c r="J191" s="8" t="s">
        <v>421</v>
      </c>
    </row>
    <row r="192" spans="1:10" hidden="1" x14ac:dyDescent="0.45">
      <c r="A192" t="s">
        <v>13</v>
      </c>
      <c r="B192" t="s">
        <v>13</v>
      </c>
      <c r="D192" t="str">
        <f>IF(A192='Quantity-logprob'!A192,".","N")</f>
        <v>.</v>
      </c>
      <c r="E192" t="str">
        <f t="shared" si="2"/>
        <v>.</v>
      </c>
      <c r="H192" s="8" t="s">
        <v>403</v>
      </c>
      <c r="I192" s="8" t="s">
        <v>99</v>
      </c>
      <c r="J192" s="8" t="s">
        <v>420</v>
      </c>
    </row>
    <row r="193" spans="1:10" hidden="1" x14ac:dyDescent="0.45">
      <c r="A193" t="s">
        <v>6</v>
      </c>
      <c r="B193" t="s">
        <v>6</v>
      </c>
      <c r="D193" t="str">
        <f>IF(A193='Quantity-logprob'!A193,".","N")</f>
        <v>.</v>
      </c>
      <c r="E193" t="str">
        <f t="shared" si="2"/>
        <v>.</v>
      </c>
      <c r="H193" s="8" t="s">
        <v>404</v>
      </c>
      <c r="I193" s="8" t="s">
        <v>405</v>
      </c>
      <c r="J193" s="8" t="s">
        <v>417</v>
      </c>
    </row>
    <row r="194" spans="1:10" hidden="1" x14ac:dyDescent="0.45">
      <c r="A194" t="s">
        <v>17</v>
      </c>
      <c r="B194" t="s">
        <v>17</v>
      </c>
      <c r="D194" t="str">
        <f>IF(A194='Quantity-logprob'!A194,".","N")</f>
        <v>.</v>
      </c>
      <c r="E194" t="str">
        <f t="shared" si="2"/>
        <v>.</v>
      </c>
      <c r="H194" s="8" t="s">
        <v>406</v>
      </c>
      <c r="I194" s="8" t="s">
        <v>407</v>
      </c>
      <c r="J194" s="8" t="s">
        <v>429</v>
      </c>
    </row>
    <row r="195" spans="1:10" hidden="1" x14ac:dyDescent="0.45">
      <c r="A195" t="s">
        <v>13</v>
      </c>
      <c r="B195" t="s">
        <v>13</v>
      </c>
      <c r="D195" t="str">
        <f>IF(A195='Quantity-logprob'!A195,".","N")</f>
        <v>.</v>
      </c>
      <c r="E195" t="str">
        <f t="shared" ref="E195:E258" si="3">IF(A195=B195,".","N")</f>
        <v>.</v>
      </c>
      <c r="H195" s="8" t="s">
        <v>408</v>
      </c>
      <c r="I195" s="8" t="s">
        <v>99</v>
      </c>
      <c r="J195" s="8" t="s">
        <v>420</v>
      </c>
    </row>
    <row r="196" spans="1:10" hidden="1" x14ac:dyDescent="0.45">
      <c r="A196" t="s">
        <v>13</v>
      </c>
      <c r="B196" t="s">
        <v>13</v>
      </c>
      <c r="D196" t="str">
        <f>IF(A196='Quantity-logprob'!A196,".","N")</f>
        <v>.</v>
      </c>
      <c r="E196" t="str">
        <f t="shared" si="3"/>
        <v>.</v>
      </c>
      <c r="H196" s="8" t="s">
        <v>409</v>
      </c>
      <c r="I196" s="8" t="s">
        <v>390</v>
      </c>
      <c r="J196" s="8" t="s">
        <v>420</v>
      </c>
    </row>
    <row r="197" spans="1:10" hidden="1" x14ac:dyDescent="0.45">
      <c r="A197" t="s">
        <v>14</v>
      </c>
      <c r="B197" t="s">
        <v>14</v>
      </c>
      <c r="D197" t="str">
        <f>IF(A197='Quantity-logprob'!A197,".","N")</f>
        <v>.</v>
      </c>
      <c r="E197" t="str">
        <f t="shared" si="3"/>
        <v>.</v>
      </c>
      <c r="H197" s="8" t="s">
        <v>410</v>
      </c>
      <c r="I197" s="8" t="s">
        <v>411</v>
      </c>
      <c r="J197" s="8" t="s">
        <v>425</v>
      </c>
    </row>
    <row r="198" spans="1:10" hidden="1" x14ac:dyDescent="0.45">
      <c r="A198" t="s">
        <v>17</v>
      </c>
      <c r="B198" t="s">
        <v>17</v>
      </c>
      <c r="D198" t="str">
        <f>IF(A198='Quantity-logprob'!A198,".","N")</f>
        <v>.</v>
      </c>
      <c r="E198" t="str">
        <f t="shared" si="3"/>
        <v>.</v>
      </c>
      <c r="H198" s="8" t="s">
        <v>412</v>
      </c>
      <c r="I198" s="8" t="s">
        <v>413</v>
      </c>
      <c r="J198" s="8" t="s">
        <v>429</v>
      </c>
    </row>
    <row r="199" spans="1:10" hidden="1" x14ac:dyDescent="0.45">
      <c r="A199" t="s">
        <v>13</v>
      </c>
      <c r="B199" t="s">
        <v>13</v>
      </c>
      <c r="D199" t="str">
        <f>IF(A199='Quantity-logprob'!A199,".","N")</f>
        <v>.</v>
      </c>
      <c r="E199" t="str">
        <f t="shared" si="3"/>
        <v>.</v>
      </c>
      <c r="H199" s="8" t="s">
        <v>414</v>
      </c>
      <c r="I199" s="8" t="s">
        <v>99</v>
      </c>
      <c r="J199" s="8" t="s">
        <v>420</v>
      </c>
    </row>
    <row r="200" spans="1:10" hidden="1" x14ac:dyDescent="0.45">
      <c r="A200" t="s">
        <v>7</v>
      </c>
      <c r="B200" t="s">
        <v>7</v>
      </c>
      <c r="D200" t="str">
        <f>IF(A200='Quantity-logprob'!A200,".","N")</f>
        <v>.</v>
      </c>
      <c r="E200" t="str">
        <f t="shared" si="3"/>
        <v>.</v>
      </c>
      <c r="H200" s="8" t="s">
        <v>98</v>
      </c>
      <c r="I200" s="8" t="s">
        <v>99</v>
      </c>
      <c r="J200" s="8" t="s">
        <v>418</v>
      </c>
    </row>
    <row r="201" spans="1:10" hidden="1" x14ac:dyDescent="0.45">
      <c r="A201" t="s">
        <v>13</v>
      </c>
      <c r="B201" t="s">
        <v>13</v>
      </c>
      <c r="D201" t="str">
        <f>IF(A201='Quantity-logprob'!A201,".","N")</f>
        <v>.</v>
      </c>
      <c r="E201" t="str">
        <f t="shared" si="3"/>
        <v>.</v>
      </c>
      <c r="H201" s="8" t="s">
        <v>440</v>
      </c>
      <c r="I201" s="8" t="s">
        <v>99</v>
      </c>
      <c r="J201" s="8" t="s">
        <v>420</v>
      </c>
    </row>
    <row r="202" spans="1:10" hidden="1" x14ac:dyDescent="0.45">
      <c r="A202" t="s">
        <v>13</v>
      </c>
      <c r="B202" t="s">
        <v>13</v>
      </c>
      <c r="D202" t="str">
        <f>IF(A202='Quantity-logprob'!A202,".","N")</f>
        <v>.</v>
      </c>
      <c r="E202" t="str">
        <f t="shared" si="3"/>
        <v>.</v>
      </c>
      <c r="H202" s="8" t="s">
        <v>441</v>
      </c>
      <c r="I202" s="8" t="s">
        <v>99</v>
      </c>
      <c r="J202" s="8" t="s">
        <v>420</v>
      </c>
    </row>
    <row r="203" spans="1:10" hidden="1" x14ac:dyDescent="0.45">
      <c r="A203" t="s">
        <v>5</v>
      </c>
      <c r="B203" t="s">
        <v>5</v>
      </c>
      <c r="D203" t="str">
        <f>IF(A203='Quantity-logprob'!A203,".","N")</f>
        <v>.</v>
      </c>
      <c r="E203" t="str">
        <f t="shared" si="3"/>
        <v>.</v>
      </c>
      <c r="H203" s="8" t="s">
        <v>176</v>
      </c>
      <c r="I203" s="8" t="s">
        <v>177</v>
      </c>
      <c r="J203" s="8" t="s">
        <v>423</v>
      </c>
    </row>
    <row r="204" spans="1:10" hidden="1" x14ac:dyDescent="0.45">
      <c r="A204" t="s">
        <v>13</v>
      </c>
      <c r="B204" t="s">
        <v>13</v>
      </c>
      <c r="D204" t="str">
        <f>IF(A204='Quantity-logprob'!A204,".","N")</f>
        <v>.</v>
      </c>
      <c r="E204" t="str">
        <f t="shared" si="3"/>
        <v>.</v>
      </c>
      <c r="H204" s="8" t="s">
        <v>271</v>
      </c>
      <c r="I204" s="8" t="s">
        <v>99</v>
      </c>
      <c r="J204" s="8" t="s">
        <v>420</v>
      </c>
    </row>
    <row r="205" spans="1:10" hidden="1" x14ac:dyDescent="0.45">
      <c r="A205" t="s">
        <v>15</v>
      </c>
      <c r="B205" t="s">
        <v>15</v>
      </c>
      <c r="D205" t="str">
        <f>IF(A205='Quantity-logprob'!A205,".","N")</f>
        <v>.</v>
      </c>
      <c r="E205" t="str">
        <f t="shared" si="3"/>
        <v>.</v>
      </c>
      <c r="H205" s="8" t="s">
        <v>219</v>
      </c>
      <c r="I205" s="8" t="s">
        <v>220</v>
      </c>
      <c r="J205" s="8" t="s">
        <v>426</v>
      </c>
    </row>
    <row r="206" spans="1:10" hidden="1" x14ac:dyDescent="0.45">
      <c r="A206" t="s">
        <v>15</v>
      </c>
      <c r="B206" t="s">
        <v>15</v>
      </c>
      <c r="D206" t="str">
        <f>IF(A206='Quantity-logprob'!A206,".","N")</f>
        <v>.</v>
      </c>
      <c r="E206" t="str">
        <f t="shared" si="3"/>
        <v>.</v>
      </c>
      <c r="H206" s="8" t="s">
        <v>379</v>
      </c>
      <c r="I206" s="8" t="s">
        <v>380</v>
      </c>
      <c r="J206" s="8" t="s">
        <v>426</v>
      </c>
    </row>
    <row r="207" spans="1:10" hidden="1" x14ac:dyDescent="0.45">
      <c r="A207" t="s">
        <v>5</v>
      </c>
      <c r="B207" t="s">
        <v>5</v>
      </c>
      <c r="D207" t="str">
        <f>IF(A207='Quantity-logprob'!A207,".","N")</f>
        <v>.</v>
      </c>
      <c r="E207" t="str">
        <f t="shared" si="3"/>
        <v>.</v>
      </c>
      <c r="H207" s="8" t="s">
        <v>354</v>
      </c>
      <c r="I207" s="8" t="s">
        <v>355</v>
      </c>
      <c r="J207" s="8" t="s">
        <v>423</v>
      </c>
    </row>
    <row r="208" spans="1:10" hidden="1" x14ac:dyDescent="0.45">
      <c r="A208" t="s">
        <v>5</v>
      </c>
      <c r="B208" t="s">
        <v>5</v>
      </c>
      <c r="D208" t="str">
        <f>IF(A208='Quantity-logprob'!A208,".","N")</f>
        <v>.</v>
      </c>
      <c r="E208" t="str">
        <f t="shared" si="3"/>
        <v>.</v>
      </c>
      <c r="H208" s="8" t="s">
        <v>238</v>
      </c>
      <c r="I208" s="8" t="s">
        <v>239</v>
      </c>
      <c r="J208" s="8" t="s">
        <v>435</v>
      </c>
    </row>
    <row r="209" spans="1:10" x14ac:dyDescent="0.45">
      <c r="A209" t="s">
        <v>10</v>
      </c>
      <c r="B209" t="s">
        <v>532</v>
      </c>
      <c r="D209" t="str">
        <f>IF(A209='Quantity-logprob'!A209,".","N")</f>
        <v>.</v>
      </c>
      <c r="E209" t="str">
        <f t="shared" si="3"/>
        <v>N</v>
      </c>
      <c r="F209" s="8" t="s">
        <v>515</v>
      </c>
      <c r="H209" s="8" t="s">
        <v>115</v>
      </c>
      <c r="I209" s="8" t="s">
        <v>116</v>
      </c>
      <c r="J209" s="8" t="s">
        <v>421</v>
      </c>
    </row>
    <row r="210" spans="1:10" hidden="1" x14ac:dyDescent="0.45">
      <c r="A210" t="s">
        <v>5</v>
      </c>
      <c r="B210" t="s">
        <v>5</v>
      </c>
      <c r="D210" t="str">
        <f>IF(A210='Quantity-logprob'!A210,".","N")</f>
        <v>.</v>
      </c>
      <c r="E210" t="str">
        <f t="shared" si="3"/>
        <v>.</v>
      </c>
      <c r="H210" s="8" t="s">
        <v>94</v>
      </c>
      <c r="I210" s="8" t="s">
        <v>95</v>
      </c>
      <c r="J210" s="8" t="s">
        <v>416</v>
      </c>
    </row>
    <row r="211" spans="1:10" hidden="1" x14ac:dyDescent="0.45">
      <c r="A211" t="s">
        <v>8</v>
      </c>
      <c r="B211" t="s">
        <v>8</v>
      </c>
      <c r="D211" t="str">
        <f>IF(A211='Quantity-logprob'!A211,".","N")</f>
        <v>.</v>
      </c>
      <c r="E211" t="str">
        <f t="shared" si="3"/>
        <v>.</v>
      </c>
      <c r="H211" s="8" t="s">
        <v>65</v>
      </c>
      <c r="I211" s="8" t="s">
        <v>395</v>
      </c>
      <c r="J211" s="8" t="s">
        <v>427</v>
      </c>
    </row>
    <row r="212" spans="1:10" hidden="1" x14ac:dyDescent="0.45">
      <c r="A212" t="s">
        <v>7</v>
      </c>
      <c r="B212" t="s">
        <v>7</v>
      </c>
      <c r="D212" t="str">
        <f>IF(A212='Quantity-logprob'!A212,".","N")</f>
        <v>.</v>
      </c>
      <c r="E212" t="str">
        <f t="shared" si="3"/>
        <v>.</v>
      </c>
      <c r="H212" s="8" t="s">
        <v>291</v>
      </c>
      <c r="I212" s="8" t="s">
        <v>292</v>
      </c>
      <c r="J212" s="8" t="s">
        <v>436</v>
      </c>
    </row>
    <row r="213" spans="1:10" hidden="1" x14ac:dyDescent="0.45">
      <c r="A213" t="s">
        <v>15</v>
      </c>
      <c r="B213" t="s">
        <v>15</v>
      </c>
      <c r="D213" t="str">
        <f>IF(A213='Quantity-logprob'!A213,".","N")</f>
        <v>.</v>
      </c>
      <c r="E213" t="str">
        <f t="shared" si="3"/>
        <v>.</v>
      </c>
      <c r="H213" s="8" t="s">
        <v>275</v>
      </c>
      <c r="I213" s="8" t="s">
        <v>276</v>
      </c>
      <c r="J213" s="8" t="s">
        <v>426</v>
      </c>
    </row>
    <row r="214" spans="1:10" x14ac:dyDescent="0.45">
      <c r="A214" t="s">
        <v>10</v>
      </c>
      <c r="B214" t="s">
        <v>532</v>
      </c>
      <c r="D214" t="str">
        <f>IF(A214='Quantity-logprob'!A214,".","N")</f>
        <v>.</v>
      </c>
      <c r="E214" t="str">
        <f t="shared" si="3"/>
        <v>N</v>
      </c>
      <c r="F214" s="8" t="s">
        <v>515</v>
      </c>
      <c r="H214" s="8" t="s">
        <v>111</v>
      </c>
      <c r="I214" s="8" t="s">
        <v>112</v>
      </c>
      <c r="J214" s="8" t="s">
        <v>421</v>
      </c>
    </row>
    <row r="215" spans="1:10" hidden="1" x14ac:dyDescent="0.45">
      <c r="A215" t="s">
        <v>11</v>
      </c>
      <c r="B215" t="s">
        <v>11</v>
      </c>
      <c r="D215" t="str">
        <f>IF(A215='Quantity-logprob'!A215,".","N")</f>
        <v>.</v>
      </c>
      <c r="E215" t="str">
        <f t="shared" si="3"/>
        <v>.</v>
      </c>
      <c r="H215" s="8" t="s">
        <v>104</v>
      </c>
      <c r="I215" s="8" t="s">
        <v>105</v>
      </c>
      <c r="J215" s="8" t="s">
        <v>422</v>
      </c>
    </row>
    <row r="216" spans="1:10" x14ac:dyDescent="0.45">
      <c r="A216" t="s">
        <v>534</v>
      </c>
      <c r="B216" t="s">
        <v>533</v>
      </c>
      <c r="D216" t="str">
        <f>IF(A216='Quantity-logprob'!A216,".","N")</f>
        <v>N</v>
      </c>
      <c r="E216" t="str">
        <f t="shared" si="3"/>
        <v>N</v>
      </c>
      <c r="F216" s="8" t="s">
        <v>515</v>
      </c>
      <c r="H216" s="9" t="s">
        <v>398</v>
      </c>
      <c r="I216" s="8" t="s">
        <v>399</v>
      </c>
      <c r="J216" s="8" t="s">
        <v>433</v>
      </c>
    </row>
    <row r="217" spans="1:10" hidden="1" x14ac:dyDescent="0.45">
      <c r="A217" t="s">
        <v>7</v>
      </c>
      <c r="B217" t="s">
        <v>7</v>
      </c>
      <c r="D217" t="str">
        <f>IF(A217='Quantity-logprob'!A217,".","N")</f>
        <v>.</v>
      </c>
      <c r="E217" t="str">
        <f t="shared" si="3"/>
        <v>.</v>
      </c>
      <c r="H217" s="8" t="s">
        <v>261</v>
      </c>
      <c r="I217" s="8" t="s">
        <v>262</v>
      </c>
      <c r="J217" s="8" t="s">
        <v>436</v>
      </c>
    </row>
    <row r="218" spans="1:10" hidden="1" x14ac:dyDescent="0.45">
      <c r="A218" t="s">
        <v>5</v>
      </c>
      <c r="B218" t="s">
        <v>5</v>
      </c>
      <c r="D218" t="str">
        <f>IF(A218='Quantity-logprob'!A218,".","N")</f>
        <v>.</v>
      </c>
      <c r="E218" t="str">
        <f t="shared" si="3"/>
        <v>.</v>
      </c>
      <c r="H218" s="8" t="s">
        <v>333</v>
      </c>
      <c r="I218" s="8" t="s">
        <v>334</v>
      </c>
      <c r="J218" s="8" t="s">
        <v>435</v>
      </c>
    </row>
    <row r="219" spans="1:10" hidden="1" x14ac:dyDescent="0.45">
      <c r="A219" t="s">
        <v>5</v>
      </c>
      <c r="B219" t="s">
        <v>5</v>
      </c>
      <c r="D219" t="str">
        <f>IF(A219='Quantity-logprob'!A219,".","N")</f>
        <v>.</v>
      </c>
      <c r="E219" t="str">
        <f t="shared" si="3"/>
        <v>.</v>
      </c>
      <c r="H219" s="8" t="s">
        <v>269</v>
      </c>
      <c r="I219" s="8" t="s">
        <v>270</v>
      </c>
      <c r="J219" s="8" t="s">
        <v>416</v>
      </c>
    </row>
    <row r="220" spans="1:10" hidden="1" x14ac:dyDescent="0.45">
      <c r="A220" t="s">
        <v>15</v>
      </c>
      <c r="B220" t="s">
        <v>15</v>
      </c>
      <c r="D220" t="str">
        <f>IF(A220='Quantity-logprob'!A220,".","N")</f>
        <v>.</v>
      </c>
      <c r="E220" t="str">
        <f t="shared" si="3"/>
        <v>.</v>
      </c>
      <c r="H220" s="8" t="s">
        <v>372</v>
      </c>
      <c r="I220" s="8" t="s">
        <v>99</v>
      </c>
      <c r="J220" s="8" t="s">
        <v>426</v>
      </c>
    </row>
    <row r="221" spans="1:10" hidden="1" x14ac:dyDescent="0.45">
      <c r="A221" t="s">
        <v>15</v>
      </c>
      <c r="B221" t="s">
        <v>15</v>
      </c>
      <c r="D221" t="str">
        <f>IF(A221='Quantity-logprob'!A221,".","N")</f>
        <v>.</v>
      </c>
      <c r="E221" t="str">
        <f t="shared" si="3"/>
        <v>.</v>
      </c>
      <c r="H221" s="8" t="s">
        <v>178</v>
      </c>
      <c r="I221" s="8" t="s">
        <v>179</v>
      </c>
      <c r="J221" s="8" t="s">
        <v>426</v>
      </c>
    </row>
    <row r="222" spans="1:10" hidden="1" x14ac:dyDescent="0.45">
      <c r="A222" t="s">
        <v>15</v>
      </c>
      <c r="B222" t="s">
        <v>15</v>
      </c>
      <c r="D222" t="str">
        <f>IF(A222='Quantity-logprob'!A222,".","N")</f>
        <v>.</v>
      </c>
      <c r="E222" t="str">
        <f t="shared" si="3"/>
        <v>.</v>
      </c>
      <c r="H222" s="8" t="s">
        <v>138</v>
      </c>
      <c r="I222" s="8" t="s">
        <v>139</v>
      </c>
      <c r="J222" s="8" t="s">
        <v>426</v>
      </c>
    </row>
    <row r="223" spans="1:10" hidden="1" x14ac:dyDescent="0.45">
      <c r="A223" t="s">
        <v>13</v>
      </c>
      <c r="B223" t="s">
        <v>13</v>
      </c>
      <c r="D223" t="str">
        <f>IF(A223='Quantity-logprob'!A223,".","N")</f>
        <v>.</v>
      </c>
      <c r="E223" t="str">
        <f t="shared" si="3"/>
        <v>.</v>
      </c>
      <c r="H223" s="8" t="s">
        <v>159</v>
      </c>
      <c r="I223" s="8" t="s">
        <v>99</v>
      </c>
      <c r="J223" s="8" t="s">
        <v>420</v>
      </c>
    </row>
    <row r="224" spans="1:10" hidden="1" x14ac:dyDescent="0.45">
      <c r="A224" t="s">
        <v>17</v>
      </c>
      <c r="B224" t="s">
        <v>17</v>
      </c>
      <c r="D224" t="str">
        <f>IF(A224='Quantity-logprob'!A224,".","N")</f>
        <v>.</v>
      </c>
      <c r="E224" t="str">
        <f t="shared" si="3"/>
        <v>.</v>
      </c>
      <c r="H224" s="8" t="s">
        <v>155</v>
      </c>
      <c r="I224" s="8" t="s">
        <v>156</v>
      </c>
      <c r="J224" s="8" t="s">
        <v>429</v>
      </c>
    </row>
    <row r="225" spans="1:10" hidden="1" x14ac:dyDescent="0.45">
      <c r="A225" t="s">
        <v>19</v>
      </c>
      <c r="B225" t="s">
        <v>533</v>
      </c>
      <c r="D225" t="str">
        <f>IF(A225='Quantity-logprob'!A225,".","N")</f>
        <v>.</v>
      </c>
      <c r="E225" t="str">
        <f t="shared" si="3"/>
        <v>N</v>
      </c>
      <c r="H225" s="9" t="s">
        <v>157</v>
      </c>
      <c r="I225" s="8" t="s">
        <v>158</v>
      </c>
      <c r="J225" s="8" t="s">
        <v>430</v>
      </c>
    </row>
    <row r="226" spans="1:10" hidden="1" x14ac:dyDescent="0.45">
      <c r="A226" t="s">
        <v>13</v>
      </c>
      <c r="B226" t="s">
        <v>13</v>
      </c>
      <c r="D226" t="str">
        <f>IF(A226='Quantity-logprob'!A226,".","N")</f>
        <v>.</v>
      </c>
      <c r="E226" t="str">
        <f t="shared" si="3"/>
        <v>.</v>
      </c>
      <c r="H226" s="8" t="s">
        <v>442</v>
      </c>
      <c r="I226" s="8" t="s">
        <v>443</v>
      </c>
      <c r="J226" s="8" t="s">
        <v>420</v>
      </c>
    </row>
    <row r="227" spans="1:10" hidden="1" x14ac:dyDescent="0.45">
      <c r="A227" t="s">
        <v>19</v>
      </c>
      <c r="B227" t="s">
        <v>8</v>
      </c>
      <c r="D227" t="str">
        <f>IF(A227='Quantity-logprob'!A227,".","N")</f>
        <v>.</v>
      </c>
      <c r="E227" t="str">
        <f t="shared" si="3"/>
        <v>N</v>
      </c>
      <c r="H227" s="8" t="s">
        <v>444</v>
      </c>
      <c r="I227" s="8" t="s">
        <v>99</v>
      </c>
      <c r="J227" s="8" t="s">
        <v>432</v>
      </c>
    </row>
    <row r="228" spans="1:10" hidden="1" x14ac:dyDescent="0.45">
      <c r="A228" t="s">
        <v>13</v>
      </c>
      <c r="B228" t="s">
        <v>13</v>
      </c>
      <c r="D228" t="str">
        <f>IF(A228='Quantity-logprob'!A228,".","N")</f>
        <v>.</v>
      </c>
      <c r="E228" t="str">
        <f t="shared" si="3"/>
        <v>.</v>
      </c>
      <c r="H228" s="8" t="s">
        <v>359</v>
      </c>
      <c r="I228" s="8" t="s">
        <v>99</v>
      </c>
      <c r="J228" s="8" t="s">
        <v>420</v>
      </c>
    </row>
    <row r="229" spans="1:10" hidden="1" x14ac:dyDescent="0.45">
      <c r="A229" t="s">
        <v>5</v>
      </c>
      <c r="B229" t="s">
        <v>5</v>
      </c>
      <c r="D229" t="str">
        <f>IF(A229='Quantity-logprob'!A229,".","N")</f>
        <v>.</v>
      </c>
      <c r="E229" t="str">
        <f t="shared" si="3"/>
        <v>.</v>
      </c>
      <c r="H229" s="8" t="s">
        <v>213</v>
      </c>
      <c r="I229" s="8" t="s">
        <v>214</v>
      </c>
      <c r="J229" s="8" t="s">
        <v>416</v>
      </c>
    </row>
    <row r="230" spans="1:10" hidden="1" x14ac:dyDescent="0.45">
      <c r="A230" t="s">
        <v>8</v>
      </c>
      <c r="B230" t="s">
        <v>8</v>
      </c>
      <c r="D230" t="str">
        <f>IF(A230='Quantity-logprob'!A230,".","N")</f>
        <v>.</v>
      </c>
      <c r="E230" t="str">
        <f t="shared" si="3"/>
        <v>.</v>
      </c>
      <c r="H230" s="8" t="s">
        <v>191</v>
      </c>
      <c r="I230" s="8" t="s">
        <v>192</v>
      </c>
      <c r="J230" s="8" t="s">
        <v>427</v>
      </c>
    </row>
    <row r="231" spans="1:10" hidden="1" x14ac:dyDescent="0.45">
      <c r="A231" t="s">
        <v>14</v>
      </c>
      <c r="B231" t="s">
        <v>14</v>
      </c>
      <c r="D231" t="str">
        <f>IF(A231='Quantity-logprob'!A231,".","N")</f>
        <v>.</v>
      </c>
      <c r="E231" t="str">
        <f t="shared" si="3"/>
        <v>.</v>
      </c>
      <c r="H231" s="8" t="s">
        <v>162</v>
      </c>
      <c r="I231" s="8" t="s">
        <v>163</v>
      </c>
      <c r="J231" s="8" t="s">
        <v>425</v>
      </c>
    </row>
    <row r="232" spans="1:10" hidden="1" x14ac:dyDescent="0.45">
      <c r="A232" t="s">
        <v>17</v>
      </c>
      <c r="B232" t="s">
        <v>17</v>
      </c>
      <c r="D232" t="str">
        <f>IF(A232='Quantity-logprob'!A232,".","N")</f>
        <v>.</v>
      </c>
      <c r="E232" t="str">
        <f t="shared" si="3"/>
        <v>.</v>
      </c>
      <c r="H232" s="8" t="s">
        <v>445</v>
      </c>
      <c r="I232" s="8" t="s">
        <v>446</v>
      </c>
      <c r="J232" s="8" t="s">
        <v>429</v>
      </c>
    </row>
    <row r="233" spans="1:10" hidden="1" x14ac:dyDescent="0.45">
      <c r="A233" t="s">
        <v>13</v>
      </c>
      <c r="B233" t="s">
        <v>13</v>
      </c>
      <c r="D233" t="str">
        <f>IF(A233='Quantity-logprob'!A233,".","N")</f>
        <v>.</v>
      </c>
      <c r="E233" t="str">
        <f t="shared" si="3"/>
        <v>.</v>
      </c>
      <c r="H233" s="8" t="s">
        <v>127</v>
      </c>
      <c r="I233" s="8" t="s">
        <v>128</v>
      </c>
      <c r="J233" s="8" t="s">
        <v>420</v>
      </c>
    </row>
    <row r="234" spans="1:10" hidden="1" x14ac:dyDescent="0.45">
      <c r="A234" t="s">
        <v>13</v>
      </c>
      <c r="B234" t="s">
        <v>13</v>
      </c>
      <c r="D234" t="str">
        <f>IF(A234='Quantity-logprob'!A234,".","N")</f>
        <v>.</v>
      </c>
      <c r="E234" t="str">
        <f t="shared" si="3"/>
        <v>.</v>
      </c>
      <c r="H234" s="8" t="s">
        <v>360</v>
      </c>
      <c r="I234" s="8" t="s">
        <v>361</v>
      </c>
      <c r="J234" s="8" t="s">
        <v>420</v>
      </c>
    </row>
    <row r="235" spans="1:10" hidden="1" x14ac:dyDescent="0.45">
      <c r="A235" t="s">
        <v>14</v>
      </c>
      <c r="B235" t="s">
        <v>14</v>
      </c>
      <c r="D235" t="str">
        <f>IF(A235='Quantity-logprob'!A235,".","N")</f>
        <v>.</v>
      </c>
      <c r="E235" t="str">
        <f t="shared" si="3"/>
        <v>.</v>
      </c>
      <c r="H235" s="8" t="s">
        <v>233</v>
      </c>
      <c r="I235" s="8" t="s">
        <v>234</v>
      </c>
      <c r="J235" s="8" t="s">
        <v>425</v>
      </c>
    </row>
    <row r="236" spans="1:10" hidden="1" x14ac:dyDescent="0.45">
      <c r="A236" t="s">
        <v>17</v>
      </c>
      <c r="B236" t="s">
        <v>17</v>
      </c>
      <c r="D236" t="str">
        <f>IF(A236='Quantity-logprob'!A236,".","N")</f>
        <v>.</v>
      </c>
      <c r="E236" t="str">
        <f t="shared" si="3"/>
        <v>.</v>
      </c>
      <c r="H236" s="8" t="s">
        <v>412</v>
      </c>
      <c r="I236" s="8" t="s">
        <v>413</v>
      </c>
      <c r="J236" s="8" t="s">
        <v>429</v>
      </c>
    </row>
    <row r="237" spans="1:10" hidden="1" x14ac:dyDescent="0.45">
      <c r="A237" t="s">
        <v>13</v>
      </c>
      <c r="B237" t="s">
        <v>13</v>
      </c>
      <c r="D237" t="str">
        <f>IF(A237='Quantity-logprob'!A237,".","N")</f>
        <v>.</v>
      </c>
      <c r="E237" t="str">
        <f t="shared" si="3"/>
        <v>.</v>
      </c>
      <c r="H237" s="8" t="s">
        <v>447</v>
      </c>
      <c r="I237" s="8" t="s">
        <v>448</v>
      </c>
      <c r="J237" s="8" t="s">
        <v>420</v>
      </c>
    </row>
    <row r="238" spans="1:10" hidden="1" x14ac:dyDescent="0.45">
      <c r="A238" t="s">
        <v>13</v>
      </c>
      <c r="B238" t="s">
        <v>13</v>
      </c>
      <c r="D238" t="str">
        <f>IF(A238='Quantity-logprob'!A238,".","N")</f>
        <v>.</v>
      </c>
      <c r="E238" t="str">
        <f t="shared" si="3"/>
        <v>.</v>
      </c>
      <c r="H238" s="8" t="s">
        <v>449</v>
      </c>
      <c r="I238" s="8" t="s">
        <v>450</v>
      </c>
      <c r="J238" s="8" t="s">
        <v>420</v>
      </c>
    </row>
    <row r="239" spans="1:10" hidden="1" x14ac:dyDescent="0.45">
      <c r="A239" t="s">
        <v>17</v>
      </c>
      <c r="B239" t="s">
        <v>17</v>
      </c>
      <c r="D239" t="str">
        <f>IF(A239='Quantity-logprob'!A239,".","N")</f>
        <v>.</v>
      </c>
      <c r="E239" t="str">
        <f t="shared" si="3"/>
        <v>.</v>
      </c>
      <c r="H239" s="8" t="s">
        <v>286</v>
      </c>
      <c r="I239" s="8" t="s">
        <v>287</v>
      </c>
      <c r="J239" s="8" t="s">
        <v>429</v>
      </c>
    </row>
    <row r="240" spans="1:10" hidden="1" x14ac:dyDescent="0.45">
      <c r="A240" t="s">
        <v>14</v>
      </c>
      <c r="B240" t="s">
        <v>14</v>
      </c>
      <c r="D240" t="str">
        <f>IF(A240='Quantity-logprob'!A240,".","N")</f>
        <v>.</v>
      </c>
      <c r="E240" t="str">
        <f t="shared" si="3"/>
        <v>.</v>
      </c>
      <c r="H240" s="8" t="s">
        <v>185</v>
      </c>
      <c r="I240" s="8" t="s">
        <v>186</v>
      </c>
      <c r="J240" s="8" t="s">
        <v>425</v>
      </c>
    </row>
    <row r="241" spans="1:10" hidden="1" x14ac:dyDescent="0.45">
      <c r="A241" t="s">
        <v>23</v>
      </c>
      <c r="B241" t="s">
        <v>23</v>
      </c>
      <c r="D241" t="str">
        <f>IF(A241='Quantity-logprob'!A241,".","N")</f>
        <v>.</v>
      </c>
      <c r="E241" t="str">
        <f t="shared" si="3"/>
        <v>.</v>
      </c>
      <c r="H241" s="8" t="s">
        <v>343</v>
      </c>
      <c r="I241" s="8" t="s">
        <v>344</v>
      </c>
      <c r="J241" s="8" t="s">
        <v>438</v>
      </c>
    </row>
    <row r="242" spans="1:10" hidden="1" x14ac:dyDescent="0.45">
      <c r="A242" t="s">
        <v>11</v>
      </c>
      <c r="B242" t="s">
        <v>11</v>
      </c>
      <c r="D242" t="str">
        <f>IF(A242='Quantity-logprob'!A242,".","N")</f>
        <v>.</v>
      </c>
      <c r="E242" t="str">
        <f t="shared" si="3"/>
        <v>.</v>
      </c>
      <c r="H242" s="8" t="s">
        <v>236</v>
      </c>
      <c r="I242" s="8" t="s">
        <v>237</v>
      </c>
      <c r="J242" s="8" t="s">
        <v>422</v>
      </c>
    </row>
    <row r="243" spans="1:10" hidden="1" x14ac:dyDescent="0.45">
      <c r="A243" t="s">
        <v>14</v>
      </c>
      <c r="B243" t="s">
        <v>14</v>
      </c>
      <c r="D243" t="str">
        <f>IF(A243='Quantity-logprob'!A243,".","N")</f>
        <v>.</v>
      </c>
      <c r="E243" t="str">
        <f t="shared" si="3"/>
        <v>.</v>
      </c>
      <c r="H243" s="8" t="s">
        <v>122</v>
      </c>
      <c r="I243" s="8" t="s">
        <v>123</v>
      </c>
      <c r="J243" s="8" t="s">
        <v>425</v>
      </c>
    </row>
    <row r="244" spans="1:10" hidden="1" x14ac:dyDescent="0.45">
      <c r="A244" t="s">
        <v>11</v>
      </c>
      <c r="B244" t="s">
        <v>11</v>
      </c>
      <c r="D244" t="str">
        <f>IF(A244='Quantity-logprob'!A244,".","N")</f>
        <v>.</v>
      </c>
      <c r="E244" t="str">
        <f t="shared" si="3"/>
        <v>.</v>
      </c>
      <c r="H244" s="8" t="s">
        <v>451</v>
      </c>
      <c r="I244" s="8" t="s">
        <v>237</v>
      </c>
      <c r="J244" s="8" t="s">
        <v>422</v>
      </c>
    </row>
    <row r="245" spans="1:10" hidden="1" x14ac:dyDescent="0.45">
      <c r="A245" t="s">
        <v>15</v>
      </c>
      <c r="B245" t="s">
        <v>15</v>
      </c>
      <c r="D245" t="str">
        <f>IF(A245='Quantity-logprob'!A245,".","N")</f>
        <v>.</v>
      </c>
      <c r="E245" t="str">
        <f t="shared" si="3"/>
        <v>.</v>
      </c>
      <c r="H245" s="8" t="s">
        <v>201</v>
      </c>
      <c r="I245" s="8" t="s">
        <v>202</v>
      </c>
      <c r="J245" s="8" t="s">
        <v>426</v>
      </c>
    </row>
    <row r="246" spans="1:10" hidden="1" x14ac:dyDescent="0.45">
      <c r="A246" t="s">
        <v>13</v>
      </c>
      <c r="B246" t="s">
        <v>13</v>
      </c>
      <c r="D246" t="str">
        <f>IF(A246='Quantity-logprob'!A246,".","N")</f>
        <v>.</v>
      </c>
      <c r="E246" t="str">
        <f t="shared" si="3"/>
        <v>.</v>
      </c>
      <c r="H246" s="8" t="s">
        <v>452</v>
      </c>
      <c r="I246" s="8" t="s">
        <v>453</v>
      </c>
      <c r="J246" s="8" t="s">
        <v>420</v>
      </c>
    </row>
    <row r="247" spans="1:10" hidden="1" x14ac:dyDescent="0.45">
      <c r="A247" t="s">
        <v>15</v>
      </c>
      <c r="B247" t="s">
        <v>15</v>
      </c>
      <c r="D247" t="str">
        <f>IF(A247='Quantity-logprob'!A247,".","N")</f>
        <v>.</v>
      </c>
      <c r="E247" t="str">
        <f t="shared" si="3"/>
        <v>.</v>
      </c>
      <c r="H247" s="8" t="s">
        <v>197</v>
      </c>
      <c r="I247" s="8" t="s">
        <v>198</v>
      </c>
      <c r="J247" s="8" t="s">
        <v>426</v>
      </c>
    </row>
    <row r="248" spans="1:10" hidden="1" x14ac:dyDescent="0.45">
      <c r="A248" t="s">
        <v>17</v>
      </c>
      <c r="B248" t="s">
        <v>17</v>
      </c>
      <c r="D248" t="str">
        <f>IF(A248='Quantity-logprob'!A248,".","N")</f>
        <v>.</v>
      </c>
      <c r="E248" t="str">
        <f t="shared" si="3"/>
        <v>.</v>
      </c>
      <c r="H248" s="8" t="s">
        <v>454</v>
      </c>
      <c r="I248" s="8" t="s">
        <v>455</v>
      </c>
      <c r="J248" s="8" t="s">
        <v>429</v>
      </c>
    </row>
    <row r="249" spans="1:10" hidden="1" x14ac:dyDescent="0.45">
      <c r="A249" t="s">
        <v>13</v>
      </c>
      <c r="B249" t="s">
        <v>13</v>
      </c>
      <c r="D249" t="str">
        <f>IF(A249='Quantity-logprob'!A249,".","N")</f>
        <v>.</v>
      </c>
      <c r="E249" t="str">
        <f t="shared" si="3"/>
        <v>.</v>
      </c>
      <c r="H249" s="8" t="s">
        <v>263</v>
      </c>
      <c r="I249" s="8" t="s">
        <v>264</v>
      </c>
      <c r="J249" s="8" t="s">
        <v>420</v>
      </c>
    </row>
    <row r="250" spans="1:10" hidden="1" x14ac:dyDescent="0.45">
      <c r="A250" t="s">
        <v>13</v>
      </c>
      <c r="B250" t="s">
        <v>13</v>
      </c>
      <c r="D250" t="str">
        <f>IF(A250='Quantity-logprob'!A250,".","N")</f>
        <v>.</v>
      </c>
      <c r="E250" t="str">
        <f t="shared" si="3"/>
        <v>.</v>
      </c>
      <c r="H250" s="8" t="s">
        <v>120</v>
      </c>
      <c r="I250" s="8" t="s">
        <v>121</v>
      </c>
      <c r="J250" s="8" t="s">
        <v>420</v>
      </c>
    </row>
    <row r="251" spans="1:10" hidden="1" x14ac:dyDescent="0.45">
      <c r="A251" t="s">
        <v>13</v>
      </c>
      <c r="B251" t="s">
        <v>13</v>
      </c>
      <c r="D251" t="str">
        <f>IF(A251='Quantity-logprob'!A251,".","N")</f>
        <v>.</v>
      </c>
      <c r="E251" t="str">
        <f t="shared" si="3"/>
        <v>.</v>
      </c>
      <c r="H251" s="8" t="s">
        <v>414</v>
      </c>
      <c r="I251" s="8" t="s">
        <v>99</v>
      </c>
      <c r="J251" s="8" t="s">
        <v>420</v>
      </c>
    </row>
    <row r="252" spans="1:10" hidden="1" x14ac:dyDescent="0.45">
      <c r="A252" t="s">
        <v>13</v>
      </c>
      <c r="B252" t="s">
        <v>13</v>
      </c>
      <c r="D252" t="str">
        <f>IF(A252='Quantity-logprob'!A252,".","N")</f>
        <v>.</v>
      </c>
      <c r="E252" t="str">
        <f t="shared" si="3"/>
        <v>.</v>
      </c>
      <c r="H252" s="8" t="s">
        <v>456</v>
      </c>
      <c r="I252" s="8" t="s">
        <v>457</v>
      </c>
      <c r="J252" s="10" t="s">
        <v>420</v>
      </c>
    </row>
    <row r="253" spans="1:10" hidden="1" x14ac:dyDescent="0.45">
      <c r="A253" t="s">
        <v>13</v>
      </c>
      <c r="B253" t="s">
        <v>13</v>
      </c>
      <c r="D253" t="str">
        <f>IF(A253='Quantity-logprob'!A253,".","N")</f>
        <v>.</v>
      </c>
      <c r="E253" t="str">
        <f t="shared" si="3"/>
        <v>.</v>
      </c>
      <c r="H253" s="8" t="s">
        <v>357</v>
      </c>
      <c r="I253" s="8" t="s">
        <v>358</v>
      </c>
      <c r="J253" s="8" t="s">
        <v>420</v>
      </c>
    </row>
    <row r="254" spans="1:10" hidden="1" x14ac:dyDescent="0.45">
      <c r="A254" t="s">
        <v>19</v>
      </c>
      <c r="B254" t="s">
        <v>7</v>
      </c>
      <c r="D254" t="str">
        <f>IF(A254='Quantity-logprob'!A254,".","N")</f>
        <v>.</v>
      </c>
      <c r="E254" t="str">
        <f t="shared" si="3"/>
        <v>N</v>
      </c>
      <c r="H254" s="8" t="s">
        <v>204</v>
      </c>
      <c r="I254" s="8" t="s">
        <v>205</v>
      </c>
      <c r="J254" s="8" t="s">
        <v>432</v>
      </c>
    </row>
    <row r="255" spans="1:10" hidden="1" x14ac:dyDescent="0.45">
      <c r="A255" t="s">
        <v>9</v>
      </c>
      <c r="B255" t="s">
        <v>13</v>
      </c>
      <c r="D255" t="str">
        <f>IF(A255='Quantity-logprob'!A255,".","N")</f>
        <v>.</v>
      </c>
      <c r="E255" t="str">
        <f t="shared" si="3"/>
        <v>N</v>
      </c>
      <c r="H255" s="8" t="s">
        <v>288</v>
      </c>
      <c r="I255" s="8" t="s">
        <v>289</v>
      </c>
      <c r="J255" s="8" t="s">
        <v>420</v>
      </c>
    </row>
    <row r="256" spans="1:10" hidden="1" x14ac:dyDescent="0.45">
      <c r="A256" t="s">
        <v>17</v>
      </c>
      <c r="B256" t="s">
        <v>17</v>
      </c>
      <c r="D256" t="str">
        <f>IF(A256='Quantity-logprob'!A256,".","N")</f>
        <v>.</v>
      </c>
      <c r="E256" t="str">
        <f t="shared" si="3"/>
        <v>.</v>
      </c>
      <c r="H256" s="8" t="s">
        <v>458</v>
      </c>
      <c r="I256" s="8" t="s">
        <v>459</v>
      </c>
      <c r="J256" s="8" t="s">
        <v>429</v>
      </c>
    </row>
    <row r="257" spans="1:10" hidden="1" x14ac:dyDescent="0.45">
      <c r="A257" t="s">
        <v>5</v>
      </c>
      <c r="B257" t="s">
        <v>5</v>
      </c>
      <c r="D257" t="str">
        <f>IF(A257='Quantity-logprob'!A257,".","N")</f>
        <v>.</v>
      </c>
      <c r="E257" t="str">
        <f t="shared" si="3"/>
        <v>.</v>
      </c>
      <c r="H257" s="8" t="s">
        <v>247</v>
      </c>
      <c r="I257" s="8" t="s">
        <v>248</v>
      </c>
      <c r="J257" s="8" t="s">
        <v>416</v>
      </c>
    </row>
    <row r="258" spans="1:10" hidden="1" x14ac:dyDescent="0.45">
      <c r="A258" t="s">
        <v>14</v>
      </c>
      <c r="B258" t="s">
        <v>14</v>
      </c>
      <c r="D258" t="str">
        <f>IF(A258='Quantity-logprob'!A258,".","N")</f>
        <v>.</v>
      </c>
      <c r="E258" t="str">
        <f t="shared" si="3"/>
        <v>.</v>
      </c>
      <c r="H258" s="8" t="s">
        <v>410</v>
      </c>
      <c r="I258" s="8" t="s">
        <v>411</v>
      </c>
      <c r="J258" s="8" t="s">
        <v>425</v>
      </c>
    </row>
    <row r="259" spans="1:10" hidden="1" x14ac:dyDescent="0.45">
      <c r="A259" t="s">
        <v>13</v>
      </c>
      <c r="B259" t="s">
        <v>13</v>
      </c>
      <c r="D259" t="str">
        <f>IF(A259='Quantity-logprob'!A259,".","N")</f>
        <v>.</v>
      </c>
      <c r="E259" t="str">
        <f t="shared" ref="E259:E322" si="4">IF(A259=B259,".","N")</f>
        <v>.</v>
      </c>
      <c r="H259" s="8" t="s">
        <v>389</v>
      </c>
      <c r="I259" s="8" t="s">
        <v>390</v>
      </c>
      <c r="J259" s="8" t="s">
        <v>420</v>
      </c>
    </row>
    <row r="260" spans="1:10" hidden="1" x14ac:dyDescent="0.45">
      <c r="A260" t="s">
        <v>22</v>
      </c>
      <c r="B260" t="s">
        <v>22</v>
      </c>
      <c r="D260" t="str">
        <f>IF(A260='Quantity-logprob'!A260,".","N")</f>
        <v>.</v>
      </c>
      <c r="E260" t="str">
        <f t="shared" si="4"/>
        <v>.</v>
      </c>
      <c r="H260" s="8" t="s">
        <v>277</v>
      </c>
      <c r="I260" s="8" t="s">
        <v>278</v>
      </c>
      <c r="J260" s="8" t="s">
        <v>437</v>
      </c>
    </row>
    <row r="261" spans="1:10" hidden="1" x14ac:dyDescent="0.45">
      <c r="A261" t="s">
        <v>16</v>
      </c>
      <c r="B261" t="s">
        <v>16</v>
      </c>
      <c r="D261" t="str">
        <f>IF(A261='Quantity-logprob'!A261,".","N")</f>
        <v>.</v>
      </c>
      <c r="E261" t="str">
        <f t="shared" si="4"/>
        <v>.</v>
      </c>
      <c r="H261" s="8" t="s">
        <v>133</v>
      </c>
      <c r="I261" s="8" t="s">
        <v>134</v>
      </c>
      <c r="J261" s="8" t="s">
        <v>428</v>
      </c>
    </row>
    <row r="262" spans="1:10" hidden="1" x14ac:dyDescent="0.45">
      <c r="A262" t="s">
        <v>13</v>
      </c>
      <c r="B262" t="s">
        <v>13</v>
      </c>
      <c r="D262" t="str">
        <f>IF(A262='Quantity-logprob'!A262,".","N")</f>
        <v>.</v>
      </c>
      <c r="E262" t="str">
        <f t="shared" si="4"/>
        <v>.</v>
      </c>
      <c r="H262" s="8" t="s">
        <v>460</v>
      </c>
      <c r="I262" s="8" t="s">
        <v>461</v>
      </c>
      <c r="J262" s="8" t="s">
        <v>420</v>
      </c>
    </row>
    <row r="263" spans="1:10" hidden="1" x14ac:dyDescent="0.45">
      <c r="A263" t="s">
        <v>12</v>
      </c>
      <c r="B263" t="s">
        <v>12</v>
      </c>
      <c r="D263" t="str">
        <f>IF(A263='Quantity-logprob'!A263,".","N")</f>
        <v>.</v>
      </c>
      <c r="E263" t="str">
        <f t="shared" si="4"/>
        <v>.</v>
      </c>
      <c r="H263" s="8" t="s">
        <v>165</v>
      </c>
      <c r="I263" s="8" t="s">
        <v>166</v>
      </c>
      <c r="J263" s="8" t="s">
        <v>424</v>
      </c>
    </row>
    <row r="264" spans="1:10" hidden="1" x14ac:dyDescent="0.45">
      <c r="A264" t="s">
        <v>17</v>
      </c>
      <c r="B264" t="s">
        <v>17</v>
      </c>
      <c r="D264" t="str">
        <f>IF(A264='Quantity-logprob'!A264,".","N")</f>
        <v>.</v>
      </c>
      <c r="E264" t="str">
        <f t="shared" si="4"/>
        <v>.</v>
      </c>
      <c r="H264" s="8" t="s">
        <v>325</v>
      </c>
      <c r="I264" s="8" t="s">
        <v>321</v>
      </c>
      <c r="J264" s="8" t="s">
        <v>429</v>
      </c>
    </row>
    <row r="265" spans="1:10" hidden="1" x14ac:dyDescent="0.45">
      <c r="A265" t="s">
        <v>8</v>
      </c>
      <c r="B265" t="s">
        <v>8</v>
      </c>
      <c r="D265" t="str">
        <f>IF(A265='Quantity-logprob'!A265,".","N")</f>
        <v>.</v>
      </c>
      <c r="E265" t="str">
        <f t="shared" si="4"/>
        <v>.</v>
      </c>
      <c r="H265" s="8" t="s">
        <v>316</v>
      </c>
      <c r="I265" s="8" t="s">
        <v>317</v>
      </c>
      <c r="J265" s="8" t="s">
        <v>427</v>
      </c>
    </row>
    <row r="266" spans="1:10" hidden="1" x14ac:dyDescent="0.45">
      <c r="A266" t="s">
        <v>20</v>
      </c>
      <c r="B266" t="s">
        <v>20</v>
      </c>
      <c r="D266" t="str">
        <f>IF(A266='Quantity-logprob'!A266,".","N")</f>
        <v>.</v>
      </c>
      <c r="E266" t="str">
        <f t="shared" si="4"/>
        <v>.</v>
      </c>
      <c r="H266" s="8" t="s">
        <v>206</v>
      </c>
      <c r="I266" s="8" t="s">
        <v>207</v>
      </c>
      <c r="J266" s="8" t="s">
        <v>433</v>
      </c>
    </row>
    <row r="267" spans="1:10" hidden="1" x14ac:dyDescent="0.45">
      <c r="A267" t="s">
        <v>14</v>
      </c>
      <c r="B267" t="s">
        <v>14</v>
      </c>
      <c r="D267" t="str">
        <f>IF(A267='Quantity-logprob'!A267,".","N")</f>
        <v>.</v>
      </c>
      <c r="E267" t="str">
        <f t="shared" si="4"/>
        <v>.</v>
      </c>
      <c r="H267" s="8" t="s">
        <v>375</v>
      </c>
      <c r="I267" s="8" t="s">
        <v>376</v>
      </c>
      <c r="J267" s="8" t="s">
        <v>425</v>
      </c>
    </row>
    <row r="268" spans="1:10" hidden="1" x14ac:dyDescent="0.45">
      <c r="A268" t="s">
        <v>15</v>
      </c>
      <c r="B268" t="s">
        <v>15</v>
      </c>
      <c r="D268" t="str">
        <f>IF(A268='Quantity-logprob'!A268,".","N")</f>
        <v>N</v>
      </c>
      <c r="E268" t="str">
        <f t="shared" si="4"/>
        <v>.</v>
      </c>
      <c r="H268" s="8" t="s">
        <v>129</v>
      </c>
      <c r="I268" s="8" t="s">
        <v>130</v>
      </c>
      <c r="J268" s="8" t="s">
        <v>426</v>
      </c>
    </row>
    <row r="269" spans="1:10" hidden="1" x14ac:dyDescent="0.45">
      <c r="A269" t="s">
        <v>7</v>
      </c>
      <c r="B269" t="s">
        <v>7</v>
      </c>
      <c r="D269" t="str">
        <f>IF(A269='Quantity-logprob'!A269,".","N")</f>
        <v>.</v>
      </c>
      <c r="E269" t="str">
        <f t="shared" si="4"/>
        <v>.</v>
      </c>
      <c r="H269" s="8" t="s">
        <v>462</v>
      </c>
      <c r="I269" s="8" t="s">
        <v>99</v>
      </c>
      <c r="J269" s="8" t="s">
        <v>418</v>
      </c>
    </row>
    <row r="270" spans="1:10" hidden="1" x14ac:dyDescent="0.45">
      <c r="A270" t="s">
        <v>13</v>
      </c>
      <c r="B270" t="s">
        <v>13</v>
      </c>
      <c r="D270" t="str">
        <f>IF(A270='Quantity-logprob'!A270,".","N")</f>
        <v>.</v>
      </c>
      <c r="E270" t="str">
        <f t="shared" si="4"/>
        <v>.</v>
      </c>
      <c r="H270" s="8" t="s">
        <v>313</v>
      </c>
      <c r="I270" s="8" t="s">
        <v>99</v>
      </c>
      <c r="J270" s="8" t="s">
        <v>420</v>
      </c>
    </row>
    <row r="271" spans="1:10" hidden="1" x14ac:dyDescent="0.45">
      <c r="A271" t="s">
        <v>6</v>
      </c>
      <c r="B271" t="s">
        <v>6</v>
      </c>
      <c r="D271" t="str">
        <f>IF(A271='Quantity-logprob'!A271,".","N")</f>
        <v>.</v>
      </c>
      <c r="E271" t="str">
        <f t="shared" si="4"/>
        <v>.</v>
      </c>
      <c r="H271" s="8" t="s">
        <v>145</v>
      </c>
      <c r="I271" s="8" t="s">
        <v>146</v>
      </c>
      <c r="J271" s="8" t="s">
        <v>417</v>
      </c>
    </row>
    <row r="272" spans="1:10" hidden="1" x14ac:dyDescent="0.45">
      <c r="A272" t="s">
        <v>8</v>
      </c>
      <c r="B272" t="s">
        <v>8</v>
      </c>
      <c r="D272" t="str">
        <f>IF(A272='Quantity-logprob'!A272,".","N")</f>
        <v>.</v>
      </c>
      <c r="E272" t="str">
        <f t="shared" si="4"/>
        <v>.</v>
      </c>
      <c r="H272" s="8" t="s">
        <v>211</v>
      </c>
      <c r="I272" s="8" t="s">
        <v>212</v>
      </c>
      <c r="J272" s="8" t="s">
        <v>427</v>
      </c>
    </row>
    <row r="273" spans="1:10" hidden="1" x14ac:dyDescent="0.45">
      <c r="A273" t="s">
        <v>15</v>
      </c>
      <c r="B273" t="s">
        <v>15</v>
      </c>
      <c r="D273" t="str">
        <f>IF(A273='Quantity-logprob'!A273,".","N")</f>
        <v>.</v>
      </c>
      <c r="E273" t="str">
        <f t="shared" si="4"/>
        <v>.</v>
      </c>
      <c r="H273" s="8" t="s">
        <v>377</v>
      </c>
      <c r="I273" s="8" t="s">
        <v>378</v>
      </c>
      <c r="J273" s="8" t="s">
        <v>426</v>
      </c>
    </row>
    <row r="274" spans="1:10" hidden="1" x14ac:dyDescent="0.45">
      <c r="A274" t="s">
        <v>17</v>
      </c>
      <c r="B274" t="s">
        <v>17</v>
      </c>
      <c r="D274" t="str">
        <f>IF(A274='Quantity-logprob'!A274,".","N")</f>
        <v>.</v>
      </c>
      <c r="E274" t="str">
        <f t="shared" si="4"/>
        <v>.</v>
      </c>
      <c r="H274" s="8" t="s">
        <v>391</v>
      </c>
      <c r="I274" s="8" t="s">
        <v>392</v>
      </c>
      <c r="J274" s="8" t="s">
        <v>429</v>
      </c>
    </row>
    <row r="275" spans="1:10" hidden="1" x14ac:dyDescent="0.45">
      <c r="A275" t="s">
        <v>16</v>
      </c>
      <c r="B275" t="s">
        <v>16</v>
      </c>
      <c r="D275" t="str">
        <f>IF(A275='Quantity-logprob'!A275,".","N")</f>
        <v>.</v>
      </c>
      <c r="E275" t="str">
        <f t="shared" si="4"/>
        <v>.</v>
      </c>
      <c r="H275" s="8" t="s">
        <v>172</v>
      </c>
      <c r="I275" s="8" t="s">
        <v>173</v>
      </c>
      <c r="J275" s="8" t="s">
        <v>428</v>
      </c>
    </row>
    <row r="276" spans="1:10" hidden="1" x14ac:dyDescent="0.45">
      <c r="A276" t="s">
        <v>13</v>
      </c>
      <c r="B276" t="s">
        <v>13</v>
      </c>
      <c r="D276" t="str">
        <f>IF(A276='Quantity-logprob'!A276,".","N")</f>
        <v>.</v>
      </c>
      <c r="E276" t="str">
        <f t="shared" si="4"/>
        <v>.</v>
      </c>
      <c r="H276" s="8" t="s">
        <v>312</v>
      </c>
      <c r="I276" s="8" t="s">
        <v>99</v>
      </c>
      <c r="J276" s="8" t="s">
        <v>420</v>
      </c>
    </row>
    <row r="277" spans="1:10" hidden="1" x14ac:dyDescent="0.45">
      <c r="A277" t="s">
        <v>23</v>
      </c>
      <c r="B277" t="s">
        <v>23</v>
      </c>
      <c r="D277" t="str">
        <f>IF(A277='Quantity-logprob'!A277,".","N")</f>
        <v>.</v>
      </c>
      <c r="E277" t="str">
        <f t="shared" si="4"/>
        <v>.</v>
      </c>
      <c r="H277" s="8" t="s">
        <v>400</v>
      </c>
      <c r="I277" s="8" t="s">
        <v>401</v>
      </c>
      <c r="J277" s="8" t="s">
        <v>438</v>
      </c>
    </row>
    <row r="278" spans="1:10" hidden="1" x14ac:dyDescent="0.45">
      <c r="A278" t="s">
        <v>21</v>
      </c>
      <c r="B278" t="s">
        <v>21</v>
      </c>
      <c r="D278" t="str">
        <f>IF(A278='Quantity-logprob'!A278,".","N")</f>
        <v>.</v>
      </c>
      <c r="E278" t="str">
        <f t="shared" si="4"/>
        <v>.</v>
      </c>
      <c r="H278" s="8" t="s">
        <v>217</v>
      </c>
      <c r="I278" s="8" t="s">
        <v>218</v>
      </c>
      <c r="J278" s="8" t="s">
        <v>434</v>
      </c>
    </row>
    <row r="279" spans="1:10" x14ac:dyDescent="0.45">
      <c r="A279" t="s">
        <v>10</v>
      </c>
      <c r="B279" t="s">
        <v>532</v>
      </c>
      <c r="D279" t="str">
        <f>IF(A279='Quantity-logprob'!A279,".","N")</f>
        <v>.</v>
      </c>
      <c r="E279" t="str">
        <f t="shared" si="4"/>
        <v>N</v>
      </c>
      <c r="F279" s="8" t="s">
        <v>515</v>
      </c>
      <c r="H279" s="8" t="s">
        <v>118</v>
      </c>
      <c r="I279" s="8" t="s">
        <v>119</v>
      </c>
      <c r="J279" s="8" t="s">
        <v>421</v>
      </c>
    </row>
    <row r="280" spans="1:10" hidden="1" x14ac:dyDescent="0.45">
      <c r="A280" t="s">
        <v>13</v>
      </c>
      <c r="B280" t="s">
        <v>13</v>
      </c>
      <c r="D280" t="str">
        <f>IF(A280='Quantity-logprob'!A280,".","N")</f>
        <v>.</v>
      </c>
      <c r="E280" t="str">
        <f t="shared" si="4"/>
        <v>.</v>
      </c>
      <c r="H280" s="8" t="s">
        <v>154</v>
      </c>
      <c r="I280" s="8" t="s">
        <v>99</v>
      </c>
      <c r="J280" s="8" t="s">
        <v>420</v>
      </c>
    </row>
    <row r="281" spans="1:10" hidden="1" x14ac:dyDescent="0.45">
      <c r="A281" t="s">
        <v>23</v>
      </c>
      <c r="B281" t="s">
        <v>23</v>
      </c>
      <c r="D281" t="str">
        <f>IF(A281='Quantity-logprob'!A281,".","N")</f>
        <v>.</v>
      </c>
      <c r="E281" t="str">
        <f t="shared" si="4"/>
        <v>.</v>
      </c>
      <c r="H281" s="8" t="s">
        <v>294</v>
      </c>
      <c r="I281" s="8" t="s">
        <v>295</v>
      </c>
      <c r="J281" s="8" t="s">
        <v>438</v>
      </c>
    </row>
    <row r="282" spans="1:10" hidden="1" x14ac:dyDescent="0.45">
      <c r="A282" t="s">
        <v>7</v>
      </c>
      <c r="B282" t="s">
        <v>7</v>
      </c>
      <c r="D282" t="str">
        <f>IF(A282='Quantity-logprob'!A282,".","N")</f>
        <v>.</v>
      </c>
      <c r="E282" t="str">
        <f t="shared" si="4"/>
        <v>.</v>
      </c>
      <c r="H282" s="8" t="s">
        <v>463</v>
      </c>
      <c r="I282" s="8" t="s">
        <v>464</v>
      </c>
      <c r="J282" s="8" t="s">
        <v>436</v>
      </c>
    </row>
    <row r="283" spans="1:10" hidden="1" x14ac:dyDescent="0.45">
      <c r="A283" t="s">
        <v>15</v>
      </c>
      <c r="B283" t="s">
        <v>15</v>
      </c>
      <c r="D283" t="str">
        <f>IF(A283='Quantity-logprob'!A283,".","N")</f>
        <v>.</v>
      </c>
      <c r="E283" t="str">
        <f t="shared" si="4"/>
        <v>.</v>
      </c>
      <c r="H283" s="8" t="s">
        <v>182</v>
      </c>
      <c r="I283" s="8" t="s">
        <v>99</v>
      </c>
      <c r="J283" s="8" t="s">
        <v>426</v>
      </c>
    </row>
    <row r="284" spans="1:10" hidden="1" x14ac:dyDescent="0.45">
      <c r="A284" t="s">
        <v>21</v>
      </c>
      <c r="B284" t="s">
        <v>21</v>
      </c>
      <c r="D284" t="str">
        <f>IF(A284='Quantity-logprob'!A284,".","N")</f>
        <v>.</v>
      </c>
      <c r="E284" t="str">
        <f t="shared" si="4"/>
        <v>.</v>
      </c>
      <c r="H284" s="8" t="s">
        <v>350</v>
      </c>
      <c r="I284" s="8" t="s">
        <v>351</v>
      </c>
      <c r="J284" s="8" t="s">
        <v>434</v>
      </c>
    </row>
    <row r="285" spans="1:10" hidden="1" x14ac:dyDescent="0.45">
      <c r="A285" t="s">
        <v>14</v>
      </c>
      <c r="B285" t="s">
        <v>14</v>
      </c>
      <c r="D285" t="str">
        <f>IF(A285='Quantity-logprob'!A285,".","N")</f>
        <v>.</v>
      </c>
      <c r="E285" t="str">
        <f t="shared" si="4"/>
        <v>.</v>
      </c>
      <c r="H285" s="8" t="s">
        <v>386</v>
      </c>
      <c r="I285" s="8" t="s">
        <v>387</v>
      </c>
      <c r="J285" s="8" t="s">
        <v>425</v>
      </c>
    </row>
    <row r="286" spans="1:10" x14ac:dyDescent="0.45">
      <c r="A286" t="s">
        <v>10</v>
      </c>
      <c r="B286" t="s">
        <v>535</v>
      </c>
      <c r="D286" t="str">
        <f>IF(A286='Quantity-logprob'!A286,".","N")</f>
        <v>.</v>
      </c>
      <c r="E286" t="str">
        <f t="shared" si="4"/>
        <v>N</v>
      </c>
      <c r="F286" s="8" t="s">
        <v>515</v>
      </c>
      <c r="H286" s="8" t="s">
        <v>303</v>
      </c>
      <c r="I286" s="8" t="s">
        <v>304</v>
      </c>
      <c r="J286" s="8" t="s">
        <v>421</v>
      </c>
    </row>
    <row r="287" spans="1:10" hidden="1" x14ac:dyDescent="0.45">
      <c r="A287" t="s">
        <v>5</v>
      </c>
      <c r="B287" t="s">
        <v>5</v>
      </c>
      <c r="D287" t="str">
        <f>IF(A287='Quantity-logprob'!A287,".","N")</f>
        <v>.</v>
      </c>
      <c r="E287" t="str">
        <f t="shared" si="4"/>
        <v>.</v>
      </c>
      <c r="H287" s="8" t="s">
        <v>329</v>
      </c>
      <c r="I287" s="8" t="s">
        <v>330</v>
      </c>
      <c r="J287" s="8" t="s">
        <v>423</v>
      </c>
    </row>
    <row r="288" spans="1:10" hidden="1" x14ac:dyDescent="0.45">
      <c r="A288" t="s">
        <v>7</v>
      </c>
      <c r="B288" t="s">
        <v>7</v>
      </c>
      <c r="D288" t="str">
        <f>IF(A288='Quantity-logprob'!A288,".","N")</f>
        <v>.</v>
      </c>
      <c r="E288" t="str">
        <f t="shared" si="4"/>
        <v>.</v>
      </c>
      <c r="H288" s="8" t="s">
        <v>187</v>
      </c>
      <c r="I288" s="8" t="s">
        <v>99</v>
      </c>
      <c r="J288" s="8" t="s">
        <v>431</v>
      </c>
    </row>
    <row r="289" spans="1:10" hidden="1" x14ac:dyDescent="0.45">
      <c r="A289" t="s">
        <v>7</v>
      </c>
      <c r="B289" t="s">
        <v>7</v>
      </c>
      <c r="D289" t="str">
        <f>IF(A289='Quantity-logprob'!A289,".","N")</f>
        <v>.</v>
      </c>
      <c r="E289" t="str">
        <f t="shared" si="4"/>
        <v>.</v>
      </c>
      <c r="H289" s="8" t="s">
        <v>199</v>
      </c>
      <c r="I289" s="8" t="s">
        <v>200</v>
      </c>
      <c r="J289" s="8" t="s">
        <v>418</v>
      </c>
    </row>
    <row r="290" spans="1:10" hidden="1" x14ac:dyDescent="0.45">
      <c r="A290" t="s">
        <v>12</v>
      </c>
      <c r="B290" t="s">
        <v>12</v>
      </c>
      <c r="D290" t="str">
        <f>IF(A290='Quantity-logprob'!A290,".","N")</f>
        <v>.</v>
      </c>
      <c r="E290" t="str">
        <f t="shared" si="4"/>
        <v>.</v>
      </c>
      <c r="H290" s="8" t="s">
        <v>370</v>
      </c>
      <c r="I290" s="8" t="s">
        <v>371</v>
      </c>
      <c r="J290" s="8" t="s">
        <v>424</v>
      </c>
    </row>
    <row r="291" spans="1:10" hidden="1" x14ac:dyDescent="0.45">
      <c r="A291" t="s">
        <v>5</v>
      </c>
      <c r="B291" t="s">
        <v>5</v>
      </c>
      <c r="D291" t="str">
        <f>IF(A291='Quantity-logprob'!A291,".","N")</f>
        <v>.</v>
      </c>
      <c r="E291" t="str">
        <f t="shared" si="4"/>
        <v>.</v>
      </c>
      <c r="H291" s="8" t="s">
        <v>323</v>
      </c>
      <c r="I291" s="8" t="s">
        <v>324</v>
      </c>
      <c r="J291" s="8" t="s">
        <v>416</v>
      </c>
    </row>
    <row r="292" spans="1:10" hidden="1" x14ac:dyDescent="0.45">
      <c r="A292" t="s">
        <v>5</v>
      </c>
      <c r="B292" t="s">
        <v>5</v>
      </c>
      <c r="D292" t="str">
        <f>IF(A292='Quantity-logprob'!A292,".","N")</f>
        <v>.</v>
      </c>
      <c r="E292" t="str">
        <f t="shared" si="4"/>
        <v>.</v>
      </c>
      <c r="H292" s="8" t="s">
        <v>152</v>
      </c>
      <c r="I292" s="8" t="s">
        <v>153</v>
      </c>
      <c r="J292" s="8" t="s">
        <v>423</v>
      </c>
    </row>
    <row r="293" spans="1:10" hidden="1" x14ac:dyDescent="0.45">
      <c r="A293" t="s">
        <v>13</v>
      </c>
      <c r="B293" t="s">
        <v>13</v>
      </c>
      <c r="D293" t="str">
        <f>IF(A293='Quantity-logprob'!A293,".","N")</f>
        <v>.</v>
      </c>
      <c r="E293" t="str">
        <f t="shared" si="4"/>
        <v>.</v>
      </c>
      <c r="H293" s="8" t="s">
        <v>465</v>
      </c>
      <c r="I293" s="8" t="s">
        <v>466</v>
      </c>
      <c r="J293" s="8" t="s">
        <v>420</v>
      </c>
    </row>
    <row r="294" spans="1:10" hidden="1" x14ac:dyDescent="0.45">
      <c r="A294" t="s">
        <v>19</v>
      </c>
      <c r="B294" t="s">
        <v>8</v>
      </c>
      <c r="D294" t="str">
        <f>IF(A294='Quantity-logprob'!A294,".","N")</f>
        <v>.</v>
      </c>
      <c r="E294" t="str">
        <f t="shared" si="4"/>
        <v>N</v>
      </c>
      <c r="H294" s="8" t="s">
        <v>467</v>
      </c>
      <c r="I294" s="8" t="s">
        <v>468</v>
      </c>
      <c r="J294" s="8" t="s">
        <v>432</v>
      </c>
    </row>
    <row r="295" spans="1:10" hidden="1" x14ac:dyDescent="0.45">
      <c r="A295" t="s">
        <v>12</v>
      </c>
      <c r="B295" t="s">
        <v>12</v>
      </c>
      <c r="D295" t="str">
        <f>IF(A295='Quantity-logprob'!A295,".","N")</f>
        <v>.</v>
      </c>
      <c r="E295" t="str">
        <f t="shared" si="4"/>
        <v>.</v>
      </c>
      <c r="H295" s="8" t="s">
        <v>469</v>
      </c>
      <c r="I295" s="8" t="s">
        <v>99</v>
      </c>
      <c r="J295" s="8" t="s">
        <v>424</v>
      </c>
    </row>
    <row r="296" spans="1:10" hidden="1" x14ac:dyDescent="0.45">
      <c r="A296" t="s">
        <v>12</v>
      </c>
      <c r="B296" t="s">
        <v>12</v>
      </c>
      <c r="D296" t="str">
        <f>IF(A296='Quantity-logprob'!A296,".","N")</f>
        <v>.</v>
      </c>
      <c r="E296" t="str">
        <f t="shared" si="4"/>
        <v>.</v>
      </c>
      <c r="H296" s="8" t="s">
        <v>470</v>
      </c>
      <c r="I296" s="8" t="s">
        <v>99</v>
      </c>
      <c r="J296" s="8" t="s">
        <v>424</v>
      </c>
    </row>
    <row r="297" spans="1:10" hidden="1" x14ac:dyDescent="0.45">
      <c r="A297" t="s">
        <v>11</v>
      </c>
      <c r="B297" t="s">
        <v>11</v>
      </c>
      <c r="D297" t="str">
        <f>IF(A297='Quantity-logprob'!A297,".","N")</f>
        <v>.</v>
      </c>
      <c r="E297" t="str">
        <f t="shared" si="4"/>
        <v>.</v>
      </c>
      <c r="H297" s="8" t="s">
        <v>471</v>
      </c>
      <c r="I297" s="8" t="s">
        <v>99</v>
      </c>
      <c r="J297" s="8" t="s">
        <v>422</v>
      </c>
    </row>
    <row r="298" spans="1:10" hidden="1" x14ac:dyDescent="0.45">
      <c r="A298" t="s">
        <v>7</v>
      </c>
      <c r="B298" t="s">
        <v>7</v>
      </c>
      <c r="D298" t="str">
        <f>IF(A298='Quantity-logprob'!A298,".","N")</f>
        <v>.</v>
      </c>
      <c r="E298" t="str">
        <f t="shared" si="4"/>
        <v>.</v>
      </c>
      <c r="H298" s="8" t="s">
        <v>472</v>
      </c>
      <c r="I298" s="8" t="s">
        <v>99</v>
      </c>
      <c r="J298" s="8" t="s">
        <v>418</v>
      </c>
    </row>
    <row r="299" spans="1:10" hidden="1" x14ac:dyDescent="0.45">
      <c r="A299" t="s">
        <v>9</v>
      </c>
      <c r="B299" t="s">
        <v>13</v>
      </c>
      <c r="D299" t="str">
        <f>IF(A299='Quantity-logprob'!A299,".","N")</f>
        <v>.</v>
      </c>
      <c r="E299" t="str">
        <f t="shared" si="4"/>
        <v>N</v>
      </c>
      <c r="H299" s="8" t="s">
        <v>288</v>
      </c>
      <c r="I299" s="8" t="s">
        <v>289</v>
      </c>
      <c r="J299" s="8" t="s">
        <v>420</v>
      </c>
    </row>
    <row r="300" spans="1:10" hidden="1" x14ac:dyDescent="0.45">
      <c r="A300" t="s">
        <v>17</v>
      </c>
      <c r="B300" t="s">
        <v>17</v>
      </c>
      <c r="D300" t="str">
        <f>IF(A300='Quantity-logprob'!A300,".","N")</f>
        <v>.</v>
      </c>
      <c r="E300" t="str">
        <f t="shared" si="4"/>
        <v>.</v>
      </c>
      <c r="H300" s="8" t="s">
        <v>454</v>
      </c>
      <c r="I300" s="8" t="s">
        <v>455</v>
      </c>
      <c r="J300" s="8" t="s">
        <v>429</v>
      </c>
    </row>
    <row r="301" spans="1:10" hidden="1" x14ac:dyDescent="0.45">
      <c r="A301" t="s">
        <v>7</v>
      </c>
      <c r="B301" t="s">
        <v>7</v>
      </c>
      <c r="D301" t="str">
        <f>IF(A301='Quantity-logprob'!A301,".","N")</f>
        <v>.</v>
      </c>
      <c r="E301" t="str">
        <f t="shared" si="4"/>
        <v>.</v>
      </c>
      <c r="H301" s="8" t="s">
        <v>291</v>
      </c>
      <c r="I301" s="8" t="s">
        <v>292</v>
      </c>
      <c r="J301" s="8" t="s">
        <v>436</v>
      </c>
    </row>
    <row r="302" spans="1:10" hidden="1" x14ac:dyDescent="0.45">
      <c r="A302" t="s">
        <v>12</v>
      </c>
      <c r="B302" t="s">
        <v>12</v>
      </c>
      <c r="D302" t="str">
        <f>IF(A302='Quantity-logprob'!A302,".","N")</f>
        <v>.</v>
      </c>
      <c r="E302" t="str">
        <f t="shared" si="4"/>
        <v>.</v>
      </c>
      <c r="H302" s="8" t="s">
        <v>470</v>
      </c>
      <c r="I302" s="8" t="s">
        <v>99</v>
      </c>
      <c r="J302" s="8" t="s">
        <v>424</v>
      </c>
    </row>
    <row r="303" spans="1:10" hidden="1" x14ac:dyDescent="0.45">
      <c r="A303" t="s">
        <v>7</v>
      </c>
      <c r="B303" t="s">
        <v>7</v>
      </c>
      <c r="D303" t="str">
        <f>IF(A303='Quantity-logprob'!A303,".","N")</f>
        <v>.</v>
      </c>
      <c r="E303" t="str">
        <f t="shared" si="4"/>
        <v>.</v>
      </c>
      <c r="H303" s="8" t="s">
        <v>261</v>
      </c>
      <c r="I303" s="8" t="s">
        <v>262</v>
      </c>
      <c r="J303" s="8" t="s">
        <v>436</v>
      </c>
    </row>
    <row r="304" spans="1:10" x14ac:dyDescent="0.45">
      <c r="A304" t="s">
        <v>536</v>
      </c>
      <c r="B304" t="s">
        <v>533</v>
      </c>
      <c r="D304" t="str">
        <f>IF(A304='Quantity-logprob'!A304,".","N")</f>
        <v>N</v>
      </c>
      <c r="E304" t="str">
        <f t="shared" si="4"/>
        <v>N</v>
      </c>
      <c r="F304" s="8" t="s">
        <v>515</v>
      </c>
      <c r="H304" s="8" t="s">
        <v>398</v>
      </c>
      <c r="I304" s="8" t="s">
        <v>399</v>
      </c>
      <c r="J304" s="8" t="s">
        <v>433</v>
      </c>
    </row>
    <row r="305" spans="1:10" hidden="1" x14ac:dyDescent="0.45">
      <c r="A305" t="s">
        <v>15</v>
      </c>
      <c r="B305" t="s">
        <v>15</v>
      </c>
      <c r="D305" t="str">
        <f>IF(A305='Quantity-logprob'!A305,".","N")</f>
        <v>.</v>
      </c>
      <c r="E305" t="str">
        <f t="shared" si="4"/>
        <v>.</v>
      </c>
      <c r="H305" s="8" t="s">
        <v>377</v>
      </c>
      <c r="I305" s="8" t="s">
        <v>378</v>
      </c>
      <c r="J305" s="8" t="s">
        <v>426</v>
      </c>
    </row>
    <row r="306" spans="1:10" hidden="1" x14ac:dyDescent="0.45">
      <c r="A306" t="s">
        <v>19</v>
      </c>
      <c r="B306" t="s">
        <v>533</v>
      </c>
      <c r="D306" t="str">
        <f>IF(A306='Quantity-logprob'!A306,".","N")</f>
        <v>.</v>
      </c>
      <c r="E306" t="str">
        <f t="shared" si="4"/>
        <v>N</v>
      </c>
      <c r="H306" s="8" t="s">
        <v>473</v>
      </c>
      <c r="I306" s="8" t="s">
        <v>474</v>
      </c>
      <c r="J306" s="8" t="s">
        <v>497</v>
      </c>
    </row>
    <row r="307" spans="1:10" hidden="1" x14ac:dyDescent="0.45">
      <c r="A307" t="s">
        <v>13</v>
      </c>
      <c r="B307" t="s">
        <v>13</v>
      </c>
      <c r="D307" t="str">
        <f>IF(A307='Quantity-logprob'!A307,".","N")</f>
        <v>.</v>
      </c>
      <c r="E307" t="str">
        <f t="shared" si="4"/>
        <v>.</v>
      </c>
      <c r="H307" s="8" t="s">
        <v>159</v>
      </c>
      <c r="I307" s="8" t="s">
        <v>99</v>
      </c>
      <c r="J307" s="8" t="s">
        <v>420</v>
      </c>
    </row>
    <row r="308" spans="1:10" hidden="1" x14ac:dyDescent="0.45">
      <c r="A308" t="s">
        <v>19</v>
      </c>
      <c r="B308" t="s">
        <v>8</v>
      </c>
      <c r="D308" t="str">
        <f>IF(A308='Quantity-logprob'!A308,".","N")</f>
        <v>.</v>
      </c>
      <c r="E308" t="str">
        <f t="shared" si="4"/>
        <v>N</v>
      </c>
      <c r="H308" s="8" t="s">
        <v>467</v>
      </c>
      <c r="I308" s="8" t="s">
        <v>468</v>
      </c>
      <c r="J308" s="8" t="s">
        <v>432</v>
      </c>
    </row>
    <row r="309" spans="1:10" hidden="1" x14ac:dyDescent="0.45">
      <c r="A309" t="s">
        <v>13</v>
      </c>
      <c r="B309" t="s">
        <v>13</v>
      </c>
      <c r="D309" t="str">
        <f>IF(A309='Quantity-logprob'!A309,".","N")</f>
        <v>.</v>
      </c>
      <c r="E309" t="str">
        <f t="shared" si="4"/>
        <v>.</v>
      </c>
      <c r="H309" s="8" t="s">
        <v>271</v>
      </c>
      <c r="I309" s="8" t="s">
        <v>99</v>
      </c>
      <c r="J309" s="8" t="s">
        <v>420</v>
      </c>
    </row>
    <row r="310" spans="1:10" hidden="1" x14ac:dyDescent="0.45">
      <c r="A310" t="s">
        <v>12</v>
      </c>
      <c r="B310" t="s">
        <v>12</v>
      </c>
      <c r="D310" t="str">
        <f>IF(A310='Quantity-logprob'!A310,".","N")</f>
        <v>.</v>
      </c>
      <c r="E310" t="str">
        <f t="shared" si="4"/>
        <v>.</v>
      </c>
      <c r="H310" s="8" t="s">
        <v>475</v>
      </c>
      <c r="I310" s="8" t="s">
        <v>476</v>
      </c>
      <c r="J310" s="8" t="s">
        <v>424</v>
      </c>
    </row>
    <row r="311" spans="1:10" hidden="1" x14ac:dyDescent="0.45">
      <c r="A311" t="s">
        <v>13</v>
      </c>
      <c r="B311" t="s">
        <v>13</v>
      </c>
      <c r="D311" t="str">
        <f>IF(A311='Quantity-logprob'!A311,".","N")</f>
        <v>.</v>
      </c>
      <c r="E311" t="str">
        <f t="shared" si="4"/>
        <v>.</v>
      </c>
      <c r="H311" s="8" t="s">
        <v>154</v>
      </c>
      <c r="I311" s="8" t="s">
        <v>99</v>
      </c>
      <c r="J311" s="8" t="s">
        <v>420</v>
      </c>
    </row>
    <row r="312" spans="1:10" hidden="1" x14ac:dyDescent="0.45">
      <c r="A312" t="s">
        <v>14</v>
      </c>
      <c r="B312" t="s">
        <v>14</v>
      </c>
      <c r="D312" t="str">
        <f>IF(A312='Quantity-logprob'!A312,".","N")</f>
        <v>.</v>
      </c>
      <c r="E312" t="str">
        <f t="shared" si="4"/>
        <v>.</v>
      </c>
      <c r="H312" s="8" t="s">
        <v>185</v>
      </c>
      <c r="I312" s="8" t="s">
        <v>186</v>
      </c>
      <c r="J312" s="8" t="s">
        <v>425</v>
      </c>
    </row>
    <row r="313" spans="1:10" hidden="1" x14ac:dyDescent="0.45">
      <c r="A313" t="s">
        <v>5</v>
      </c>
      <c r="B313" t="s">
        <v>5</v>
      </c>
      <c r="D313" t="str">
        <f>IF(A313='Quantity-logprob'!A313,".","N")</f>
        <v>.</v>
      </c>
      <c r="E313" t="str">
        <f t="shared" si="4"/>
        <v>.</v>
      </c>
      <c r="H313" s="8" t="s">
        <v>176</v>
      </c>
      <c r="I313" s="8" t="s">
        <v>177</v>
      </c>
      <c r="J313" s="8" t="s">
        <v>423</v>
      </c>
    </row>
    <row r="314" spans="1:10" hidden="1" x14ac:dyDescent="0.45">
      <c r="A314" t="s">
        <v>13</v>
      </c>
      <c r="B314" t="s">
        <v>13</v>
      </c>
      <c r="D314" t="str">
        <f>IF(A314='Quantity-logprob'!A314,".","N")</f>
        <v>.</v>
      </c>
      <c r="E314" t="str">
        <f t="shared" si="4"/>
        <v>.</v>
      </c>
      <c r="H314" s="8" t="s">
        <v>313</v>
      </c>
      <c r="I314" s="8" t="s">
        <v>99</v>
      </c>
      <c r="J314" s="8" t="s">
        <v>420</v>
      </c>
    </row>
    <row r="315" spans="1:10" hidden="1" x14ac:dyDescent="0.45">
      <c r="A315" t="s">
        <v>5</v>
      </c>
      <c r="B315" t="s">
        <v>5</v>
      </c>
      <c r="D315" t="str">
        <f>IF(A315='Quantity-logprob'!A315,".","N")</f>
        <v>.</v>
      </c>
      <c r="E315" t="str">
        <f t="shared" si="4"/>
        <v>.</v>
      </c>
      <c r="H315" s="8" t="s">
        <v>477</v>
      </c>
      <c r="I315" s="8" t="s">
        <v>478</v>
      </c>
      <c r="J315" s="8" t="s">
        <v>423</v>
      </c>
    </row>
    <row r="316" spans="1:10" hidden="1" x14ac:dyDescent="0.45">
      <c r="A316" t="s">
        <v>25</v>
      </c>
      <c r="B316" t="s">
        <v>25</v>
      </c>
      <c r="D316" t="str">
        <f>IF(A316='Quantity-logprob'!A316,".","N")</f>
        <v>.</v>
      </c>
      <c r="E316" t="str">
        <f t="shared" si="4"/>
        <v>.</v>
      </c>
      <c r="H316" s="8" t="s">
        <v>479</v>
      </c>
      <c r="I316" s="8" t="s">
        <v>480</v>
      </c>
      <c r="J316" s="8" t="s">
        <v>498</v>
      </c>
    </row>
    <row r="317" spans="1:10" hidden="1" x14ac:dyDescent="0.45">
      <c r="A317" t="s">
        <v>15</v>
      </c>
      <c r="B317" t="s">
        <v>15</v>
      </c>
      <c r="D317" t="str">
        <f>IF(A317='Quantity-logprob'!A317,".","N")</f>
        <v>.</v>
      </c>
      <c r="E317" t="str">
        <f t="shared" si="4"/>
        <v>.</v>
      </c>
      <c r="H317" s="8" t="s">
        <v>178</v>
      </c>
      <c r="I317" s="8" t="s">
        <v>179</v>
      </c>
      <c r="J317" s="8" t="s">
        <v>426</v>
      </c>
    </row>
    <row r="318" spans="1:10" hidden="1" x14ac:dyDescent="0.45">
      <c r="A318" t="s">
        <v>17</v>
      </c>
      <c r="B318" t="s">
        <v>17</v>
      </c>
      <c r="D318" t="str">
        <f>IF(A318='Quantity-logprob'!A318,".","N")</f>
        <v>.</v>
      </c>
      <c r="E318" t="str">
        <f t="shared" si="4"/>
        <v>.</v>
      </c>
      <c r="H318" s="8" t="s">
        <v>412</v>
      </c>
      <c r="I318" s="8" t="s">
        <v>413</v>
      </c>
      <c r="J318" s="8" t="s">
        <v>429</v>
      </c>
    </row>
    <row r="319" spans="1:10" hidden="1" x14ac:dyDescent="0.45">
      <c r="A319" t="s">
        <v>12</v>
      </c>
      <c r="B319" t="s">
        <v>12</v>
      </c>
      <c r="D319" t="str">
        <f>IF(A319='Quantity-logprob'!A319,".","N")</f>
        <v>.</v>
      </c>
      <c r="E319" t="str">
        <f t="shared" si="4"/>
        <v>.</v>
      </c>
      <c r="H319" s="8" t="s">
        <v>370</v>
      </c>
      <c r="I319" s="8" t="s">
        <v>371</v>
      </c>
      <c r="J319" s="8" t="s">
        <v>424</v>
      </c>
    </row>
    <row r="320" spans="1:10" hidden="1" x14ac:dyDescent="0.45">
      <c r="A320" t="s">
        <v>14</v>
      </c>
      <c r="B320" t="s">
        <v>14</v>
      </c>
      <c r="D320" t="str">
        <f>IF(A320='Quantity-logprob'!A320,".","N")</f>
        <v>.</v>
      </c>
      <c r="E320" t="str">
        <f t="shared" si="4"/>
        <v>.</v>
      </c>
      <c r="H320" s="8" t="s">
        <v>386</v>
      </c>
      <c r="I320" s="8" t="s">
        <v>387</v>
      </c>
      <c r="J320" s="8" t="s">
        <v>425</v>
      </c>
    </row>
    <row r="321" spans="1:10" hidden="1" x14ac:dyDescent="0.45">
      <c r="A321" t="s">
        <v>16</v>
      </c>
      <c r="B321" t="s">
        <v>16</v>
      </c>
      <c r="D321" t="str">
        <f>IF(A321='Quantity-logprob'!A321,".","N")</f>
        <v>.</v>
      </c>
      <c r="E321" t="str">
        <f t="shared" si="4"/>
        <v>.</v>
      </c>
      <c r="H321" s="8" t="s">
        <v>133</v>
      </c>
      <c r="I321" s="8" t="s">
        <v>134</v>
      </c>
      <c r="J321" s="8" t="s">
        <v>428</v>
      </c>
    </row>
    <row r="322" spans="1:10" hidden="1" x14ac:dyDescent="0.45">
      <c r="A322" t="s">
        <v>19</v>
      </c>
      <c r="B322" t="s">
        <v>533</v>
      </c>
      <c r="D322" t="str">
        <f>IF(A322='Quantity-logprob'!A322,".","N")</f>
        <v>.</v>
      </c>
      <c r="E322" t="str">
        <f t="shared" si="4"/>
        <v>N</v>
      </c>
      <c r="H322" s="8" t="s">
        <v>481</v>
      </c>
      <c r="I322" s="8" t="s">
        <v>482</v>
      </c>
      <c r="J322" s="8" t="s">
        <v>497</v>
      </c>
    </row>
    <row r="323" spans="1:10" hidden="1" x14ac:dyDescent="0.45">
      <c r="A323" t="s">
        <v>23</v>
      </c>
      <c r="B323" t="s">
        <v>23</v>
      </c>
      <c r="D323" t="str">
        <f>IF(A323='Quantity-logprob'!A323,".","N")</f>
        <v>.</v>
      </c>
      <c r="E323" t="str">
        <f t="shared" ref="E323:E386" si="5">IF(A323=B323,".","N")</f>
        <v>.</v>
      </c>
      <c r="H323" s="8" t="s">
        <v>343</v>
      </c>
      <c r="I323" s="8" t="s">
        <v>344</v>
      </c>
      <c r="J323" s="8" t="s">
        <v>438</v>
      </c>
    </row>
    <row r="324" spans="1:10" hidden="1" x14ac:dyDescent="0.45">
      <c r="A324" t="s">
        <v>13</v>
      </c>
      <c r="B324" t="s">
        <v>13</v>
      </c>
      <c r="D324" t="str">
        <f>IF(A324='Quantity-logprob'!A324,".","N")</f>
        <v>.</v>
      </c>
      <c r="E324" t="str">
        <f t="shared" si="5"/>
        <v>.</v>
      </c>
      <c r="H324" s="8" t="s">
        <v>360</v>
      </c>
      <c r="I324" s="8" t="s">
        <v>361</v>
      </c>
      <c r="J324" s="8" t="s">
        <v>420</v>
      </c>
    </row>
    <row r="325" spans="1:10" hidden="1" x14ac:dyDescent="0.45">
      <c r="A325" t="s">
        <v>13</v>
      </c>
      <c r="B325" t="s">
        <v>13</v>
      </c>
      <c r="D325" t="str">
        <f>IF(A325='Quantity-logprob'!A325,".","N")</f>
        <v>.</v>
      </c>
      <c r="E325" t="str">
        <f t="shared" si="5"/>
        <v>.</v>
      </c>
      <c r="H325" s="8" t="s">
        <v>440</v>
      </c>
      <c r="I325" s="8" t="s">
        <v>99</v>
      </c>
      <c r="J325" s="8" t="s">
        <v>420</v>
      </c>
    </row>
    <row r="326" spans="1:10" hidden="1" x14ac:dyDescent="0.45">
      <c r="A326" t="s">
        <v>14</v>
      </c>
      <c r="B326" t="s">
        <v>14</v>
      </c>
      <c r="D326" t="str">
        <f>IF(A326='Quantity-logprob'!A326,".","N")</f>
        <v>.</v>
      </c>
      <c r="E326" t="str">
        <f t="shared" si="5"/>
        <v>.</v>
      </c>
      <c r="H326" s="8" t="s">
        <v>162</v>
      </c>
      <c r="I326" s="8" t="s">
        <v>163</v>
      </c>
      <c r="J326" s="8" t="s">
        <v>425</v>
      </c>
    </row>
    <row r="327" spans="1:10" hidden="1" x14ac:dyDescent="0.45">
      <c r="A327" t="s">
        <v>14</v>
      </c>
      <c r="B327" t="s">
        <v>14</v>
      </c>
      <c r="D327" t="str">
        <f>IF(A327='Quantity-logprob'!A327,".","N")</f>
        <v>.</v>
      </c>
      <c r="E327" t="str">
        <f t="shared" si="5"/>
        <v>.</v>
      </c>
      <c r="H327" s="8" t="s">
        <v>375</v>
      </c>
      <c r="I327" s="8" t="s">
        <v>376</v>
      </c>
      <c r="J327" s="8" t="s">
        <v>425</v>
      </c>
    </row>
    <row r="328" spans="1:10" hidden="1" x14ac:dyDescent="0.45">
      <c r="A328" t="s">
        <v>15</v>
      </c>
      <c r="B328" t="s">
        <v>15</v>
      </c>
      <c r="D328" t="str">
        <f>IF(A328='Quantity-logprob'!A328,".","N")</f>
        <v>.</v>
      </c>
      <c r="E328" t="str">
        <f t="shared" si="5"/>
        <v>.</v>
      </c>
      <c r="H328" s="8" t="s">
        <v>372</v>
      </c>
      <c r="I328" s="8" t="s">
        <v>99</v>
      </c>
      <c r="J328" s="8" t="s">
        <v>426</v>
      </c>
    </row>
    <row r="329" spans="1:10" hidden="1" x14ac:dyDescent="0.45">
      <c r="A329" t="s">
        <v>17</v>
      </c>
      <c r="B329" t="s">
        <v>17</v>
      </c>
      <c r="D329" t="str">
        <f>IF(A329='Quantity-logprob'!A329,".","N")</f>
        <v>.</v>
      </c>
      <c r="E329" t="str">
        <f t="shared" si="5"/>
        <v>.</v>
      </c>
      <c r="H329" s="8" t="s">
        <v>391</v>
      </c>
      <c r="I329" s="8" t="s">
        <v>392</v>
      </c>
      <c r="J329" s="8" t="s">
        <v>429</v>
      </c>
    </row>
    <row r="330" spans="1:10" hidden="1" x14ac:dyDescent="0.45">
      <c r="A330" t="s">
        <v>13</v>
      </c>
      <c r="B330" t="s">
        <v>13</v>
      </c>
      <c r="D330" t="str">
        <f>IF(A330='Quantity-logprob'!A330,".","N")</f>
        <v>.</v>
      </c>
      <c r="E330" t="str">
        <f t="shared" si="5"/>
        <v>.</v>
      </c>
      <c r="H330" s="8" t="s">
        <v>263</v>
      </c>
      <c r="I330" s="8" t="s">
        <v>264</v>
      </c>
      <c r="J330" s="8" t="s">
        <v>420</v>
      </c>
    </row>
    <row r="331" spans="1:10" x14ac:dyDescent="0.45">
      <c r="A331" t="s">
        <v>10</v>
      </c>
      <c r="B331" t="s">
        <v>532</v>
      </c>
      <c r="D331" t="str">
        <f>IF(A331='Quantity-logprob'!A331,".","N")</f>
        <v>.</v>
      </c>
      <c r="E331" t="str">
        <f t="shared" si="5"/>
        <v>N</v>
      </c>
      <c r="F331" s="8" t="s">
        <v>515</v>
      </c>
      <c r="H331" s="8" t="s">
        <v>111</v>
      </c>
      <c r="I331" s="8" t="s">
        <v>112</v>
      </c>
      <c r="J331" s="8" t="s">
        <v>421</v>
      </c>
    </row>
    <row r="332" spans="1:10" hidden="1" x14ac:dyDescent="0.45">
      <c r="A332" t="s">
        <v>14</v>
      </c>
      <c r="B332" t="s">
        <v>14</v>
      </c>
      <c r="D332" t="str">
        <f>IF(A332='Quantity-logprob'!A332,".","N")</f>
        <v>.</v>
      </c>
      <c r="E332" t="str">
        <f t="shared" si="5"/>
        <v>.</v>
      </c>
      <c r="H332" s="8" t="s">
        <v>233</v>
      </c>
      <c r="I332" s="8" t="s">
        <v>234</v>
      </c>
      <c r="J332" s="8" t="s">
        <v>425</v>
      </c>
    </row>
    <row r="333" spans="1:10" hidden="1" x14ac:dyDescent="0.45">
      <c r="A333" t="s">
        <v>17</v>
      </c>
      <c r="B333" t="s">
        <v>17</v>
      </c>
      <c r="D333" t="str">
        <f>IF(A333='Quantity-logprob'!A333,".","N")</f>
        <v>.</v>
      </c>
      <c r="E333" t="str">
        <f t="shared" si="5"/>
        <v>.</v>
      </c>
      <c r="H333" s="8" t="s">
        <v>458</v>
      </c>
      <c r="I333" s="8" t="s">
        <v>459</v>
      </c>
      <c r="J333" s="8" t="s">
        <v>429</v>
      </c>
    </row>
    <row r="334" spans="1:10" hidden="1" x14ac:dyDescent="0.45">
      <c r="A334" t="s">
        <v>11</v>
      </c>
      <c r="B334" t="s">
        <v>11</v>
      </c>
      <c r="D334" t="str">
        <f>IF(A334='Quantity-logprob'!A334,".","N")</f>
        <v>.</v>
      </c>
      <c r="E334" t="str">
        <f t="shared" si="5"/>
        <v>.</v>
      </c>
      <c r="H334" s="8" t="s">
        <v>451</v>
      </c>
      <c r="I334" s="8" t="s">
        <v>237</v>
      </c>
      <c r="J334" s="8" t="s">
        <v>422</v>
      </c>
    </row>
    <row r="335" spans="1:10" hidden="1" x14ac:dyDescent="0.45">
      <c r="A335" t="s">
        <v>7</v>
      </c>
      <c r="B335" t="s">
        <v>7</v>
      </c>
      <c r="D335" t="str">
        <f>IF(A335='Quantity-logprob'!A335,".","N")</f>
        <v>.</v>
      </c>
      <c r="E335" t="str">
        <f t="shared" si="5"/>
        <v>.</v>
      </c>
      <c r="H335" s="8" t="s">
        <v>472</v>
      </c>
      <c r="I335" s="8" t="s">
        <v>99</v>
      </c>
      <c r="J335" s="8" t="s">
        <v>418</v>
      </c>
    </row>
    <row r="336" spans="1:10" hidden="1" x14ac:dyDescent="0.45">
      <c r="A336" t="s">
        <v>14</v>
      </c>
      <c r="B336" t="s">
        <v>14</v>
      </c>
      <c r="D336" t="str">
        <f>IF(A336='Quantity-logprob'!A336,".","N")</f>
        <v>.</v>
      </c>
      <c r="E336" t="str">
        <f t="shared" si="5"/>
        <v>.</v>
      </c>
      <c r="H336" s="8" t="s">
        <v>122</v>
      </c>
      <c r="I336" s="8" t="s">
        <v>123</v>
      </c>
      <c r="J336" s="8" t="s">
        <v>425</v>
      </c>
    </row>
    <row r="337" spans="1:10" hidden="1" x14ac:dyDescent="0.45">
      <c r="A337" t="s">
        <v>19</v>
      </c>
      <c r="B337" t="s">
        <v>533</v>
      </c>
      <c r="D337" t="str">
        <f>IF(A337='Quantity-logprob'!A337,".","N")</f>
        <v>.</v>
      </c>
      <c r="E337" t="str">
        <f t="shared" si="5"/>
        <v>N</v>
      </c>
      <c r="H337" s="8" t="s">
        <v>157</v>
      </c>
      <c r="I337" s="8" t="s">
        <v>158</v>
      </c>
      <c r="J337" s="8" t="s">
        <v>430</v>
      </c>
    </row>
    <row r="338" spans="1:10" hidden="1" x14ac:dyDescent="0.45">
      <c r="A338" t="s">
        <v>6</v>
      </c>
      <c r="B338" t="s">
        <v>6</v>
      </c>
      <c r="D338" t="str">
        <f>IF(A338='Quantity-logprob'!A338,".","N")</f>
        <v>.</v>
      </c>
      <c r="E338" t="str">
        <f t="shared" si="5"/>
        <v>.</v>
      </c>
      <c r="H338" s="8" t="s">
        <v>145</v>
      </c>
      <c r="I338" s="8" t="s">
        <v>146</v>
      </c>
      <c r="J338" s="8" t="s">
        <v>417</v>
      </c>
    </row>
    <row r="339" spans="1:10" hidden="1" x14ac:dyDescent="0.45">
      <c r="A339" t="s">
        <v>13</v>
      </c>
      <c r="B339" t="s">
        <v>13</v>
      </c>
      <c r="D339" t="str">
        <f>IF(A339='Quantity-logprob'!A339,".","N")</f>
        <v>.</v>
      </c>
      <c r="E339" t="str">
        <f t="shared" si="5"/>
        <v>.</v>
      </c>
      <c r="H339" s="8" t="s">
        <v>389</v>
      </c>
      <c r="I339" s="8" t="s">
        <v>390</v>
      </c>
      <c r="J339" s="8" t="s">
        <v>420</v>
      </c>
    </row>
    <row r="340" spans="1:10" hidden="1" x14ac:dyDescent="0.45">
      <c r="A340" t="s">
        <v>13</v>
      </c>
      <c r="B340" t="s">
        <v>13</v>
      </c>
      <c r="D340" t="str">
        <f>IF(A340='Quantity-logprob'!A340,".","N")</f>
        <v>.</v>
      </c>
      <c r="E340" t="str">
        <f t="shared" si="5"/>
        <v>.</v>
      </c>
      <c r="H340" s="8" t="s">
        <v>449</v>
      </c>
      <c r="I340" s="8" t="s">
        <v>450</v>
      </c>
      <c r="J340" s="8" t="s">
        <v>420</v>
      </c>
    </row>
    <row r="341" spans="1:10" hidden="1" x14ac:dyDescent="0.45">
      <c r="A341" t="s">
        <v>5</v>
      </c>
      <c r="B341" t="s">
        <v>5</v>
      </c>
      <c r="D341" t="str">
        <f>IF(A341='Quantity-logprob'!A341,".","N")</f>
        <v>.</v>
      </c>
      <c r="E341" t="str">
        <f t="shared" si="5"/>
        <v>.</v>
      </c>
      <c r="H341" s="8" t="s">
        <v>152</v>
      </c>
      <c r="I341" s="8" t="s">
        <v>153</v>
      </c>
      <c r="J341" s="8" t="s">
        <v>423</v>
      </c>
    </row>
    <row r="342" spans="1:10" hidden="1" x14ac:dyDescent="0.45">
      <c r="A342" t="s">
        <v>15</v>
      </c>
      <c r="B342" t="s">
        <v>15</v>
      </c>
      <c r="D342" t="str">
        <f>IF(A342='Quantity-logprob'!A342,".","N")</f>
        <v>.</v>
      </c>
      <c r="E342" t="str">
        <f t="shared" si="5"/>
        <v>.</v>
      </c>
      <c r="H342" s="8" t="s">
        <v>219</v>
      </c>
      <c r="I342" s="8" t="s">
        <v>220</v>
      </c>
      <c r="J342" s="8" t="s">
        <v>426</v>
      </c>
    </row>
    <row r="343" spans="1:10" hidden="1" x14ac:dyDescent="0.45">
      <c r="A343" t="s">
        <v>21</v>
      </c>
      <c r="B343" t="s">
        <v>21</v>
      </c>
      <c r="D343" t="str">
        <f>IF(A343='Quantity-logprob'!A343,".","N")</f>
        <v>.</v>
      </c>
      <c r="E343" t="str">
        <f t="shared" si="5"/>
        <v>.</v>
      </c>
      <c r="H343" s="8" t="s">
        <v>350</v>
      </c>
      <c r="I343" s="8" t="s">
        <v>351</v>
      </c>
      <c r="J343" s="8" t="s">
        <v>434</v>
      </c>
    </row>
    <row r="344" spans="1:10" hidden="1" x14ac:dyDescent="0.45">
      <c r="A344" t="s">
        <v>23</v>
      </c>
      <c r="B344" t="s">
        <v>23</v>
      </c>
      <c r="D344" t="str">
        <f>IF(A344='Quantity-logprob'!A344,".","N")</f>
        <v>.</v>
      </c>
      <c r="E344" t="str">
        <f t="shared" si="5"/>
        <v>.</v>
      </c>
      <c r="H344" s="8" t="s">
        <v>294</v>
      </c>
      <c r="I344" s="8" t="s">
        <v>295</v>
      </c>
      <c r="J344" s="8" t="s">
        <v>438</v>
      </c>
    </row>
    <row r="345" spans="1:10" hidden="1" x14ac:dyDescent="0.45">
      <c r="A345" t="s">
        <v>7</v>
      </c>
      <c r="B345" t="s">
        <v>7</v>
      </c>
      <c r="D345" t="str">
        <f>IF(A345='Quantity-logprob'!A345,".","N")</f>
        <v>.</v>
      </c>
      <c r="E345" t="str">
        <f t="shared" si="5"/>
        <v>.</v>
      </c>
      <c r="H345" s="8" t="s">
        <v>98</v>
      </c>
      <c r="I345" s="8" t="s">
        <v>99</v>
      </c>
      <c r="J345" s="8" t="s">
        <v>418</v>
      </c>
    </row>
    <row r="346" spans="1:10" hidden="1" x14ac:dyDescent="0.45">
      <c r="A346" t="s">
        <v>11</v>
      </c>
      <c r="B346" t="s">
        <v>11</v>
      </c>
      <c r="D346" t="str">
        <f>IF(A346='Quantity-logprob'!A346,".","N")</f>
        <v>.</v>
      </c>
      <c r="E346" t="str">
        <f t="shared" si="5"/>
        <v>.</v>
      </c>
      <c r="H346" s="8" t="s">
        <v>471</v>
      </c>
      <c r="I346" s="8" t="s">
        <v>99</v>
      </c>
      <c r="J346" s="8" t="s">
        <v>422</v>
      </c>
    </row>
    <row r="347" spans="1:10" hidden="1" x14ac:dyDescent="0.45">
      <c r="A347" t="s">
        <v>13</v>
      </c>
      <c r="B347" t="s">
        <v>13</v>
      </c>
      <c r="D347" t="str">
        <f>IF(A347='Quantity-logprob'!A347,".","N")</f>
        <v>.</v>
      </c>
      <c r="E347" t="str">
        <f t="shared" si="5"/>
        <v>.</v>
      </c>
      <c r="H347" s="8" t="s">
        <v>120</v>
      </c>
      <c r="I347" s="8" t="s">
        <v>121</v>
      </c>
      <c r="J347" s="8" t="s">
        <v>420</v>
      </c>
    </row>
    <row r="348" spans="1:10" hidden="1" x14ac:dyDescent="0.45">
      <c r="A348" t="s">
        <v>17</v>
      </c>
      <c r="B348" t="s">
        <v>17</v>
      </c>
      <c r="D348" t="str">
        <f>IF(A348='Quantity-logprob'!A348,".","N")</f>
        <v>.</v>
      </c>
      <c r="E348" t="str">
        <f t="shared" si="5"/>
        <v>.</v>
      </c>
      <c r="H348" s="8" t="s">
        <v>155</v>
      </c>
      <c r="I348" s="8" t="s">
        <v>156</v>
      </c>
      <c r="J348" s="8" t="s">
        <v>429</v>
      </c>
    </row>
    <row r="349" spans="1:10" hidden="1" x14ac:dyDescent="0.45">
      <c r="A349" t="s">
        <v>5</v>
      </c>
      <c r="B349" t="s">
        <v>5</v>
      </c>
      <c r="D349" t="str">
        <f>IF(A349='Quantity-logprob'!A349,".","N")</f>
        <v>.</v>
      </c>
      <c r="E349" t="str">
        <f t="shared" si="5"/>
        <v>.</v>
      </c>
      <c r="H349" s="8" t="s">
        <v>238</v>
      </c>
      <c r="I349" s="8" t="s">
        <v>239</v>
      </c>
      <c r="J349" s="8" t="s">
        <v>435</v>
      </c>
    </row>
    <row r="350" spans="1:10" hidden="1" x14ac:dyDescent="0.45">
      <c r="A350" t="s">
        <v>13</v>
      </c>
      <c r="B350" t="s">
        <v>13</v>
      </c>
      <c r="D350" t="str">
        <f>IF(A350='Quantity-logprob'!A350,".","N")</f>
        <v>.</v>
      </c>
      <c r="E350" t="str">
        <f t="shared" si="5"/>
        <v>.</v>
      </c>
      <c r="H350" s="8" t="s">
        <v>312</v>
      </c>
      <c r="I350" s="8" t="s">
        <v>99</v>
      </c>
      <c r="J350" s="8" t="s">
        <v>420</v>
      </c>
    </row>
    <row r="351" spans="1:10" hidden="1" x14ac:dyDescent="0.45">
      <c r="A351" t="s">
        <v>5</v>
      </c>
      <c r="B351" t="s">
        <v>5</v>
      </c>
      <c r="D351" t="str">
        <f>IF(A351='Quantity-logprob'!A351,".","N")</f>
        <v>.</v>
      </c>
      <c r="E351" t="str">
        <f t="shared" si="5"/>
        <v>.</v>
      </c>
      <c r="H351" s="8" t="s">
        <v>329</v>
      </c>
      <c r="I351" s="8" t="s">
        <v>330</v>
      </c>
      <c r="J351" s="8" t="s">
        <v>423</v>
      </c>
    </row>
    <row r="352" spans="1:10" hidden="1" x14ac:dyDescent="0.45">
      <c r="A352" t="s">
        <v>15</v>
      </c>
      <c r="B352" t="s">
        <v>15</v>
      </c>
      <c r="D352" t="str">
        <f>IF(A352='Quantity-logprob'!A352,".","N")</f>
        <v>.</v>
      </c>
      <c r="E352" t="str">
        <f t="shared" si="5"/>
        <v>.</v>
      </c>
      <c r="H352" s="8" t="s">
        <v>182</v>
      </c>
      <c r="I352" s="8" t="s">
        <v>99</v>
      </c>
      <c r="J352" s="8" t="s">
        <v>426</v>
      </c>
    </row>
    <row r="353" spans="1:10" hidden="1" x14ac:dyDescent="0.45">
      <c r="A353" t="s">
        <v>22</v>
      </c>
      <c r="B353" t="s">
        <v>22</v>
      </c>
      <c r="D353" t="str">
        <f>IF(A353='Quantity-logprob'!A353,".","N")</f>
        <v>.</v>
      </c>
      <c r="E353" t="str">
        <f t="shared" si="5"/>
        <v>.</v>
      </c>
      <c r="H353" s="8" t="s">
        <v>277</v>
      </c>
      <c r="I353" s="8" t="s">
        <v>278</v>
      </c>
      <c r="J353" s="8" t="s">
        <v>437</v>
      </c>
    </row>
    <row r="354" spans="1:10" x14ac:dyDescent="0.45">
      <c r="A354" t="s">
        <v>10</v>
      </c>
      <c r="B354" t="s">
        <v>532</v>
      </c>
      <c r="D354" t="str">
        <f>IF(A354='Quantity-logprob'!A354,".","N")</f>
        <v>.</v>
      </c>
      <c r="E354" t="str">
        <f t="shared" si="5"/>
        <v>N</v>
      </c>
      <c r="F354" s="8" t="s">
        <v>515</v>
      </c>
      <c r="H354" s="8" t="s">
        <v>118</v>
      </c>
      <c r="I354" s="8" t="s">
        <v>119</v>
      </c>
      <c r="J354" s="8" t="s">
        <v>421</v>
      </c>
    </row>
    <row r="355" spans="1:10" hidden="1" x14ac:dyDescent="0.45">
      <c r="A355" t="s">
        <v>5</v>
      </c>
      <c r="B355" t="s">
        <v>5</v>
      </c>
      <c r="D355" t="str">
        <f>IF(A355='Quantity-logprob'!A355,".","N")</f>
        <v>.</v>
      </c>
      <c r="E355" t="str">
        <f t="shared" si="5"/>
        <v>.</v>
      </c>
      <c r="H355" s="8" t="s">
        <v>354</v>
      </c>
      <c r="I355" s="8" t="s">
        <v>355</v>
      </c>
      <c r="J355" s="8" t="s">
        <v>423</v>
      </c>
    </row>
    <row r="356" spans="1:10" hidden="1" x14ac:dyDescent="0.45">
      <c r="A356" t="s">
        <v>8</v>
      </c>
      <c r="B356" t="s">
        <v>8</v>
      </c>
      <c r="D356" t="str">
        <f>IF(A356='Quantity-logprob'!A356,".","N")</f>
        <v>.</v>
      </c>
      <c r="E356" t="str">
        <f t="shared" si="5"/>
        <v>.</v>
      </c>
      <c r="H356" s="8" t="s">
        <v>316</v>
      </c>
      <c r="I356" s="8" t="s">
        <v>317</v>
      </c>
      <c r="J356" s="8" t="s">
        <v>427</v>
      </c>
    </row>
    <row r="357" spans="1:10" hidden="1" x14ac:dyDescent="0.45">
      <c r="A357" t="s">
        <v>11</v>
      </c>
      <c r="B357" t="s">
        <v>11</v>
      </c>
      <c r="D357" t="str">
        <f>IF(A357='Quantity-logprob'!A357,".","N")</f>
        <v>.</v>
      </c>
      <c r="E357" t="str">
        <f t="shared" si="5"/>
        <v>.</v>
      </c>
      <c r="H357" s="8" t="s">
        <v>236</v>
      </c>
      <c r="I357" s="8" t="s">
        <v>237</v>
      </c>
      <c r="J357" s="8" t="s">
        <v>422</v>
      </c>
    </row>
    <row r="358" spans="1:10" hidden="1" x14ac:dyDescent="0.45">
      <c r="A358" t="s">
        <v>17</v>
      </c>
      <c r="B358" t="s">
        <v>17</v>
      </c>
      <c r="D358" t="str">
        <f>IF(A358='Quantity-logprob'!A358,".","N")</f>
        <v>.</v>
      </c>
      <c r="E358" t="str">
        <f t="shared" si="5"/>
        <v>.</v>
      </c>
      <c r="H358" s="8" t="s">
        <v>325</v>
      </c>
      <c r="I358" s="8" t="s">
        <v>321</v>
      </c>
      <c r="J358" s="8" t="s">
        <v>429</v>
      </c>
    </row>
    <row r="359" spans="1:10" hidden="1" x14ac:dyDescent="0.45">
      <c r="A359" t="s">
        <v>5</v>
      </c>
      <c r="B359" t="s">
        <v>5</v>
      </c>
      <c r="D359" t="str">
        <f>IF(A359='Quantity-logprob'!A359,".","N")</f>
        <v>.</v>
      </c>
      <c r="E359" t="str">
        <f t="shared" si="5"/>
        <v>.</v>
      </c>
      <c r="H359" s="8" t="s">
        <v>94</v>
      </c>
      <c r="I359" s="8" t="s">
        <v>95</v>
      </c>
      <c r="J359" s="8" t="s">
        <v>416</v>
      </c>
    </row>
    <row r="360" spans="1:10" hidden="1" x14ac:dyDescent="0.45">
      <c r="A360" t="s">
        <v>7</v>
      </c>
      <c r="B360" t="s">
        <v>7</v>
      </c>
      <c r="D360" t="str">
        <f>IF(A360='Quantity-logprob'!A360,".","N")</f>
        <v>.</v>
      </c>
      <c r="E360" t="str">
        <f t="shared" si="5"/>
        <v>.</v>
      </c>
      <c r="H360" s="8" t="s">
        <v>199</v>
      </c>
      <c r="I360" s="8" t="s">
        <v>200</v>
      </c>
      <c r="J360" s="8" t="s">
        <v>418</v>
      </c>
    </row>
    <row r="361" spans="1:10" hidden="1" x14ac:dyDescent="0.45">
      <c r="A361" t="s">
        <v>17</v>
      </c>
      <c r="B361" t="s">
        <v>17</v>
      </c>
      <c r="D361" t="str">
        <f>IF(A361='Quantity-logprob'!A361,".","N")</f>
        <v>.</v>
      </c>
      <c r="E361" t="str">
        <f t="shared" si="5"/>
        <v>.</v>
      </c>
      <c r="H361" s="8" t="s">
        <v>445</v>
      </c>
      <c r="I361" s="8" t="s">
        <v>446</v>
      </c>
      <c r="J361" s="8" t="s">
        <v>429</v>
      </c>
    </row>
    <row r="362" spans="1:10" hidden="1" x14ac:dyDescent="0.45">
      <c r="A362" t="s">
        <v>13</v>
      </c>
      <c r="B362" t="s">
        <v>13</v>
      </c>
      <c r="D362" t="str">
        <f>IF(A362='Quantity-logprob'!A362,".","N")</f>
        <v>.</v>
      </c>
      <c r="E362" t="str">
        <f t="shared" si="5"/>
        <v>.</v>
      </c>
      <c r="H362" s="8" t="s">
        <v>452</v>
      </c>
      <c r="I362" s="8" t="s">
        <v>453</v>
      </c>
      <c r="J362" s="8" t="s">
        <v>420</v>
      </c>
    </row>
    <row r="363" spans="1:10" hidden="1" x14ac:dyDescent="0.45">
      <c r="A363" t="s">
        <v>13</v>
      </c>
      <c r="B363" t="s">
        <v>13</v>
      </c>
      <c r="D363" t="str">
        <f>IF(A363='Quantity-logprob'!A363,".","N")</f>
        <v>.</v>
      </c>
      <c r="E363" t="str">
        <f t="shared" si="5"/>
        <v>.</v>
      </c>
      <c r="H363" s="8" t="s">
        <v>447</v>
      </c>
      <c r="I363" s="8" t="s">
        <v>448</v>
      </c>
      <c r="J363" s="8" t="s">
        <v>420</v>
      </c>
    </row>
    <row r="364" spans="1:10" hidden="1" x14ac:dyDescent="0.45">
      <c r="A364" t="s">
        <v>19</v>
      </c>
      <c r="B364" t="s">
        <v>8</v>
      </c>
      <c r="D364" t="str">
        <f>IF(A364='Quantity-logprob'!A364,".","N")</f>
        <v>.</v>
      </c>
      <c r="E364" t="str">
        <f t="shared" si="5"/>
        <v>N</v>
      </c>
      <c r="H364" s="8" t="s">
        <v>204</v>
      </c>
      <c r="I364" s="8" t="s">
        <v>205</v>
      </c>
      <c r="J364" s="9" t="s">
        <v>432</v>
      </c>
    </row>
    <row r="365" spans="1:10" hidden="1" x14ac:dyDescent="0.45">
      <c r="A365" t="s">
        <v>11</v>
      </c>
      <c r="B365" t="s">
        <v>11</v>
      </c>
      <c r="D365" t="str">
        <f>IF(A365='Quantity-logprob'!A365,".","N")</f>
        <v>.</v>
      </c>
      <c r="E365" t="str">
        <f t="shared" si="5"/>
        <v>.</v>
      </c>
      <c r="H365" s="8" t="s">
        <v>104</v>
      </c>
      <c r="I365" s="8" t="s">
        <v>105</v>
      </c>
      <c r="J365" s="8" t="s">
        <v>422</v>
      </c>
    </row>
    <row r="366" spans="1:10" hidden="1" x14ac:dyDescent="0.45">
      <c r="A366" t="s">
        <v>13</v>
      </c>
      <c r="B366" t="s">
        <v>13</v>
      </c>
      <c r="D366" t="str">
        <f>IF(A366='Quantity-logprob'!A366,".","N")</f>
        <v>.</v>
      </c>
      <c r="E366" t="str">
        <f t="shared" si="5"/>
        <v>.</v>
      </c>
      <c r="H366" s="8" t="s">
        <v>442</v>
      </c>
      <c r="I366" s="8" t="s">
        <v>443</v>
      </c>
      <c r="J366" s="8" t="s">
        <v>420</v>
      </c>
    </row>
    <row r="367" spans="1:10" hidden="1" x14ac:dyDescent="0.45">
      <c r="A367" t="s">
        <v>5</v>
      </c>
      <c r="B367" t="s">
        <v>5</v>
      </c>
      <c r="D367" t="str">
        <f>IF(A367='Quantity-logprob'!A367,".","N")</f>
        <v>.</v>
      </c>
      <c r="E367" t="str">
        <f t="shared" si="5"/>
        <v>.</v>
      </c>
      <c r="H367" s="8" t="s">
        <v>333</v>
      </c>
      <c r="I367" s="8" t="s">
        <v>334</v>
      </c>
      <c r="J367" s="8" t="s">
        <v>435</v>
      </c>
    </row>
    <row r="368" spans="1:10" hidden="1" x14ac:dyDescent="0.45">
      <c r="A368" t="s">
        <v>5</v>
      </c>
      <c r="B368" t="s">
        <v>5</v>
      </c>
      <c r="D368" t="str">
        <f>IF(A368='Quantity-logprob'!A368,".","N")</f>
        <v>.</v>
      </c>
      <c r="E368" t="str">
        <f t="shared" si="5"/>
        <v>.</v>
      </c>
      <c r="H368" s="8" t="s">
        <v>247</v>
      </c>
      <c r="I368" s="8" t="s">
        <v>248</v>
      </c>
      <c r="J368" s="8" t="s">
        <v>416</v>
      </c>
    </row>
    <row r="369" spans="1:10" x14ac:dyDescent="0.45">
      <c r="A369" t="s">
        <v>10</v>
      </c>
      <c r="B369" t="s">
        <v>532</v>
      </c>
      <c r="D369" t="str">
        <f>IF(A369='Quantity-logprob'!A369,".","N")</f>
        <v>.</v>
      </c>
      <c r="E369" t="str">
        <f t="shared" si="5"/>
        <v>N</v>
      </c>
      <c r="F369" s="8" t="s">
        <v>515</v>
      </c>
      <c r="H369" s="8" t="s">
        <v>115</v>
      </c>
      <c r="I369" s="8" t="s">
        <v>116</v>
      </c>
      <c r="J369" s="8" t="s">
        <v>421</v>
      </c>
    </row>
    <row r="370" spans="1:10" hidden="1" x14ac:dyDescent="0.45">
      <c r="A370" t="s">
        <v>7</v>
      </c>
      <c r="B370" t="s">
        <v>7</v>
      </c>
      <c r="D370" t="str">
        <f>IF(A370='Quantity-logprob'!A370,".","N")</f>
        <v>.</v>
      </c>
      <c r="E370" t="str">
        <f t="shared" si="5"/>
        <v>.</v>
      </c>
      <c r="H370" s="8" t="s">
        <v>463</v>
      </c>
      <c r="I370" s="8" t="s">
        <v>464</v>
      </c>
      <c r="J370" s="8" t="s">
        <v>436</v>
      </c>
    </row>
    <row r="371" spans="1:10" hidden="1" x14ac:dyDescent="0.45">
      <c r="A371" t="s">
        <v>23</v>
      </c>
      <c r="B371" t="s">
        <v>23</v>
      </c>
      <c r="D371" t="str">
        <f>IF(A371='Quantity-logprob'!A371,".","N")</f>
        <v>.</v>
      </c>
      <c r="E371" t="str">
        <f t="shared" si="5"/>
        <v>.</v>
      </c>
      <c r="H371" s="8" t="s">
        <v>483</v>
      </c>
      <c r="I371" s="8" t="s">
        <v>484</v>
      </c>
      <c r="J371" s="8" t="s">
        <v>438</v>
      </c>
    </row>
    <row r="372" spans="1:10" hidden="1" x14ac:dyDescent="0.45">
      <c r="A372" t="s">
        <v>5</v>
      </c>
      <c r="B372" t="s">
        <v>5</v>
      </c>
      <c r="D372" t="str">
        <f>IF(A372='Quantity-logprob'!A372,".","N")</f>
        <v>.</v>
      </c>
      <c r="E372" t="str">
        <f t="shared" si="5"/>
        <v>.</v>
      </c>
      <c r="H372" s="8" t="s">
        <v>269</v>
      </c>
      <c r="I372" s="8" t="s">
        <v>270</v>
      </c>
      <c r="J372" s="8" t="s">
        <v>416</v>
      </c>
    </row>
    <row r="373" spans="1:10" hidden="1" x14ac:dyDescent="0.45">
      <c r="A373" t="s">
        <v>15</v>
      </c>
      <c r="B373" t="s">
        <v>15</v>
      </c>
      <c r="D373" t="str">
        <f>IF(A373='Quantity-logprob'!A373,".","N")</f>
        <v>.</v>
      </c>
      <c r="E373" t="str">
        <f t="shared" si="5"/>
        <v>.</v>
      </c>
      <c r="H373" s="8" t="s">
        <v>275</v>
      </c>
      <c r="I373" s="8" t="s">
        <v>276</v>
      </c>
      <c r="J373" s="8" t="s">
        <v>426</v>
      </c>
    </row>
    <row r="374" spans="1:10" hidden="1" x14ac:dyDescent="0.45">
      <c r="A374" t="s">
        <v>13</v>
      </c>
      <c r="B374" t="s">
        <v>13</v>
      </c>
      <c r="D374" t="str">
        <f>IF(A374='Quantity-logprob'!A374,".","N")</f>
        <v>.</v>
      </c>
      <c r="E374" t="str">
        <f t="shared" si="5"/>
        <v>.</v>
      </c>
      <c r="H374" s="8" t="s">
        <v>460</v>
      </c>
      <c r="I374" s="8" t="s">
        <v>461</v>
      </c>
      <c r="J374" s="8" t="s">
        <v>420</v>
      </c>
    </row>
    <row r="375" spans="1:10" hidden="1" x14ac:dyDescent="0.45">
      <c r="A375" t="s">
        <v>17</v>
      </c>
      <c r="B375" t="s">
        <v>17</v>
      </c>
      <c r="D375" t="str">
        <f>IF(A375='Quantity-logprob'!A375,".","N")</f>
        <v>.</v>
      </c>
      <c r="E375" t="str">
        <f t="shared" si="5"/>
        <v>.</v>
      </c>
      <c r="H375" s="8" t="s">
        <v>286</v>
      </c>
      <c r="I375" s="8" t="s">
        <v>287</v>
      </c>
      <c r="J375" s="8" t="s">
        <v>429</v>
      </c>
    </row>
    <row r="376" spans="1:10" hidden="1" x14ac:dyDescent="0.45">
      <c r="A376" t="s">
        <v>12</v>
      </c>
      <c r="B376" t="s">
        <v>12</v>
      </c>
      <c r="D376" t="str">
        <f>IF(A376='Quantity-logprob'!A376,".","N")</f>
        <v>.</v>
      </c>
      <c r="E376" t="str">
        <f t="shared" si="5"/>
        <v>.</v>
      </c>
      <c r="H376" s="8" t="s">
        <v>469</v>
      </c>
      <c r="I376" s="8" t="s">
        <v>99</v>
      </c>
      <c r="J376" s="8" t="s">
        <v>424</v>
      </c>
    </row>
    <row r="377" spans="1:10" hidden="1" x14ac:dyDescent="0.45">
      <c r="A377" t="s">
        <v>25</v>
      </c>
      <c r="B377" t="s">
        <v>25</v>
      </c>
      <c r="D377" t="str">
        <f>IF(A377='Quantity-logprob'!A377,".","N")</f>
        <v>.</v>
      </c>
      <c r="E377" t="str">
        <f t="shared" si="5"/>
        <v>.</v>
      </c>
      <c r="H377" s="8" t="s">
        <v>485</v>
      </c>
      <c r="I377" s="8" t="s">
        <v>486</v>
      </c>
      <c r="J377" s="8" t="s">
        <v>498</v>
      </c>
    </row>
    <row r="378" spans="1:10" hidden="1" x14ac:dyDescent="0.45">
      <c r="A378" t="s">
        <v>15</v>
      </c>
      <c r="B378" t="s">
        <v>15</v>
      </c>
      <c r="D378" t="str">
        <f>IF(A378='Quantity-logprob'!A378,".","N")</f>
        <v>.</v>
      </c>
      <c r="E378" t="str">
        <f t="shared" si="5"/>
        <v>.</v>
      </c>
      <c r="H378" s="8" t="s">
        <v>379</v>
      </c>
      <c r="I378" s="8" t="s">
        <v>380</v>
      </c>
      <c r="J378" s="8" t="s">
        <v>426</v>
      </c>
    </row>
    <row r="379" spans="1:10" hidden="1" x14ac:dyDescent="0.45">
      <c r="A379" t="s">
        <v>16</v>
      </c>
      <c r="B379" t="s">
        <v>16</v>
      </c>
      <c r="D379" t="str">
        <f>IF(A379='Quantity-logprob'!A379,".","N")</f>
        <v>.</v>
      </c>
      <c r="E379" t="str">
        <f t="shared" si="5"/>
        <v>.</v>
      </c>
      <c r="H379" s="8" t="s">
        <v>172</v>
      </c>
      <c r="I379" s="8" t="s">
        <v>173</v>
      </c>
      <c r="J379" s="8" t="s">
        <v>428</v>
      </c>
    </row>
    <row r="380" spans="1:10" hidden="1" x14ac:dyDescent="0.45">
      <c r="A380" t="s">
        <v>5</v>
      </c>
      <c r="B380" t="s">
        <v>5</v>
      </c>
      <c r="D380" t="str">
        <f>IF(A380='Quantity-logprob'!A380,".","N")</f>
        <v>.</v>
      </c>
      <c r="E380" t="str">
        <f t="shared" si="5"/>
        <v>.</v>
      </c>
      <c r="H380" s="8" t="s">
        <v>213</v>
      </c>
      <c r="I380" s="8" t="s">
        <v>214</v>
      </c>
      <c r="J380" s="8" t="s">
        <v>416</v>
      </c>
    </row>
    <row r="381" spans="1:10" hidden="1" x14ac:dyDescent="0.45">
      <c r="A381" t="s">
        <v>20</v>
      </c>
      <c r="B381" t="s">
        <v>20</v>
      </c>
      <c r="D381" t="str">
        <f>IF(A381='Quantity-logprob'!A381,".","N")</f>
        <v>.</v>
      </c>
      <c r="E381" t="str">
        <f t="shared" si="5"/>
        <v>.</v>
      </c>
      <c r="H381" s="8" t="s">
        <v>206</v>
      </c>
      <c r="I381" s="8" t="s">
        <v>207</v>
      </c>
      <c r="J381" s="8" t="s">
        <v>433</v>
      </c>
    </row>
    <row r="382" spans="1:10" hidden="1" x14ac:dyDescent="0.45">
      <c r="A382" t="s">
        <v>7</v>
      </c>
      <c r="B382" t="s">
        <v>7</v>
      </c>
      <c r="D382" t="str">
        <f>IF(A382='Quantity-logprob'!A382,".","N")</f>
        <v>.</v>
      </c>
      <c r="E382" t="str">
        <f t="shared" si="5"/>
        <v>.</v>
      </c>
      <c r="H382" s="8" t="s">
        <v>187</v>
      </c>
      <c r="I382" s="8" t="s">
        <v>99</v>
      </c>
      <c r="J382" s="8" t="s">
        <v>431</v>
      </c>
    </row>
    <row r="383" spans="1:10" hidden="1" x14ac:dyDescent="0.45">
      <c r="A383" t="s">
        <v>19</v>
      </c>
      <c r="B383" t="s">
        <v>533</v>
      </c>
      <c r="D383" t="str">
        <f>IF(A383='Quantity-logprob'!A383,".","N")</f>
        <v>.</v>
      </c>
      <c r="E383" t="str">
        <f t="shared" si="5"/>
        <v>N</v>
      </c>
      <c r="H383" s="8" t="s">
        <v>487</v>
      </c>
      <c r="I383" s="8" t="s">
        <v>488</v>
      </c>
      <c r="J383" s="8" t="s">
        <v>430</v>
      </c>
    </row>
    <row r="384" spans="1:10" hidden="1" x14ac:dyDescent="0.45">
      <c r="A384" t="s">
        <v>15</v>
      </c>
      <c r="B384" t="s">
        <v>15</v>
      </c>
      <c r="D384" t="str">
        <f>IF(A384='Quantity-logprob'!A384,".","N")</f>
        <v>.</v>
      </c>
      <c r="E384" t="str">
        <f t="shared" si="5"/>
        <v>.</v>
      </c>
      <c r="H384" s="8" t="s">
        <v>138</v>
      </c>
      <c r="I384" s="8" t="s">
        <v>139</v>
      </c>
      <c r="J384" s="8" t="s">
        <v>426</v>
      </c>
    </row>
    <row r="385" spans="1:10" hidden="1" x14ac:dyDescent="0.45">
      <c r="A385" t="s">
        <v>25</v>
      </c>
      <c r="B385" t="s">
        <v>25</v>
      </c>
      <c r="D385" t="str">
        <f>IF(A385='Quantity-logprob'!A385,".","N")</f>
        <v>.</v>
      </c>
      <c r="E385" t="str">
        <f t="shared" si="5"/>
        <v>.</v>
      </c>
      <c r="H385" s="8" t="s">
        <v>489</v>
      </c>
      <c r="I385" s="8" t="s">
        <v>490</v>
      </c>
      <c r="J385" s="8" t="s">
        <v>498</v>
      </c>
    </row>
    <row r="386" spans="1:10" hidden="1" x14ac:dyDescent="0.45">
      <c r="A386" t="s">
        <v>5</v>
      </c>
      <c r="B386" t="s">
        <v>5</v>
      </c>
      <c r="D386" t="str">
        <f>IF(A386='Quantity-logprob'!A386,".","N")</f>
        <v>.</v>
      </c>
      <c r="E386" t="str">
        <f t="shared" si="5"/>
        <v>.</v>
      </c>
      <c r="H386" s="8" t="s">
        <v>491</v>
      </c>
      <c r="I386" s="8" t="s">
        <v>492</v>
      </c>
      <c r="J386" s="8" t="s">
        <v>423</v>
      </c>
    </row>
    <row r="387" spans="1:10" hidden="1" x14ac:dyDescent="0.45">
      <c r="A387" t="s">
        <v>13</v>
      </c>
      <c r="B387" t="s">
        <v>13</v>
      </c>
      <c r="D387" t="str">
        <f>IF(A387='Quantity-logprob'!A387,".","N")</f>
        <v>.</v>
      </c>
      <c r="E387" t="str">
        <f t="shared" ref="E387:E408" si="6">IF(A387=B387,".","N")</f>
        <v>.</v>
      </c>
      <c r="H387" s="8" t="s">
        <v>357</v>
      </c>
      <c r="I387" s="8" t="s">
        <v>358</v>
      </c>
      <c r="J387" s="8" t="s">
        <v>420</v>
      </c>
    </row>
    <row r="388" spans="1:10" hidden="1" x14ac:dyDescent="0.45">
      <c r="A388" t="s">
        <v>8</v>
      </c>
      <c r="B388" t="s">
        <v>8</v>
      </c>
      <c r="D388" t="str">
        <f>IF(A388='Quantity-logprob'!A388,".","N")</f>
        <v>.</v>
      </c>
      <c r="E388" t="str">
        <f t="shared" si="6"/>
        <v>.</v>
      </c>
      <c r="H388" s="8" t="s">
        <v>65</v>
      </c>
      <c r="I388" s="8" t="s">
        <v>395</v>
      </c>
      <c r="J388" s="8" t="s">
        <v>427</v>
      </c>
    </row>
    <row r="389" spans="1:10" hidden="1" x14ac:dyDescent="0.45">
      <c r="A389" t="s">
        <v>13</v>
      </c>
      <c r="B389" t="s">
        <v>13</v>
      </c>
      <c r="D389" t="str">
        <f>IF(A389='Quantity-logprob'!A389,".","N")</f>
        <v>.</v>
      </c>
      <c r="E389" t="str">
        <f t="shared" si="6"/>
        <v>.</v>
      </c>
      <c r="H389" s="8" t="s">
        <v>414</v>
      </c>
      <c r="I389" s="8" t="s">
        <v>99</v>
      </c>
      <c r="J389" s="8" t="s">
        <v>420</v>
      </c>
    </row>
    <row r="390" spans="1:10" hidden="1" x14ac:dyDescent="0.45">
      <c r="A390" t="s">
        <v>13</v>
      </c>
      <c r="B390" t="s">
        <v>13</v>
      </c>
      <c r="D390" t="str">
        <f>IF(A390='Quantity-logprob'!A390,".","N")</f>
        <v>.</v>
      </c>
      <c r="E390" t="str">
        <f t="shared" si="6"/>
        <v>.</v>
      </c>
      <c r="H390" s="8" t="s">
        <v>359</v>
      </c>
      <c r="I390" s="8" t="s">
        <v>99</v>
      </c>
      <c r="J390" s="8" t="s">
        <v>420</v>
      </c>
    </row>
    <row r="391" spans="1:10" hidden="1" x14ac:dyDescent="0.45">
      <c r="A391" t="s">
        <v>7</v>
      </c>
      <c r="B391" t="s">
        <v>7</v>
      </c>
      <c r="D391" t="str">
        <f>IF(A391='Quantity-logprob'!A391,".","N")</f>
        <v>.</v>
      </c>
      <c r="E391" t="str">
        <f t="shared" si="6"/>
        <v>.</v>
      </c>
      <c r="H391" s="8" t="s">
        <v>462</v>
      </c>
      <c r="I391" s="8" t="s">
        <v>99</v>
      </c>
      <c r="J391" s="8" t="s">
        <v>418</v>
      </c>
    </row>
    <row r="392" spans="1:10" hidden="1" x14ac:dyDescent="0.45">
      <c r="A392" t="s">
        <v>25</v>
      </c>
      <c r="B392" t="s">
        <v>25</v>
      </c>
      <c r="D392" t="str">
        <f>IF(A392='Quantity-logprob'!A392,".","N")</f>
        <v>.</v>
      </c>
      <c r="E392" t="str">
        <f t="shared" si="6"/>
        <v>.</v>
      </c>
      <c r="H392" s="8" t="s">
        <v>493</v>
      </c>
      <c r="I392" s="8" t="s">
        <v>494</v>
      </c>
      <c r="J392" s="8" t="s">
        <v>498</v>
      </c>
    </row>
    <row r="393" spans="1:10" hidden="1" x14ac:dyDescent="0.45">
      <c r="A393" t="s">
        <v>23</v>
      </c>
      <c r="B393" t="s">
        <v>23</v>
      </c>
      <c r="D393" t="str">
        <f>IF(A393='Quantity-logprob'!A393,".","N")</f>
        <v>.</v>
      </c>
      <c r="E393" t="str">
        <f t="shared" si="6"/>
        <v>.</v>
      </c>
      <c r="H393" s="8" t="s">
        <v>400</v>
      </c>
      <c r="I393" s="8" t="s">
        <v>401</v>
      </c>
      <c r="J393" s="8" t="s">
        <v>438</v>
      </c>
    </row>
    <row r="394" spans="1:10" hidden="1" x14ac:dyDescent="0.45">
      <c r="A394" t="s">
        <v>13</v>
      </c>
      <c r="B394" t="s">
        <v>13</v>
      </c>
      <c r="D394" t="str">
        <f>IF(A394='Quantity-logprob'!A394,".","N")</f>
        <v>.</v>
      </c>
      <c r="E394" t="str">
        <f t="shared" si="6"/>
        <v>.</v>
      </c>
      <c r="H394" s="8" t="s">
        <v>456</v>
      </c>
      <c r="I394" s="8" t="s">
        <v>457</v>
      </c>
      <c r="J394" s="8" t="s">
        <v>420</v>
      </c>
    </row>
    <row r="395" spans="1:10" hidden="1" x14ac:dyDescent="0.45">
      <c r="A395" t="s">
        <v>8</v>
      </c>
      <c r="B395" t="s">
        <v>8</v>
      </c>
      <c r="D395" t="str">
        <f>IF(A395='Quantity-logprob'!A395,".","N")</f>
        <v>.</v>
      </c>
      <c r="E395" t="str">
        <f t="shared" si="6"/>
        <v>.</v>
      </c>
      <c r="H395" s="8" t="s">
        <v>211</v>
      </c>
      <c r="I395" s="8" t="s">
        <v>212</v>
      </c>
      <c r="J395" s="8" t="s">
        <v>427</v>
      </c>
    </row>
    <row r="396" spans="1:10" hidden="1" x14ac:dyDescent="0.45">
      <c r="A396" t="s">
        <v>19</v>
      </c>
      <c r="B396" t="s">
        <v>533</v>
      </c>
      <c r="D396" t="str">
        <f>IF(A396='Quantity-logprob'!A396,".","N")</f>
        <v>.</v>
      </c>
      <c r="E396" t="str">
        <f t="shared" si="6"/>
        <v>N</v>
      </c>
      <c r="H396" s="8" t="s">
        <v>495</v>
      </c>
      <c r="I396" s="8" t="s">
        <v>496</v>
      </c>
      <c r="J396" s="8" t="s">
        <v>497</v>
      </c>
    </row>
    <row r="397" spans="1:10" hidden="1" x14ac:dyDescent="0.45">
      <c r="A397" t="s">
        <v>14</v>
      </c>
      <c r="B397" t="s">
        <v>14</v>
      </c>
      <c r="D397" t="str">
        <f>IF(A397='Quantity-logprob'!A397,".","N")</f>
        <v>.</v>
      </c>
      <c r="E397" t="str">
        <f t="shared" si="6"/>
        <v>.</v>
      </c>
      <c r="H397" s="8" t="s">
        <v>410</v>
      </c>
      <c r="I397" s="8" t="s">
        <v>411</v>
      </c>
      <c r="J397" s="8" t="s">
        <v>425</v>
      </c>
    </row>
    <row r="398" spans="1:10" hidden="1" x14ac:dyDescent="0.45">
      <c r="A398" t="s">
        <v>12</v>
      </c>
      <c r="B398" t="s">
        <v>12</v>
      </c>
      <c r="D398" t="str">
        <f>IF(A398='Quantity-logprob'!A398,".","N")</f>
        <v>.</v>
      </c>
      <c r="E398" t="str">
        <f t="shared" si="6"/>
        <v>.</v>
      </c>
      <c r="H398" s="8" t="s">
        <v>165</v>
      </c>
      <c r="I398" s="8" t="s">
        <v>166</v>
      </c>
      <c r="J398" s="8" t="s">
        <v>424</v>
      </c>
    </row>
    <row r="399" spans="1:10" hidden="1" x14ac:dyDescent="0.45">
      <c r="A399" t="s">
        <v>15</v>
      </c>
      <c r="B399" t="s">
        <v>15</v>
      </c>
      <c r="D399" t="str">
        <f>IF(A399='Quantity-logprob'!A399,".","N")</f>
        <v>.</v>
      </c>
      <c r="E399" t="str">
        <f t="shared" si="6"/>
        <v>.</v>
      </c>
      <c r="H399" s="8" t="s">
        <v>197</v>
      </c>
      <c r="I399" s="8" t="s">
        <v>198</v>
      </c>
      <c r="J399" s="8" t="s">
        <v>426</v>
      </c>
    </row>
    <row r="400" spans="1:10" hidden="1" x14ac:dyDescent="0.45">
      <c r="A400" t="s">
        <v>13</v>
      </c>
      <c r="B400" t="s">
        <v>13</v>
      </c>
      <c r="D400" t="str">
        <f>IF(A400='Quantity-logprob'!A400,".","N")</f>
        <v>.</v>
      </c>
      <c r="E400" t="str">
        <f t="shared" si="6"/>
        <v>.</v>
      </c>
      <c r="H400" s="8" t="s">
        <v>465</v>
      </c>
      <c r="I400" s="8" t="s">
        <v>466</v>
      </c>
      <c r="J400" s="8" t="s">
        <v>420</v>
      </c>
    </row>
    <row r="401" spans="1:10" hidden="1" x14ac:dyDescent="0.45">
      <c r="A401" t="s">
        <v>5</v>
      </c>
      <c r="B401" t="s">
        <v>5</v>
      </c>
      <c r="D401" t="str">
        <f>IF(A401='Quantity-logprob'!A401,".","N")</f>
        <v>.</v>
      </c>
      <c r="E401" t="str">
        <f t="shared" si="6"/>
        <v>.</v>
      </c>
      <c r="H401" s="8" t="s">
        <v>323</v>
      </c>
      <c r="I401" s="8" t="s">
        <v>324</v>
      </c>
      <c r="J401" s="8" t="s">
        <v>416</v>
      </c>
    </row>
    <row r="402" spans="1:10" hidden="1" x14ac:dyDescent="0.45">
      <c r="A402" t="s">
        <v>13</v>
      </c>
      <c r="B402" t="s">
        <v>13</v>
      </c>
      <c r="D402" t="str">
        <f>IF(A402='Quantity-logprob'!A402,".","N")</f>
        <v>.</v>
      </c>
      <c r="E402" t="str">
        <f t="shared" si="6"/>
        <v>.</v>
      </c>
      <c r="H402" s="8" t="s">
        <v>127</v>
      </c>
      <c r="I402" s="8" t="s">
        <v>128</v>
      </c>
      <c r="J402" s="8" t="s">
        <v>420</v>
      </c>
    </row>
    <row r="403" spans="1:10" hidden="1" x14ac:dyDescent="0.45">
      <c r="A403" t="s">
        <v>13</v>
      </c>
      <c r="B403" t="s">
        <v>13</v>
      </c>
      <c r="D403" t="str">
        <f>IF(A403='Quantity-logprob'!A403,".","N")</f>
        <v>.</v>
      </c>
      <c r="E403" t="str">
        <f t="shared" si="6"/>
        <v>.</v>
      </c>
      <c r="H403" s="8" t="s">
        <v>441</v>
      </c>
      <c r="I403" s="8" t="s">
        <v>99</v>
      </c>
      <c r="J403" s="8" t="s">
        <v>420</v>
      </c>
    </row>
    <row r="404" spans="1:10" hidden="1" x14ac:dyDescent="0.45">
      <c r="A404" t="s">
        <v>15</v>
      </c>
      <c r="B404" t="s">
        <v>15</v>
      </c>
      <c r="D404" t="str">
        <f>IF(A404='Quantity-logprob'!A404,".","N")</f>
        <v>N</v>
      </c>
      <c r="E404" t="str">
        <f t="shared" si="6"/>
        <v>.</v>
      </c>
      <c r="H404" s="8" t="s">
        <v>129</v>
      </c>
      <c r="I404" s="8" t="s">
        <v>130</v>
      </c>
      <c r="J404" s="8" t="s">
        <v>426</v>
      </c>
    </row>
    <row r="405" spans="1:10" hidden="1" x14ac:dyDescent="0.45">
      <c r="A405" t="s">
        <v>21</v>
      </c>
      <c r="B405" t="s">
        <v>21</v>
      </c>
      <c r="D405" t="str">
        <f>IF(A405='Quantity-logprob'!A405,".","N")</f>
        <v>.</v>
      </c>
      <c r="E405" t="str">
        <f t="shared" si="6"/>
        <v>.</v>
      </c>
      <c r="H405" s="8" t="s">
        <v>217</v>
      </c>
      <c r="I405" s="8" t="s">
        <v>218</v>
      </c>
      <c r="J405" s="8" t="s">
        <v>434</v>
      </c>
    </row>
    <row r="406" spans="1:10" hidden="1" x14ac:dyDescent="0.45">
      <c r="A406" t="s">
        <v>15</v>
      </c>
      <c r="B406" t="s">
        <v>15</v>
      </c>
      <c r="D406" t="str">
        <f>IF(A406='Quantity-logprob'!A406,".","N")</f>
        <v>.</v>
      </c>
      <c r="E406" t="str">
        <f t="shared" si="6"/>
        <v>.</v>
      </c>
      <c r="H406" s="8" t="s">
        <v>201</v>
      </c>
      <c r="I406" s="8" t="s">
        <v>202</v>
      </c>
      <c r="J406" s="8" t="s">
        <v>426</v>
      </c>
    </row>
    <row r="407" spans="1:10" hidden="1" x14ac:dyDescent="0.45">
      <c r="A407" t="s">
        <v>19</v>
      </c>
      <c r="B407" t="s">
        <v>8</v>
      </c>
      <c r="D407" t="str">
        <f>IF(A407='Quantity-logprob'!A407,".","N")</f>
        <v>.</v>
      </c>
      <c r="E407" t="str">
        <f t="shared" si="6"/>
        <v>N</v>
      </c>
      <c r="H407" s="8" t="s">
        <v>444</v>
      </c>
      <c r="I407" s="8" t="s">
        <v>99</v>
      </c>
      <c r="J407" s="8" t="s">
        <v>432</v>
      </c>
    </row>
    <row r="408" spans="1:10" hidden="1" x14ac:dyDescent="0.45">
      <c r="A408" t="s">
        <v>8</v>
      </c>
      <c r="B408" t="s">
        <v>8</v>
      </c>
      <c r="D408" t="str">
        <f>IF(A408='Quantity-logprob'!A408,".","N")</f>
        <v>.</v>
      </c>
      <c r="E408" t="str">
        <f t="shared" si="6"/>
        <v>.</v>
      </c>
      <c r="H408" s="8" t="s">
        <v>191</v>
      </c>
      <c r="I408" s="8" t="s">
        <v>192</v>
      </c>
      <c r="J408" s="8" t="s">
        <v>427</v>
      </c>
    </row>
  </sheetData>
  <autoFilter ref="A1:F408" xr:uid="{06BB1107-F012-4A28-ABFD-0A8C30DA6207}">
    <filterColumn colId="0">
      <filters>
        <filter val="DimensionlessQuantity, ProportionQuantity"/>
        <filter val="PlaneAngleQuantity"/>
        <filter val="ProportionQuantity, DimensionlessQuantity"/>
      </filters>
    </filterColumn>
    <filterColumn colId="4">
      <filters>
        <filter val="N"/>
      </filters>
    </filterColumn>
  </autoFilter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3D32-980B-42CD-A20E-49210AFB0505}">
  <sheetPr filterMode="1"/>
  <dimension ref="A1:J408"/>
  <sheetViews>
    <sheetView workbookViewId="0">
      <selection activeCell="F414" sqref="F414"/>
    </sheetView>
  </sheetViews>
  <sheetFormatPr defaultRowHeight="14.25" x14ac:dyDescent="0.45"/>
  <cols>
    <col min="1" max="1" width="34.9296875" bestFit="1" customWidth="1"/>
    <col min="2" max="2" width="21.73046875" bestFit="1" customWidth="1"/>
    <col min="8" max="8" width="14.06640625" style="8" bestFit="1" customWidth="1"/>
    <col min="9" max="9" width="32.06640625" style="8" bestFit="1" customWidth="1"/>
    <col min="10" max="10" width="7.33203125" style="8" bestFit="1" customWidth="1"/>
  </cols>
  <sheetData>
    <row r="1" spans="1:10" x14ac:dyDescent="0.45">
      <c r="A1" s="1" t="s">
        <v>0</v>
      </c>
      <c r="B1" s="1" t="s">
        <v>1</v>
      </c>
      <c r="D1" t="s">
        <v>541</v>
      </c>
      <c r="E1" t="s">
        <v>542</v>
      </c>
      <c r="F1" s="11" t="s">
        <v>512</v>
      </c>
      <c r="H1" s="7" t="s">
        <v>92</v>
      </c>
      <c r="I1" s="7" t="s">
        <v>93</v>
      </c>
      <c r="J1" s="7" t="s">
        <v>415</v>
      </c>
    </row>
    <row r="2" spans="1:10" hidden="1" x14ac:dyDescent="0.45">
      <c r="A2" t="s">
        <v>26</v>
      </c>
      <c r="B2" t="s">
        <v>26</v>
      </c>
      <c r="D2" t="str">
        <f>IF(A2='Unit-logprob'!A2,".","N")</f>
        <v>.</v>
      </c>
      <c r="E2" t="str">
        <f>IF(A2=B2,".","N")</f>
        <v>.</v>
      </c>
      <c r="H2" s="8" t="s">
        <v>94</v>
      </c>
      <c r="I2" s="8" t="s">
        <v>95</v>
      </c>
      <c r="J2" s="8" t="s">
        <v>416</v>
      </c>
    </row>
    <row r="3" spans="1:10" hidden="1" x14ac:dyDescent="0.45">
      <c r="A3" t="s">
        <v>27</v>
      </c>
      <c r="B3" t="s">
        <v>27</v>
      </c>
      <c r="D3" t="str">
        <f>IF(A3='Unit-logprob'!A3,".","N")</f>
        <v>.</v>
      </c>
      <c r="E3" t="str">
        <f t="shared" ref="E3:E66" si="0">IF(A3=B3,".","N")</f>
        <v>.</v>
      </c>
      <c r="H3" s="8" t="s">
        <v>96</v>
      </c>
      <c r="I3" s="8" t="s">
        <v>97</v>
      </c>
      <c r="J3" s="8" t="s">
        <v>417</v>
      </c>
    </row>
    <row r="4" spans="1:10" hidden="1" x14ac:dyDescent="0.45">
      <c r="A4" t="s">
        <v>28</v>
      </c>
      <c r="B4" t="s">
        <v>28</v>
      </c>
      <c r="D4" t="str">
        <f>IF(A4='Unit-logprob'!A4,".","N")</f>
        <v>.</v>
      </c>
      <c r="E4" t="str">
        <f t="shared" si="0"/>
        <v>.</v>
      </c>
      <c r="H4" s="8" t="s">
        <v>98</v>
      </c>
      <c r="I4" s="8" t="s">
        <v>99</v>
      </c>
      <c r="J4" s="8" t="s">
        <v>418</v>
      </c>
    </row>
    <row r="5" spans="1:10" hidden="1" x14ac:dyDescent="0.45">
      <c r="A5" t="s">
        <v>29</v>
      </c>
      <c r="B5" t="s">
        <v>29</v>
      </c>
      <c r="D5" t="str">
        <f>IF(A5='Unit-logprob'!A5,".","N")</f>
        <v>.</v>
      </c>
      <c r="E5" t="str">
        <f t="shared" si="0"/>
        <v>.</v>
      </c>
      <c r="H5" s="8" t="s">
        <v>100</v>
      </c>
      <c r="I5" s="8" t="s">
        <v>101</v>
      </c>
      <c r="J5" s="8" t="s">
        <v>419</v>
      </c>
    </row>
    <row r="6" spans="1:10" hidden="1" x14ac:dyDescent="0.45">
      <c r="A6" t="s">
        <v>9</v>
      </c>
      <c r="B6" t="s">
        <v>533</v>
      </c>
      <c r="D6" t="str">
        <f>IF(A6='Unit-logprob'!A6,".","N")</f>
        <v>.</v>
      </c>
      <c r="E6" t="str">
        <f t="shared" si="0"/>
        <v>N</v>
      </c>
      <c r="H6" s="8" t="s">
        <v>102</v>
      </c>
      <c r="I6" s="8" t="s">
        <v>99</v>
      </c>
      <c r="J6" s="8" t="s">
        <v>420</v>
      </c>
    </row>
    <row r="7" spans="1:10" hidden="1" x14ac:dyDescent="0.45">
      <c r="A7" t="s">
        <v>30</v>
      </c>
      <c r="B7" t="s">
        <v>30</v>
      </c>
      <c r="D7" t="str">
        <f>IF(A7='Unit-logprob'!A7,".","N")</f>
        <v>.</v>
      </c>
      <c r="E7" t="str">
        <f t="shared" si="0"/>
        <v>.</v>
      </c>
      <c r="H7" s="8" t="s">
        <v>103</v>
      </c>
      <c r="I7" s="8" t="s">
        <v>99</v>
      </c>
      <c r="J7" s="8" t="s">
        <v>421</v>
      </c>
    </row>
    <row r="8" spans="1:10" hidden="1" x14ac:dyDescent="0.45">
      <c r="A8" t="s">
        <v>31</v>
      </c>
      <c r="B8" t="s">
        <v>31</v>
      </c>
      <c r="D8" t="str">
        <f>IF(A8='Unit-logprob'!A8,".","N")</f>
        <v>.</v>
      </c>
      <c r="E8" t="str">
        <f t="shared" si="0"/>
        <v>.</v>
      </c>
      <c r="H8" s="8" t="s">
        <v>104</v>
      </c>
      <c r="I8" s="8" t="s">
        <v>105</v>
      </c>
      <c r="J8" s="8" t="s">
        <v>422</v>
      </c>
    </row>
    <row r="9" spans="1:10" hidden="1" x14ac:dyDescent="0.45">
      <c r="A9" t="s">
        <v>32</v>
      </c>
      <c r="B9" t="s">
        <v>32</v>
      </c>
      <c r="D9" t="str">
        <f>IF(A9='Unit-logprob'!A9,".","N")</f>
        <v>.</v>
      </c>
      <c r="E9" t="str">
        <f t="shared" si="0"/>
        <v>.</v>
      </c>
      <c r="H9" s="8" t="s">
        <v>106</v>
      </c>
      <c r="I9" s="8" t="s">
        <v>99</v>
      </c>
      <c r="J9" s="8" t="s">
        <v>423</v>
      </c>
    </row>
    <row r="10" spans="1:10" hidden="1" x14ac:dyDescent="0.45">
      <c r="A10" t="s">
        <v>27</v>
      </c>
      <c r="B10" t="s">
        <v>27</v>
      </c>
      <c r="D10" t="str">
        <f>IF(A10='Unit-logprob'!A10,".","N")</f>
        <v>.</v>
      </c>
      <c r="E10" t="str">
        <f t="shared" si="0"/>
        <v>.</v>
      </c>
      <c r="H10" s="8" t="s">
        <v>107</v>
      </c>
      <c r="I10" s="8" t="s">
        <v>108</v>
      </c>
      <c r="J10" s="8" t="s">
        <v>417</v>
      </c>
    </row>
    <row r="11" spans="1:10" hidden="1" x14ac:dyDescent="0.45">
      <c r="A11" t="s">
        <v>27</v>
      </c>
      <c r="B11" t="s">
        <v>27</v>
      </c>
      <c r="D11" t="str">
        <f>IF(A11='Unit-logprob'!A11,".","N")</f>
        <v>.</v>
      </c>
      <c r="E11" t="str">
        <f t="shared" si="0"/>
        <v>.</v>
      </c>
      <c r="H11" s="8" t="s">
        <v>109</v>
      </c>
      <c r="I11" s="8" t="s">
        <v>110</v>
      </c>
      <c r="J11" s="8" t="s">
        <v>417</v>
      </c>
    </row>
    <row r="12" spans="1:10" hidden="1" x14ac:dyDescent="0.45">
      <c r="A12" t="s">
        <v>30</v>
      </c>
      <c r="B12" t="s">
        <v>30</v>
      </c>
      <c r="D12" t="str">
        <f>IF(A12='Unit-logprob'!A12,".","N")</f>
        <v>.</v>
      </c>
      <c r="E12" t="str">
        <f t="shared" si="0"/>
        <v>.</v>
      </c>
      <c r="H12" s="8" t="s">
        <v>111</v>
      </c>
      <c r="I12" s="8" t="s">
        <v>112</v>
      </c>
      <c r="J12" s="8" t="s">
        <v>421</v>
      </c>
    </row>
    <row r="13" spans="1:10" hidden="1" x14ac:dyDescent="0.45">
      <c r="A13" t="s">
        <v>33</v>
      </c>
      <c r="B13" t="s">
        <v>33</v>
      </c>
      <c r="D13" t="str">
        <f>IF(A13='Unit-logprob'!A13,".","N")</f>
        <v>.</v>
      </c>
      <c r="E13" t="str">
        <f t="shared" si="0"/>
        <v>.</v>
      </c>
      <c r="H13" s="8" t="s">
        <v>113</v>
      </c>
      <c r="I13" s="8" t="s">
        <v>114</v>
      </c>
      <c r="J13" s="8" t="s">
        <v>424</v>
      </c>
    </row>
    <row r="14" spans="1:10" hidden="1" x14ac:dyDescent="0.45">
      <c r="A14" t="s">
        <v>30</v>
      </c>
      <c r="B14" t="s">
        <v>30</v>
      </c>
      <c r="D14" t="str">
        <f>IF(A14='Unit-logprob'!A14,".","N")</f>
        <v>.</v>
      </c>
      <c r="E14" t="str">
        <f t="shared" si="0"/>
        <v>.</v>
      </c>
      <c r="H14" s="8" t="s">
        <v>115</v>
      </c>
      <c r="I14" s="8" t="s">
        <v>116</v>
      </c>
      <c r="J14" s="8" t="s">
        <v>421</v>
      </c>
    </row>
    <row r="15" spans="1:10" hidden="1" x14ac:dyDescent="0.45">
      <c r="A15" t="s">
        <v>35</v>
      </c>
      <c r="B15" t="s">
        <v>35</v>
      </c>
      <c r="D15" t="str">
        <f>IF(A15='Unit-logprob'!A15,".","N")</f>
        <v>.</v>
      </c>
      <c r="E15" t="str">
        <f t="shared" si="0"/>
        <v>.</v>
      </c>
      <c r="H15" s="8" t="s">
        <v>117</v>
      </c>
      <c r="I15" s="8" t="s">
        <v>99</v>
      </c>
      <c r="J15" s="8" t="s">
        <v>420</v>
      </c>
    </row>
    <row r="16" spans="1:10" hidden="1" x14ac:dyDescent="0.45">
      <c r="A16" t="s">
        <v>30</v>
      </c>
      <c r="B16" t="s">
        <v>30</v>
      </c>
      <c r="D16" t="str">
        <f>IF(A16='Unit-logprob'!A16,".","N")</f>
        <v>.</v>
      </c>
      <c r="E16" t="str">
        <f t="shared" si="0"/>
        <v>.</v>
      </c>
      <c r="H16" s="8" t="s">
        <v>118</v>
      </c>
      <c r="I16" s="8" t="s">
        <v>119</v>
      </c>
      <c r="J16" s="8" t="s">
        <v>421</v>
      </c>
    </row>
    <row r="17" spans="1:10" hidden="1" x14ac:dyDescent="0.45">
      <c r="A17" t="s">
        <v>35</v>
      </c>
      <c r="B17" t="s">
        <v>35</v>
      </c>
      <c r="D17" t="str">
        <f>IF(A17='Unit-logprob'!A17,".","N")</f>
        <v>.</v>
      </c>
      <c r="E17" t="str">
        <f t="shared" si="0"/>
        <v>.</v>
      </c>
      <c r="H17" s="8" t="s">
        <v>120</v>
      </c>
      <c r="I17" s="8" t="s">
        <v>121</v>
      </c>
      <c r="J17" s="8" t="s">
        <v>420</v>
      </c>
    </row>
    <row r="18" spans="1:10" hidden="1" x14ac:dyDescent="0.45">
      <c r="A18" t="s">
        <v>36</v>
      </c>
      <c r="B18" t="s">
        <v>36</v>
      </c>
      <c r="D18" t="str">
        <f>IF(A18='Unit-logprob'!A18,".","N")</f>
        <v>.</v>
      </c>
      <c r="E18" t="str">
        <f t="shared" si="0"/>
        <v>.</v>
      </c>
      <c r="H18" s="8" t="s">
        <v>122</v>
      </c>
      <c r="I18" s="8" t="s">
        <v>123</v>
      </c>
      <c r="J18" s="8" t="s">
        <v>425</v>
      </c>
    </row>
    <row r="19" spans="1:10" hidden="1" x14ac:dyDescent="0.45">
      <c r="A19" t="s">
        <v>28</v>
      </c>
      <c r="B19" t="s">
        <v>28</v>
      </c>
      <c r="D19" t="str">
        <f>IF(A19='Unit-logprob'!A19,".","N")</f>
        <v>.</v>
      </c>
      <c r="E19" t="str">
        <f t="shared" si="0"/>
        <v>.</v>
      </c>
      <c r="H19" s="8" t="s">
        <v>124</v>
      </c>
      <c r="I19" s="8" t="s">
        <v>99</v>
      </c>
      <c r="J19" s="8" t="s">
        <v>418</v>
      </c>
    </row>
    <row r="20" spans="1:10" hidden="1" x14ac:dyDescent="0.45">
      <c r="A20" t="s">
        <v>27</v>
      </c>
      <c r="B20" t="s">
        <v>27</v>
      </c>
      <c r="D20" t="str">
        <f>IF(A20='Unit-logprob'!A20,".","N")</f>
        <v>.</v>
      </c>
      <c r="E20" t="str">
        <f t="shared" si="0"/>
        <v>.</v>
      </c>
      <c r="H20" s="8" t="s">
        <v>125</v>
      </c>
      <c r="I20" s="8" t="s">
        <v>126</v>
      </c>
      <c r="J20" s="8" t="s">
        <v>417</v>
      </c>
    </row>
    <row r="21" spans="1:10" hidden="1" x14ac:dyDescent="0.45">
      <c r="A21" t="s">
        <v>35</v>
      </c>
      <c r="B21" t="s">
        <v>35</v>
      </c>
      <c r="D21" t="str">
        <f>IF(A21='Unit-logprob'!A21,".","N")</f>
        <v>.</v>
      </c>
      <c r="E21" t="str">
        <f t="shared" si="0"/>
        <v>.</v>
      </c>
      <c r="H21" s="8" t="s">
        <v>127</v>
      </c>
      <c r="I21" s="8" t="s">
        <v>128</v>
      </c>
      <c r="J21" s="8" t="s">
        <v>420</v>
      </c>
    </row>
    <row r="22" spans="1:10" hidden="1" x14ac:dyDescent="0.45">
      <c r="A22" t="s">
        <v>38</v>
      </c>
      <c r="B22" t="s">
        <v>38</v>
      </c>
      <c r="D22" t="str">
        <f>IF(A22='Unit-logprob'!A22,".","N")</f>
        <v>.</v>
      </c>
      <c r="E22" t="str">
        <f t="shared" si="0"/>
        <v>.</v>
      </c>
      <c r="H22" s="8" t="s">
        <v>129</v>
      </c>
      <c r="I22" s="8" t="s">
        <v>130</v>
      </c>
      <c r="J22" s="8" t="s">
        <v>426</v>
      </c>
    </row>
    <row r="23" spans="1:10" hidden="1" x14ac:dyDescent="0.45">
      <c r="A23" t="s">
        <v>39</v>
      </c>
      <c r="B23" t="s">
        <v>39</v>
      </c>
      <c r="D23" t="str">
        <f>IF(A23='Unit-logprob'!A23,".","N")</f>
        <v>.</v>
      </c>
      <c r="E23" t="str">
        <f t="shared" si="0"/>
        <v>.</v>
      </c>
      <c r="H23" s="8" t="s">
        <v>131</v>
      </c>
      <c r="I23" s="8" t="s">
        <v>132</v>
      </c>
      <c r="J23" s="8" t="s">
        <v>427</v>
      </c>
    </row>
    <row r="24" spans="1:10" hidden="1" x14ac:dyDescent="0.45">
      <c r="A24" t="s">
        <v>40</v>
      </c>
      <c r="B24" t="s">
        <v>40</v>
      </c>
      <c r="D24" t="str">
        <f>IF(A24='Unit-logprob'!A24,".","N")</f>
        <v>.</v>
      </c>
      <c r="E24" t="str">
        <f t="shared" si="0"/>
        <v>.</v>
      </c>
      <c r="H24" s="8" t="s">
        <v>133</v>
      </c>
      <c r="I24" s="8" t="s">
        <v>134</v>
      </c>
      <c r="J24" s="8" t="s">
        <v>428</v>
      </c>
    </row>
    <row r="25" spans="1:10" hidden="1" x14ac:dyDescent="0.45">
      <c r="A25" t="s">
        <v>35</v>
      </c>
      <c r="B25" t="s">
        <v>35</v>
      </c>
      <c r="D25" t="str">
        <f>IF(A25='Unit-logprob'!A25,".","N")</f>
        <v>.</v>
      </c>
      <c r="E25" t="str">
        <f t="shared" si="0"/>
        <v>.</v>
      </c>
      <c r="H25" s="8" t="s">
        <v>135</v>
      </c>
      <c r="I25" s="8" t="s">
        <v>99</v>
      </c>
      <c r="J25" s="8" t="s">
        <v>420</v>
      </c>
    </row>
    <row r="26" spans="1:10" hidden="1" x14ac:dyDescent="0.45">
      <c r="A26" t="s">
        <v>35</v>
      </c>
      <c r="B26" t="s">
        <v>35</v>
      </c>
      <c r="D26" t="str">
        <f>IF(A26='Unit-logprob'!A26,".","N")</f>
        <v>.</v>
      </c>
      <c r="E26" t="str">
        <f t="shared" si="0"/>
        <v>.</v>
      </c>
      <c r="H26" s="8" t="s">
        <v>136</v>
      </c>
      <c r="I26" s="8" t="s">
        <v>99</v>
      </c>
      <c r="J26" s="8" t="s">
        <v>420</v>
      </c>
    </row>
    <row r="27" spans="1:10" hidden="1" x14ac:dyDescent="0.45">
      <c r="A27" t="s">
        <v>9</v>
      </c>
      <c r="B27" t="s">
        <v>33</v>
      </c>
      <c r="D27" t="str">
        <f>IF(A27='Unit-logprob'!A27,".","N")</f>
        <v>.</v>
      </c>
      <c r="E27" t="str">
        <f t="shared" si="0"/>
        <v>N</v>
      </c>
      <c r="H27" s="8" t="s">
        <v>137</v>
      </c>
      <c r="I27" s="8" t="s">
        <v>99</v>
      </c>
      <c r="J27" s="8" t="s">
        <v>424</v>
      </c>
    </row>
    <row r="28" spans="1:10" hidden="1" x14ac:dyDescent="0.45">
      <c r="A28" t="s">
        <v>38</v>
      </c>
      <c r="B28" t="s">
        <v>38</v>
      </c>
      <c r="D28" t="str">
        <f>IF(A28='Unit-logprob'!A28,".","N")</f>
        <v>.</v>
      </c>
      <c r="E28" t="str">
        <f t="shared" si="0"/>
        <v>.</v>
      </c>
      <c r="H28" s="8" t="s">
        <v>138</v>
      </c>
      <c r="I28" s="8" t="s">
        <v>139</v>
      </c>
      <c r="J28" s="8" t="s">
        <v>426</v>
      </c>
    </row>
    <row r="29" spans="1:10" hidden="1" x14ac:dyDescent="0.45">
      <c r="A29" t="s">
        <v>35</v>
      </c>
      <c r="B29" t="s">
        <v>35</v>
      </c>
      <c r="D29" t="str">
        <f>IF(A29='Unit-logprob'!A29,".","N")</f>
        <v>.</v>
      </c>
      <c r="E29" t="str">
        <f t="shared" si="0"/>
        <v>.</v>
      </c>
      <c r="H29" s="8" t="s">
        <v>140</v>
      </c>
      <c r="I29" s="8" t="s">
        <v>141</v>
      </c>
      <c r="J29" s="8" t="s">
        <v>420</v>
      </c>
    </row>
    <row r="30" spans="1:10" hidden="1" x14ac:dyDescent="0.45">
      <c r="A30" t="s">
        <v>38</v>
      </c>
      <c r="B30" t="s">
        <v>38</v>
      </c>
      <c r="D30" t="str">
        <f>IF(A30='Unit-logprob'!A30,".","N")</f>
        <v>.</v>
      </c>
      <c r="E30" t="str">
        <f t="shared" si="0"/>
        <v>.</v>
      </c>
      <c r="H30" s="8" t="s">
        <v>142</v>
      </c>
      <c r="I30" s="8" t="s">
        <v>99</v>
      </c>
      <c r="J30" s="8" t="s">
        <v>426</v>
      </c>
    </row>
    <row r="31" spans="1:10" hidden="1" x14ac:dyDescent="0.45">
      <c r="A31" t="s">
        <v>27</v>
      </c>
      <c r="B31" t="s">
        <v>27</v>
      </c>
      <c r="D31" t="str">
        <f>IF(A31='Unit-logprob'!A31,".","N")</f>
        <v>.</v>
      </c>
      <c r="E31" t="str">
        <f t="shared" si="0"/>
        <v>.</v>
      </c>
      <c r="H31" s="8" t="s">
        <v>143</v>
      </c>
      <c r="I31" s="8" t="s">
        <v>144</v>
      </c>
      <c r="J31" s="8" t="s">
        <v>417</v>
      </c>
    </row>
    <row r="32" spans="1:10" hidden="1" x14ac:dyDescent="0.45">
      <c r="A32" t="s">
        <v>27</v>
      </c>
      <c r="B32" t="s">
        <v>27</v>
      </c>
      <c r="D32" t="str">
        <f>IF(A32='Unit-logprob'!A32,".","N")</f>
        <v>.</v>
      </c>
      <c r="E32" t="str">
        <f t="shared" si="0"/>
        <v>.</v>
      </c>
      <c r="H32" s="8" t="s">
        <v>145</v>
      </c>
      <c r="I32" s="8" t="s">
        <v>146</v>
      </c>
      <c r="J32" s="8" t="s">
        <v>417</v>
      </c>
    </row>
    <row r="33" spans="1:10" hidden="1" x14ac:dyDescent="0.45">
      <c r="A33" t="s">
        <v>27</v>
      </c>
      <c r="B33" t="s">
        <v>27</v>
      </c>
      <c r="D33" t="str">
        <f>IF(A33='Unit-logprob'!A33,".","N")</f>
        <v>.</v>
      </c>
      <c r="E33" t="str">
        <f t="shared" si="0"/>
        <v>.</v>
      </c>
      <c r="H33" s="8" t="s">
        <v>147</v>
      </c>
      <c r="I33" s="8" t="s">
        <v>148</v>
      </c>
      <c r="J33" s="8" t="s">
        <v>417</v>
      </c>
    </row>
    <row r="34" spans="1:10" hidden="1" x14ac:dyDescent="0.45">
      <c r="A34" t="s">
        <v>35</v>
      </c>
      <c r="B34" t="s">
        <v>35</v>
      </c>
      <c r="D34" t="str">
        <f>IF(A34='Unit-logprob'!A34,".","N")</f>
        <v>.</v>
      </c>
      <c r="E34" t="str">
        <f t="shared" si="0"/>
        <v>.</v>
      </c>
      <c r="H34" s="8" t="s">
        <v>149</v>
      </c>
      <c r="I34" s="8" t="s">
        <v>99</v>
      </c>
      <c r="J34" s="8" t="s">
        <v>420</v>
      </c>
    </row>
    <row r="35" spans="1:10" hidden="1" x14ac:dyDescent="0.45">
      <c r="A35" t="s">
        <v>35</v>
      </c>
      <c r="B35" t="s">
        <v>35</v>
      </c>
      <c r="D35" t="str">
        <f>IF(A35='Unit-logprob'!A35,".","N")</f>
        <v>.</v>
      </c>
      <c r="E35" t="str">
        <f t="shared" si="0"/>
        <v>.</v>
      </c>
      <c r="H35" s="8" t="s">
        <v>150</v>
      </c>
      <c r="I35" s="8" t="s">
        <v>151</v>
      </c>
      <c r="J35" s="8" t="s">
        <v>420</v>
      </c>
    </row>
    <row r="36" spans="1:10" hidden="1" x14ac:dyDescent="0.45">
      <c r="A36" t="s">
        <v>32</v>
      </c>
      <c r="B36" t="s">
        <v>32</v>
      </c>
      <c r="D36" t="str">
        <f>IF(A36='Unit-logprob'!A36,".","N")</f>
        <v>.</v>
      </c>
      <c r="E36" t="str">
        <f t="shared" si="0"/>
        <v>.</v>
      </c>
      <c r="H36" s="8" t="s">
        <v>152</v>
      </c>
      <c r="I36" s="8" t="s">
        <v>153</v>
      </c>
      <c r="J36" s="8" t="s">
        <v>423</v>
      </c>
    </row>
    <row r="37" spans="1:10" hidden="1" x14ac:dyDescent="0.45">
      <c r="A37" t="s">
        <v>35</v>
      </c>
      <c r="B37" t="s">
        <v>35</v>
      </c>
      <c r="D37" t="str">
        <f>IF(A37='Unit-logprob'!A37,".","N")</f>
        <v>.</v>
      </c>
      <c r="E37" t="str">
        <f t="shared" si="0"/>
        <v>.</v>
      </c>
      <c r="H37" s="8" t="s">
        <v>154</v>
      </c>
      <c r="I37" s="8" t="s">
        <v>99</v>
      </c>
      <c r="J37" s="8" t="s">
        <v>420</v>
      </c>
    </row>
    <row r="38" spans="1:10" hidden="1" x14ac:dyDescent="0.45">
      <c r="A38" t="s">
        <v>41</v>
      </c>
      <c r="B38" t="s">
        <v>41</v>
      </c>
      <c r="D38" t="str">
        <f>IF(A38='Unit-logprob'!A38,".","N")</f>
        <v>.</v>
      </c>
      <c r="E38" t="str">
        <f t="shared" si="0"/>
        <v>.</v>
      </c>
      <c r="H38" s="8" t="s">
        <v>155</v>
      </c>
      <c r="I38" s="8" t="s">
        <v>156</v>
      </c>
      <c r="J38" s="8" t="s">
        <v>429</v>
      </c>
    </row>
    <row r="39" spans="1:10" hidden="1" x14ac:dyDescent="0.45">
      <c r="A39" t="s">
        <v>19</v>
      </c>
      <c r="B39" t="s">
        <v>533</v>
      </c>
      <c r="D39" t="str">
        <f>IF(A39='Unit-logprob'!A39,".","N")</f>
        <v>.</v>
      </c>
      <c r="E39" t="str">
        <f t="shared" si="0"/>
        <v>N</v>
      </c>
      <c r="H39" s="9" t="s">
        <v>157</v>
      </c>
      <c r="I39" s="8" t="s">
        <v>158</v>
      </c>
      <c r="J39" s="8" t="s">
        <v>430</v>
      </c>
    </row>
    <row r="40" spans="1:10" hidden="1" x14ac:dyDescent="0.45">
      <c r="A40" t="s">
        <v>35</v>
      </c>
      <c r="B40" t="s">
        <v>35</v>
      </c>
      <c r="D40" t="str">
        <f>IF(A40='Unit-logprob'!A40,".","N")</f>
        <v>.</v>
      </c>
      <c r="E40" t="str">
        <f t="shared" si="0"/>
        <v>.</v>
      </c>
      <c r="H40" s="8" t="s">
        <v>159</v>
      </c>
      <c r="I40" s="8" t="s">
        <v>99</v>
      </c>
      <c r="J40" s="8" t="s">
        <v>420</v>
      </c>
    </row>
    <row r="41" spans="1:10" hidden="1" x14ac:dyDescent="0.45">
      <c r="A41" t="s">
        <v>35</v>
      </c>
      <c r="B41" t="s">
        <v>35</v>
      </c>
      <c r="D41" t="str">
        <f>IF(A41='Unit-logprob'!A41,".","N")</f>
        <v>.</v>
      </c>
      <c r="E41" t="str">
        <f t="shared" si="0"/>
        <v>.</v>
      </c>
      <c r="H41" s="9" t="s">
        <v>160</v>
      </c>
      <c r="I41" s="8" t="s">
        <v>161</v>
      </c>
      <c r="J41" s="8" t="s">
        <v>420</v>
      </c>
    </row>
    <row r="42" spans="1:10" hidden="1" x14ac:dyDescent="0.45">
      <c r="A42" t="s">
        <v>36</v>
      </c>
      <c r="B42" t="s">
        <v>36</v>
      </c>
      <c r="D42" t="str">
        <f>IF(A42='Unit-logprob'!A42,".","N")</f>
        <v>.</v>
      </c>
      <c r="E42" t="str">
        <f t="shared" si="0"/>
        <v>.</v>
      </c>
      <c r="H42" s="8" t="s">
        <v>162</v>
      </c>
      <c r="I42" s="8" t="s">
        <v>163</v>
      </c>
      <c r="J42" s="8" t="s">
        <v>425</v>
      </c>
    </row>
    <row r="43" spans="1:10" hidden="1" x14ac:dyDescent="0.45">
      <c r="A43" t="s">
        <v>30</v>
      </c>
      <c r="B43" t="s">
        <v>30</v>
      </c>
      <c r="D43" t="str">
        <f>IF(A43='Unit-logprob'!A43,".","N")</f>
        <v>.</v>
      </c>
      <c r="E43" t="str">
        <f t="shared" si="0"/>
        <v>.</v>
      </c>
      <c r="H43" s="8" t="s">
        <v>164</v>
      </c>
      <c r="I43" s="8" t="s">
        <v>99</v>
      </c>
      <c r="J43" s="8" t="s">
        <v>421</v>
      </c>
    </row>
    <row r="44" spans="1:10" hidden="1" x14ac:dyDescent="0.45">
      <c r="A44" t="s">
        <v>33</v>
      </c>
      <c r="B44" t="s">
        <v>33</v>
      </c>
      <c r="D44" t="str">
        <f>IF(A44='Unit-logprob'!A44,".","N")</f>
        <v>.</v>
      </c>
      <c r="E44" t="str">
        <f t="shared" si="0"/>
        <v>.</v>
      </c>
      <c r="H44" s="8" t="s">
        <v>165</v>
      </c>
      <c r="I44" s="8" t="s">
        <v>166</v>
      </c>
      <c r="J44" s="8" t="s">
        <v>424</v>
      </c>
    </row>
    <row r="45" spans="1:10" hidden="1" x14ac:dyDescent="0.45">
      <c r="A45" t="s">
        <v>35</v>
      </c>
      <c r="B45" t="s">
        <v>35</v>
      </c>
      <c r="D45" t="str">
        <f>IF(A45='Unit-logprob'!A45,".","N")</f>
        <v>.</v>
      </c>
      <c r="E45" t="str">
        <f t="shared" si="0"/>
        <v>.</v>
      </c>
      <c r="H45" s="8" t="s">
        <v>167</v>
      </c>
      <c r="I45" s="8" t="s">
        <v>168</v>
      </c>
      <c r="J45" s="8" t="s">
        <v>420</v>
      </c>
    </row>
    <row r="46" spans="1:10" hidden="1" x14ac:dyDescent="0.45">
      <c r="A46" t="s">
        <v>30</v>
      </c>
      <c r="B46" t="s">
        <v>30</v>
      </c>
      <c r="D46" t="str">
        <f>IF(A46='Unit-logprob'!A46,".","N")</f>
        <v>.</v>
      </c>
      <c r="E46" t="str">
        <f t="shared" si="0"/>
        <v>.</v>
      </c>
      <c r="H46" s="8" t="s">
        <v>169</v>
      </c>
      <c r="I46" s="8" t="s">
        <v>99</v>
      </c>
      <c r="J46" s="8" t="s">
        <v>421</v>
      </c>
    </row>
    <row r="47" spans="1:10" hidden="1" x14ac:dyDescent="0.45">
      <c r="A47" t="s">
        <v>35</v>
      </c>
      <c r="B47" t="s">
        <v>35</v>
      </c>
      <c r="D47" t="str">
        <f>IF(A47='Unit-logprob'!A47,".","N")</f>
        <v>.</v>
      </c>
      <c r="E47" t="str">
        <f t="shared" si="0"/>
        <v>.</v>
      </c>
      <c r="H47" s="8" t="s">
        <v>170</v>
      </c>
      <c r="I47" s="8" t="s">
        <v>171</v>
      </c>
      <c r="J47" s="8" t="s">
        <v>420</v>
      </c>
    </row>
    <row r="48" spans="1:10" hidden="1" x14ac:dyDescent="0.45">
      <c r="A48" t="s">
        <v>40</v>
      </c>
      <c r="B48" t="s">
        <v>40</v>
      </c>
      <c r="D48" t="str">
        <f>IF(A48='Unit-logprob'!A48,".","N")</f>
        <v>.</v>
      </c>
      <c r="E48" t="str">
        <f t="shared" si="0"/>
        <v>.</v>
      </c>
      <c r="H48" s="8" t="s">
        <v>172</v>
      </c>
      <c r="I48" s="8" t="s">
        <v>173</v>
      </c>
      <c r="J48" s="8" t="s">
        <v>428</v>
      </c>
    </row>
    <row r="49" spans="1:10" hidden="1" x14ac:dyDescent="0.45">
      <c r="A49" t="s">
        <v>28</v>
      </c>
      <c r="B49" t="s">
        <v>28</v>
      </c>
      <c r="D49" t="str">
        <f>IF(A49='Unit-logprob'!A49,".","N")</f>
        <v>.</v>
      </c>
      <c r="E49" t="str">
        <f t="shared" si="0"/>
        <v>.</v>
      </c>
      <c r="H49" s="8" t="s">
        <v>174</v>
      </c>
      <c r="I49" s="8" t="s">
        <v>99</v>
      </c>
      <c r="J49" s="8" t="s">
        <v>418</v>
      </c>
    </row>
    <row r="50" spans="1:10" hidden="1" x14ac:dyDescent="0.45">
      <c r="A50" t="s">
        <v>35</v>
      </c>
      <c r="B50" t="s">
        <v>35</v>
      </c>
      <c r="D50" t="str">
        <f>IF(A50='Unit-logprob'!A50,".","N")</f>
        <v>.</v>
      </c>
      <c r="E50" t="str">
        <f t="shared" si="0"/>
        <v>.</v>
      </c>
      <c r="H50" s="8" t="s">
        <v>175</v>
      </c>
      <c r="I50" s="8" t="s">
        <v>99</v>
      </c>
      <c r="J50" s="8" t="s">
        <v>420</v>
      </c>
    </row>
    <row r="51" spans="1:10" hidden="1" x14ac:dyDescent="0.45">
      <c r="A51" t="s">
        <v>32</v>
      </c>
      <c r="B51" t="s">
        <v>32</v>
      </c>
      <c r="D51" t="str">
        <f>IF(A51='Unit-logprob'!A51,".","N")</f>
        <v>.</v>
      </c>
      <c r="E51" t="str">
        <f t="shared" si="0"/>
        <v>.</v>
      </c>
      <c r="H51" s="8" t="s">
        <v>176</v>
      </c>
      <c r="I51" s="8" t="s">
        <v>177</v>
      </c>
      <c r="J51" s="8" t="s">
        <v>423</v>
      </c>
    </row>
    <row r="52" spans="1:10" hidden="1" x14ac:dyDescent="0.45">
      <c r="A52" t="s">
        <v>38</v>
      </c>
      <c r="B52" t="s">
        <v>38</v>
      </c>
      <c r="D52" t="str">
        <f>IF(A52='Unit-logprob'!A52,".","N")</f>
        <v>.</v>
      </c>
      <c r="E52" t="str">
        <f t="shared" si="0"/>
        <v>.</v>
      </c>
      <c r="H52" s="8" t="s">
        <v>178</v>
      </c>
      <c r="I52" s="8" t="s">
        <v>179</v>
      </c>
      <c r="J52" s="8" t="s">
        <v>426</v>
      </c>
    </row>
    <row r="53" spans="1:10" hidden="1" x14ac:dyDescent="0.45">
      <c r="A53" t="s">
        <v>27</v>
      </c>
      <c r="B53" t="s">
        <v>27</v>
      </c>
      <c r="D53" t="str">
        <f>IF(A53='Unit-logprob'!A53,".","N")</f>
        <v>.</v>
      </c>
      <c r="E53" t="str">
        <f t="shared" si="0"/>
        <v>.</v>
      </c>
      <c r="H53" s="8" t="s">
        <v>180</v>
      </c>
      <c r="I53" s="8" t="s">
        <v>181</v>
      </c>
      <c r="J53" s="8" t="s">
        <v>417</v>
      </c>
    </row>
    <row r="54" spans="1:10" hidden="1" x14ac:dyDescent="0.45">
      <c r="A54" t="s">
        <v>38</v>
      </c>
      <c r="B54" t="s">
        <v>38</v>
      </c>
      <c r="D54" t="str">
        <f>IF(A54='Unit-logprob'!A54,".","N")</f>
        <v>.</v>
      </c>
      <c r="E54" t="str">
        <f t="shared" si="0"/>
        <v>.</v>
      </c>
      <c r="H54" s="8" t="s">
        <v>182</v>
      </c>
      <c r="I54" s="8" t="s">
        <v>99</v>
      </c>
      <c r="J54" s="8" t="s">
        <v>426</v>
      </c>
    </row>
    <row r="55" spans="1:10" hidden="1" x14ac:dyDescent="0.45">
      <c r="A55" t="s">
        <v>26</v>
      </c>
      <c r="B55" t="s">
        <v>26</v>
      </c>
      <c r="D55" t="str">
        <f>IF(A55='Unit-logprob'!A55,".","N")</f>
        <v>.</v>
      </c>
      <c r="E55" t="str">
        <f t="shared" si="0"/>
        <v>.</v>
      </c>
      <c r="H55" s="8" t="s">
        <v>183</v>
      </c>
      <c r="I55" s="8" t="s">
        <v>184</v>
      </c>
      <c r="J55" s="8" t="s">
        <v>416</v>
      </c>
    </row>
    <row r="56" spans="1:10" hidden="1" x14ac:dyDescent="0.45">
      <c r="A56" t="s">
        <v>36</v>
      </c>
      <c r="B56" t="s">
        <v>36</v>
      </c>
      <c r="D56" t="str">
        <f>IF(A56='Unit-logprob'!A56,".","N")</f>
        <v>.</v>
      </c>
      <c r="E56" t="str">
        <f t="shared" si="0"/>
        <v>.</v>
      </c>
      <c r="H56" s="8" t="s">
        <v>185</v>
      </c>
      <c r="I56" s="8" t="s">
        <v>186</v>
      </c>
      <c r="J56" s="8" t="s">
        <v>425</v>
      </c>
    </row>
    <row r="57" spans="1:10" hidden="1" x14ac:dyDescent="0.45">
      <c r="A57" t="s">
        <v>44</v>
      </c>
      <c r="B57" t="s">
        <v>44</v>
      </c>
      <c r="D57" t="str">
        <f>IF(A57='Unit-logprob'!A57,".","N")</f>
        <v>.</v>
      </c>
      <c r="E57" t="str">
        <f t="shared" si="0"/>
        <v>.</v>
      </c>
      <c r="H57" s="8" t="s">
        <v>187</v>
      </c>
      <c r="I57" s="8" t="s">
        <v>99</v>
      </c>
      <c r="J57" s="8" t="s">
        <v>431</v>
      </c>
    </row>
    <row r="58" spans="1:10" hidden="1" x14ac:dyDescent="0.45">
      <c r="A58" t="s">
        <v>31</v>
      </c>
      <c r="B58" t="s">
        <v>31</v>
      </c>
      <c r="D58" t="str">
        <f>IF(A58='Unit-logprob'!A58,".","N")</f>
        <v>.</v>
      </c>
      <c r="E58" t="str">
        <f t="shared" si="0"/>
        <v>.</v>
      </c>
      <c r="H58" s="8" t="s">
        <v>188</v>
      </c>
      <c r="I58" s="8" t="s">
        <v>99</v>
      </c>
      <c r="J58" s="8" t="s">
        <v>422</v>
      </c>
    </row>
    <row r="59" spans="1:10" hidden="1" x14ac:dyDescent="0.45">
      <c r="A59" t="s">
        <v>27</v>
      </c>
      <c r="B59" t="s">
        <v>27</v>
      </c>
      <c r="D59" t="str">
        <f>IF(A59='Unit-logprob'!A59,".","N")</f>
        <v>.</v>
      </c>
      <c r="E59" t="str">
        <f t="shared" si="0"/>
        <v>.</v>
      </c>
      <c r="H59" s="8" t="s">
        <v>189</v>
      </c>
      <c r="I59" s="8" t="s">
        <v>190</v>
      </c>
      <c r="J59" s="8" t="s">
        <v>417</v>
      </c>
    </row>
    <row r="60" spans="1:10" hidden="1" x14ac:dyDescent="0.45">
      <c r="A60" t="s">
        <v>39</v>
      </c>
      <c r="B60" t="s">
        <v>39</v>
      </c>
      <c r="D60" t="str">
        <f>IF(A60='Unit-logprob'!A60,".","N")</f>
        <v>.</v>
      </c>
      <c r="E60" t="str">
        <f t="shared" si="0"/>
        <v>.</v>
      </c>
      <c r="H60" s="8" t="s">
        <v>191</v>
      </c>
      <c r="I60" s="8" t="s">
        <v>192</v>
      </c>
      <c r="J60" s="8" t="s">
        <v>427</v>
      </c>
    </row>
    <row r="61" spans="1:10" hidden="1" x14ac:dyDescent="0.45">
      <c r="A61" t="s">
        <v>41</v>
      </c>
      <c r="B61" t="s">
        <v>41</v>
      </c>
      <c r="D61" t="str">
        <f>IF(A61='Unit-logprob'!A61,".","N")</f>
        <v>.</v>
      </c>
      <c r="E61" t="str">
        <f t="shared" si="0"/>
        <v>.</v>
      </c>
      <c r="H61" s="8" t="s">
        <v>193</v>
      </c>
      <c r="I61" s="8" t="s">
        <v>99</v>
      </c>
      <c r="J61" s="8" t="s">
        <v>429</v>
      </c>
    </row>
    <row r="62" spans="1:10" hidden="1" x14ac:dyDescent="0.45">
      <c r="A62" t="s">
        <v>41</v>
      </c>
      <c r="B62" t="s">
        <v>41</v>
      </c>
      <c r="D62" t="str">
        <f>IF(A62='Unit-logprob'!A62,".","N")</f>
        <v>.</v>
      </c>
      <c r="E62" t="str">
        <f t="shared" si="0"/>
        <v>.</v>
      </c>
      <c r="H62" s="8" t="s">
        <v>194</v>
      </c>
      <c r="I62" s="8" t="s">
        <v>99</v>
      </c>
      <c r="J62" s="8" t="s">
        <v>429</v>
      </c>
    </row>
    <row r="63" spans="1:10" hidden="1" x14ac:dyDescent="0.45">
      <c r="A63" t="s">
        <v>29</v>
      </c>
      <c r="B63" t="s">
        <v>29</v>
      </c>
      <c r="D63" t="str">
        <f>IF(A63='Unit-logprob'!A63,".","N")</f>
        <v>.</v>
      </c>
      <c r="E63" t="str">
        <f t="shared" si="0"/>
        <v>.</v>
      </c>
      <c r="H63" s="8" t="s">
        <v>195</v>
      </c>
      <c r="I63" s="8" t="s">
        <v>196</v>
      </c>
      <c r="J63" s="8" t="s">
        <v>419</v>
      </c>
    </row>
    <row r="64" spans="1:10" hidden="1" x14ac:dyDescent="0.45">
      <c r="A64" t="s">
        <v>38</v>
      </c>
      <c r="B64" t="s">
        <v>38</v>
      </c>
      <c r="D64" t="str">
        <f>IF(A64='Unit-logprob'!A64,".","N")</f>
        <v>.</v>
      </c>
      <c r="E64" t="str">
        <f t="shared" si="0"/>
        <v>.</v>
      </c>
      <c r="H64" s="8" t="s">
        <v>197</v>
      </c>
      <c r="I64" s="8" t="s">
        <v>198</v>
      </c>
      <c r="J64" s="8" t="s">
        <v>426</v>
      </c>
    </row>
    <row r="65" spans="1:10" hidden="1" x14ac:dyDescent="0.45">
      <c r="A65" t="s">
        <v>28</v>
      </c>
      <c r="B65" t="s">
        <v>28</v>
      </c>
      <c r="D65" t="str">
        <f>IF(A65='Unit-logprob'!A65,".","N")</f>
        <v>.</v>
      </c>
      <c r="E65" t="str">
        <f t="shared" si="0"/>
        <v>.</v>
      </c>
      <c r="H65" s="8" t="s">
        <v>199</v>
      </c>
      <c r="I65" s="8" t="s">
        <v>200</v>
      </c>
      <c r="J65" s="8" t="s">
        <v>418</v>
      </c>
    </row>
    <row r="66" spans="1:10" hidden="1" x14ac:dyDescent="0.45">
      <c r="A66" t="s">
        <v>38</v>
      </c>
      <c r="B66" t="s">
        <v>38</v>
      </c>
      <c r="D66" t="str">
        <f>IF(A66='Unit-logprob'!A66,".","N")</f>
        <v>.</v>
      </c>
      <c r="E66" t="str">
        <f t="shared" si="0"/>
        <v>.</v>
      </c>
      <c r="H66" s="8" t="s">
        <v>201</v>
      </c>
      <c r="I66" s="8" t="s">
        <v>202</v>
      </c>
      <c r="J66" s="8" t="s">
        <v>426</v>
      </c>
    </row>
    <row r="67" spans="1:10" x14ac:dyDescent="0.45">
      <c r="A67" t="s">
        <v>38</v>
      </c>
      <c r="B67" t="s">
        <v>43</v>
      </c>
      <c r="D67" t="str">
        <f>IF(A67='Unit-logprob'!A67,".","N")</f>
        <v>.</v>
      </c>
      <c r="E67" t="str">
        <f t="shared" ref="E67:E130" si="1">IF(A67=B67,".","N")</f>
        <v>N</v>
      </c>
      <c r="F67" s="8" t="s">
        <v>514</v>
      </c>
      <c r="H67" s="8" t="s">
        <v>203</v>
      </c>
      <c r="I67" s="8" t="s">
        <v>99</v>
      </c>
      <c r="J67" s="8" t="s">
        <v>426</v>
      </c>
    </row>
    <row r="68" spans="1:10" hidden="1" x14ac:dyDescent="0.45">
      <c r="A68" t="s">
        <v>19</v>
      </c>
      <c r="B68" t="s">
        <v>29</v>
      </c>
      <c r="D68" t="str">
        <f>IF(A68='Unit-logprob'!A68,".","N")</f>
        <v>.</v>
      </c>
      <c r="E68" t="str">
        <f t="shared" si="1"/>
        <v>N</v>
      </c>
      <c r="H68" s="8" t="s">
        <v>204</v>
      </c>
      <c r="I68" s="8" t="s">
        <v>205</v>
      </c>
      <c r="J68" s="8" t="s">
        <v>432</v>
      </c>
    </row>
    <row r="69" spans="1:10" hidden="1" x14ac:dyDescent="0.45">
      <c r="A69" t="s">
        <v>45</v>
      </c>
      <c r="B69" t="s">
        <v>45</v>
      </c>
      <c r="D69" t="str">
        <f>IF(A69='Unit-logprob'!A69,".","N")</f>
        <v>.</v>
      </c>
      <c r="E69" t="str">
        <f t="shared" si="1"/>
        <v>.</v>
      </c>
      <c r="H69" s="8" t="s">
        <v>206</v>
      </c>
      <c r="I69" s="8" t="s">
        <v>207</v>
      </c>
      <c r="J69" s="8" t="s">
        <v>433</v>
      </c>
    </row>
    <row r="70" spans="1:10" hidden="1" x14ac:dyDescent="0.45">
      <c r="A70" t="s">
        <v>35</v>
      </c>
      <c r="B70" t="s">
        <v>35</v>
      </c>
      <c r="D70" t="str">
        <f>IF(A70='Unit-logprob'!A70,".","N")</f>
        <v>.</v>
      </c>
      <c r="E70" t="str">
        <f t="shared" si="1"/>
        <v>.</v>
      </c>
      <c r="H70" s="8" t="s">
        <v>208</v>
      </c>
      <c r="I70" s="8" t="s">
        <v>99</v>
      </c>
      <c r="J70" s="8" t="s">
        <v>420</v>
      </c>
    </row>
    <row r="71" spans="1:10" hidden="1" x14ac:dyDescent="0.45">
      <c r="A71" t="s">
        <v>27</v>
      </c>
      <c r="B71" t="s">
        <v>27</v>
      </c>
      <c r="D71" t="str">
        <f>IF(A71='Unit-logprob'!A71,".","N")</f>
        <v>.</v>
      </c>
      <c r="E71" t="str">
        <f t="shared" si="1"/>
        <v>.</v>
      </c>
      <c r="H71" s="8" t="s">
        <v>209</v>
      </c>
      <c r="I71" s="8" t="s">
        <v>210</v>
      </c>
      <c r="J71" s="8" t="s">
        <v>417</v>
      </c>
    </row>
    <row r="72" spans="1:10" hidden="1" x14ac:dyDescent="0.45">
      <c r="A72" t="s">
        <v>39</v>
      </c>
      <c r="B72" t="s">
        <v>39</v>
      </c>
      <c r="D72" t="str">
        <f>IF(A72='Unit-logprob'!A72,".","N")</f>
        <v>.</v>
      </c>
      <c r="E72" t="str">
        <f t="shared" si="1"/>
        <v>.</v>
      </c>
      <c r="H72" s="8" t="s">
        <v>211</v>
      </c>
      <c r="I72" s="8" t="s">
        <v>212</v>
      </c>
      <c r="J72" s="8" t="s">
        <v>427</v>
      </c>
    </row>
    <row r="73" spans="1:10" hidden="1" x14ac:dyDescent="0.45">
      <c r="A73" t="s">
        <v>26</v>
      </c>
      <c r="B73" t="s">
        <v>26</v>
      </c>
      <c r="D73" t="str">
        <f>IF(A73='Unit-logprob'!A73,".","N")</f>
        <v>.</v>
      </c>
      <c r="E73" t="str">
        <f t="shared" si="1"/>
        <v>.</v>
      </c>
      <c r="H73" s="8" t="s">
        <v>213</v>
      </c>
      <c r="I73" s="8" t="s">
        <v>214</v>
      </c>
      <c r="J73" s="8" t="s">
        <v>416</v>
      </c>
    </row>
    <row r="74" spans="1:10" hidden="1" x14ac:dyDescent="0.45">
      <c r="A74" t="s">
        <v>41</v>
      </c>
      <c r="B74" t="s">
        <v>41</v>
      </c>
      <c r="D74" t="str">
        <f>IF(A74='Unit-logprob'!A74,".","N")</f>
        <v>.</v>
      </c>
      <c r="E74" t="str">
        <f t="shared" si="1"/>
        <v>.</v>
      </c>
      <c r="H74" s="8" t="s">
        <v>215</v>
      </c>
      <c r="I74" s="8" t="s">
        <v>99</v>
      </c>
      <c r="J74" s="8" t="s">
        <v>429</v>
      </c>
    </row>
    <row r="75" spans="1:10" hidden="1" x14ac:dyDescent="0.45">
      <c r="A75" t="s">
        <v>35</v>
      </c>
      <c r="B75" t="s">
        <v>35</v>
      </c>
      <c r="D75" t="str">
        <f>IF(A75='Unit-logprob'!A75,".","N")</f>
        <v>.</v>
      </c>
      <c r="E75" t="str">
        <f t="shared" si="1"/>
        <v>.</v>
      </c>
      <c r="H75" s="8" t="s">
        <v>216</v>
      </c>
      <c r="I75" s="8" t="s">
        <v>99</v>
      </c>
      <c r="J75" s="8" t="s">
        <v>420</v>
      </c>
    </row>
    <row r="76" spans="1:10" hidden="1" x14ac:dyDescent="0.45">
      <c r="A76" t="s">
        <v>47</v>
      </c>
      <c r="B76" t="s">
        <v>47</v>
      </c>
      <c r="D76" t="str">
        <f>IF(A76='Unit-logprob'!A76,".","N")</f>
        <v>.</v>
      </c>
      <c r="E76" t="str">
        <f t="shared" si="1"/>
        <v>.</v>
      </c>
      <c r="H76" s="8" t="s">
        <v>217</v>
      </c>
      <c r="I76" s="8" t="s">
        <v>218</v>
      </c>
      <c r="J76" s="8" t="s">
        <v>434</v>
      </c>
    </row>
    <row r="77" spans="1:10" hidden="1" x14ac:dyDescent="0.45">
      <c r="A77" t="s">
        <v>38</v>
      </c>
      <c r="B77" t="s">
        <v>38</v>
      </c>
      <c r="D77" t="str">
        <f>IF(A77='Unit-logprob'!A77,".","N")</f>
        <v>.</v>
      </c>
      <c r="E77" t="str">
        <f t="shared" si="1"/>
        <v>.</v>
      </c>
      <c r="H77" s="8" t="s">
        <v>219</v>
      </c>
      <c r="I77" s="8" t="s">
        <v>220</v>
      </c>
      <c r="J77" s="8" t="s">
        <v>426</v>
      </c>
    </row>
    <row r="78" spans="1:10" hidden="1" x14ac:dyDescent="0.45">
      <c r="A78" t="s">
        <v>41</v>
      </c>
      <c r="B78" t="s">
        <v>41</v>
      </c>
      <c r="D78" t="str">
        <f>IF(A78='Unit-logprob'!A78,".","N")</f>
        <v>.</v>
      </c>
      <c r="E78" t="str">
        <f t="shared" si="1"/>
        <v>.</v>
      </c>
      <c r="H78" s="8" t="s">
        <v>221</v>
      </c>
      <c r="I78" s="8" t="s">
        <v>222</v>
      </c>
      <c r="J78" s="8" t="s">
        <v>429</v>
      </c>
    </row>
    <row r="79" spans="1:10" hidden="1" x14ac:dyDescent="0.45">
      <c r="A79" t="s">
        <v>41</v>
      </c>
      <c r="B79" t="s">
        <v>41</v>
      </c>
      <c r="D79" t="str">
        <f>IF(A79='Unit-logprob'!A79,".","N")</f>
        <v>.</v>
      </c>
      <c r="E79" t="str">
        <f t="shared" si="1"/>
        <v>.</v>
      </c>
      <c r="H79" s="8" t="s">
        <v>223</v>
      </c>
      <c r="I79" s="8" t="s">
        <v>224</v>
      </c>
      <c r="J79" s="8" t="s">
        <v>429</v>
      </c>
    </row>
    <row r="80" spans="1:10" hidden="1" x14ac:dyDescent="0.45">
      <c r="A80" t="s">
        <v>41</v>
      </c>
      <c r="B80" t="s">
        <v>41</v>
      </c>
      <c r="D80" t="str">
        <f>IF(A80='Unit-logprob'!A80,".","N")</f>
        <v>.</v>
      </c>
      <c r="E80" t="str">
        <f t="shared" si="1"/>
        <v>.</v>
      </c>
      <c r="H80" s="8" t="s">
        <v>225</v>
      </c>
      <c r="I80" s="8" t="s">
        <v>226</v>
      </c>
      <c r="J80" s="8" t="s">
        <v>429</v>
      </c>
    </row>
    <row r="81" spans="1:10" hidden="1" x14ac:dyDescent="0.45">
      <c r="A81" t="s">
        <v>27</v>
      </c>
      <c r="B81" t="s">
        <v>27</v>
      </c>
      <c r="D81" t="str">
        <f>IF(A81='Unit-logprob'!A81,".","N")</f>
        <v>.</v>
      </c>
      <c r="E81" t="str">
        <f t="shared" si="1"/>
        <v>.</v>
      </c>
      <c r="H81" s="8" t="s">
        <v>227</v>
      </c>
      <c r="I81" s="8" t="s">
        <v>228</v>
      </c>
      <c r="J81" s="8" t="s">
        <v>417</v>
      </c>
    </row>
    <row r="82" spans="1:10" hidden="1" x14ac:dyDescent="0.45">
      <c r="A82" t="s">
        <v>35</v>
      </c>
      <c r="B82" t="s">
        <v>35</v>
      </c>
      <c r="D82" t="str">
        <f>IF(A82='Unit-logprob'!A82,".","N")</f>
        <v>.</v>
      </c>
      <c r="E82" t="str">
        <f t="shared" si="1"/>
        <v>.</v>
      </c>
      <c r="H82" s="8" t="s">
        <v>229</v>
      </c>
      <c r="I82" s="8" t="s">
        <v>230</v>
      </c>
      <c r="J82" s="8" t="s">
        <v>420</v>
      </c>
    </row>
    <row r="83" spans="1:10" hidden="1" x14ac:dyDescent="0.45">
      <c r="A83" t="s">
        <v>29</v>
      </c>
      <c r="B83" t="s">
        <v>29</v>
      </c>
      <c r="D83" t="str">
        <f>IF(A83='Unit-logprob'!A83,".","N")</f>
        <v>.</v>
      </c>
      <c r="E83" t="str">
        <f t="shared" si="1"/>
        <v>.</v>
      </c>
      <c r="H83" s="8" t="s">
        <v>231</v>
      </c>
      <c r="I83" s="8" t="s">
        <v>232</v>
      </c>
      <c r="J83" s="8" t="s">
        <v>419</v>
      </c>
    </row>
    <row r="84" spans="1:10" hidden="1" x14ac:dyDescent="0.45">
      <c r="A84" t="s">
        <v>36</v>
      </c>
      <c r="B84" t="s">
        <v>36</v>
      </c>
      <c r="D84" t="str">
        <f>IF(A84='Unit-logprob'!A84,".","N")</f>
        <v>.</v>
      </c>
      <c r="E84" t="str">
        <f t="shared" si="1"/>
        <v>.</v>
      </c>
      <c r="H84" s="8" t="s">
        <v>233</v>
      </c>
      <c r="I84" s="8" t="s">
        <v>234</v>
      </c>
      <c r="J84" s="8" t="s">
        <v>425</v>
      </c>
    </row>
    <row r="85" spans="1:10" hidden="1" x14ac:dyDescent="0.45">
      <c r="A85" t="s">
        <v>40</v>
      </c>
      <c r="B85" t="s">
        <v>40</v>
      </c>
      <c r="D85" t="str">
        <f>IF(A85='Unit-logprob'!A85,".","N")</f>
        <v>.</v>
      </c>
      <c r="E85" t="str">
        <f t="shared" si="1"/>
        <v>.</v>
      </c>
      <c r="H85" s="8" t="s">
        <v>235</v>
      </c>
      <c r="I85" s="8" t="s">
        <v>99</v>
      </c>
      <c r="J85" s="8" t="s">
        <v>428</v>
      </c>
    </row>
    <row r="86" spans="1:10" hidden="1" x14ac:dyDescent="0.45">
      <c r="A86" t="s">
        <v>31</v>
      </c>
      <c r="B86" t="s">
        <v>31</v>
      </c>
      <c r="D86" t="str">
        <f>IF(A86='Unit-logprob'!A86,".","N")</f>
        <v>.</v>
      </c>
      <c r="E86" t="str">
        <f t="shared" si="1"/>
        <v>.</v>
      </c>
      <c r="H86" s="8" t="s">
        <v>236</v>
      </c>
      <c r="I86" s="8" t="s">
        <v>237</v>
      </c>
      <c r="J86" s="8" t="s">
        <v>422</v>
      </c>
    </row>
    <row r="87" spans="1:10" x14ac:dyDescent="0.45">
      <c r="A87" t="s">
        <v>537</v>
      </c>
      <c r="B87" t="s">
        <v>533</v>
      </c>
      <c r="D87" t="str">
        <f>IF(A87='Unit-logprob'!A87,".","N")</f>
        <v>N</v>
      </c>
      <c r="E87" t="str">
        <f t="shared" si="1"/>
        <v>N</v>
      </c>
      <c r="F87" s="8" t="s">
        <v>515</v>
      </c>
      <c r="H87" s="8" t="s">
        <v>238</v>
      </c>
      <c r="I87" s="8" t="s">
        <v>239</v>
      </c>
      <c r="J87" s="8" t="s">
        <v>435</v>
      </c>
    </row>
    <row r="88" spans="1:10" x14ac:dyDescent="0.45">
      <c r="A88" t="s">
        <v>30</v>
      </c>
      <c r="B88" t="s">
        <v>533</v>
      </c>
      <c r="D88" t="str">
        <f>IF(A88='Unit-logprob'!A88,".","N")</f>
        <v>.</v>
      </c>
      <c r="E88" t="str">
        <f t="shared" si="1"/>
        <v>N</v>
      </c>
      <c r="F88" s="8" t="s">
        <v>514</v>
      </c>
      <c r="H88" s="8" t="s">
        <v>240</v>
      </c>
      <c r="I88" s="8" t="s">
        <v>99</v>
      </c>
      <c r="J88" s="8" t="s">
        <v>421</v>
      </c>
    </row>
    <row r="89" spans="1:10" hidden="1" x14ac:dyDescent="0.45">
      <c r="A89" t="s">
        <v>28</v>
      </c>
      <c r="B89" t="s">
        <v>28</v>
      </c>
      <c r="D89" t="str">
        <f>IF(A89='Unit-logprob'!A89,".","N")</f>
        <v>.</v>
      </c>
      <c r="E89" t="str">
        <f t="shared" si="1"/>
        <v>.</v>
      </c>
      <c r="H89" s="8" t="s">
        <v>241</v>
      </c>
      <c r="I89" s="8" t="s">
        <v>242</v>
      </c>
      <c r="J89" s="8" t="s">
        <v>418</v>
      </c>
    </row>
    <row r="90" spans="1:10" hidden="1" x14ac:dyDescent="0.45">
      <c r="A90" t="s">
        <v>45</v>
      </c>
      <c r="B90" t="s">
        <v>45</v>
      </c>
      <c r="D90" t="str">
        <f>IF(A90='Unit-logprob'!A90,".","N")</f>
        <v>.</v>
      </c>
      <c r="E90" t="str">
        <f t="shared" si="1"/>
        <v>.</v>
      </c>
      <c r="H90" s="8" t="s">
        <v>243</v>
      </c>
      <c r="I90" s="8" t="s">
        <v>244</v>
      </c>
      <c r="J90" s="8" t="s">
        <v>433</v>
      </c>
    </row>
    <row r="91" spans="1:10" hidden="1" x14ac:dyDescent="0.45">
      <c r="A91" t="s">
        <v>35</v>
      </c>
      <c r="B91" t="s">
        <v>35</v>
      </c>
      <c r="D91" t="str">
        <f>IF(A91='Unit-logprob'!A91,".","N")</f>
        <v>.</v>
      </c>
      <c r="E91" t="str">
        <f t="shared" si="1"/>
        <v>.</v>
      </c>
      <c r="H91" s="8" t="s">
        <v>245</v>
      </c>
      <c r="I91" s="8" t="s">
        <v>246</v>
      </c>
      <c r="J91" s="8" t="s">
        <v>420</v>
      </c>
    </row>
    <row r="92" spans="1:10" hidden="1" x14ac:dyDescent="0.45">
      <c r="A92" t="s">
        <v>26</v>
      </c>
      <c r="B92" t="s">
        <v>26</v>
      </c>
      <c r="D92" t="str">
        <f>IF(A92='Unit-logprob'!A92,".","N")</f>
        <v>.</v>
      </c>
      <c r="E92" t="str">
        <f t="shared" si="1"/>
        <v>.</v>
      </c>
      <c r="H92" s="8" t="s">
        <v>247</v>
      </c>
      <c r="I92" s="8" t="s">
        <v>248</v>
      </c>
      <c r="J92" s="8" t="s">
        <v>416</v>
      </c>
    </row>
    <row r="93" spans="1:10" hidden="1" x14ac:dyDescent="0.45">
      <c r="A93" t="s">
        <v>35</v>
      </c>
      <c r="B93" t="s">
        <v>35</v>
      </c>
      <c r="D93" t="str">
        <f>IF(A93='Unit-logprob'!A93,".","N")</f>
        <v>.</v>
      </c>
      <c r="E93" t="str">
        <f t="shared" si="1"/>
        <v>.</v>
      </c>
      <c r="H93" s="8" t="s">
        <v>249</v>
      </c>
      <c r="I93" s="8" t="s">
        <v>250</v>
      </c>
      <c r="J93" s="8" t="s">
        <v>420</v>
      </c>
    </row>
    <row r="94" spans="1:10" hidden="1" x14ac:dyDescent="0.45">
      <c r="A94" t="s">
        <v>26</v>
      </c>
      <c r="B94" t="s">
        <v>26</v>
      </c>
      <c r="D94" t="str">
        <f>IF(A94='Unit-logprob'!A94,".","N")</f>
        <v>.</v>
      </c>
      <c r="E94" t="str">
        <f t="shared" si="1"/>
        <v>.</v>
      </c>
      <c r="H94" s="8" t="s">
        <v>251</v>
      </c>
      <c r="I94" s="8" t="s">
        <v>252</v>
      </c>
      <c r="J94" s="8" t="s">
        <v>416</v>
      </c>
    </row>
    <row r="95" spans="1:10" hidden="1" x14ac:dyDescent="0.45">
      <c r="A95" t="s">
        <v>35</v>
      </c>
      <c r="B95" t="s">
        <v>35</v>
      </c>
      <c r="D95" t="str">
        <f>IF(A95='Unit-logprob'!A95,".","N")</f>
        <v>.</v>
      </c>
      <c r="E95" t="str">
        <f t="shared" si="1"/>
        <v>.</v>
      </c>
      <c r="H95" s="8" t="s">
        <v>253</v>
      </c>
      <c r="I95" s="8" t="s">
        <v>254</v>
      </c>
      <c r="J95" s="8" t="s">
        <v>420</v>
      </c>
    </row>
    <row r="96" spans="1:10" hidden="1" x14ac:dyDescent="0.45">
      <c r="A96" t="s">
        <v>27</v>
      </c>
      <c r="B96" t="s">
        <v>27</v>
      </c>
      <c r="D96" t="str">
        <f>IF(A96='Unit-logprob'!A96,".","N")</f>
        <v>.</v>
      </c>
      <c r="E96" t="str">
        <f t="shared" si="1"/>
        <v>.</v>
      </c>
      <c r="H96" s="8" t="s">
        <v>255</v>
      </c>
      <c r="I96" s="8" t="s">
        <v>256</v>
      </c>
      <c r="J96" s="8" t="s">
        <v>417</v>
      </c>
    </row>
    <row r="97" spans="1:10" hidden="1" x14ac:dyDescent="0.45">
      <c r="A97" t="s">
        <v>27</v>
      </c>
      <c r="B97" t="s">
        <v>27</v>
      </c>
      <c r="D97" t="str">
        <f>IF(A97='Unit-logprob'!A97,".","N")</f>
        <v>.</v>
      </c>
      <c r="E97" t="str">
        <f t="shared" si="1"/>
        <v>.</v>
      </c>
      <c r="H97" s="8" t="s">
        <v>257</v>
      </c>
      <c r="I97" s="8" t="s">
        <v>258</v>
      </c>
      <c r="J97" s="8" t="s">
        <v>417</v>
      </c>
    </row>
    <row r="98" spans="1:10" hidden="1" x14ac:dyDescent="0.45">
      <c r="A98" t="s">
        <v>35</v>
      </c>
      <c r="B98" t="s">
        <v>35</v>
      </c>
      <c r="D98" t="str">
        <f>IF(A98='Unit-logprob'!A98,".","N")</f>
        <v>.</v>
      </c>
      <c r="E98" t="str">
        <f t="shared" si="1"/>
        <v>.</v>
      </c>
      <c r="H98" s="8" t="s">
        <v>259</v>
      </c>
      <c r="I98" s="8" t="s">
        <v>99</v>
      </c>
      <c r="J98" s="8" t="s">
        <v>420</v>
      </c>
    </row>
    <row r="99" spans="1:10" hidden="1" x14ac:dyDescent="0.45">
      <c r="A99" t="s">
        <v>35</v>
      </c>
      <c r="B99" t="s">
        <v>35</v>
      </c>
      <c r="D99" t="str">
        <f>IF(A99='Unit-logprob'!A99,".","N")</f>
        <v>.</v>
      </c>
      <c r="E99" t="str">
        <f t="shared" si="1"/>
        <v>.</v>
      </c>
      <c r="H99" s="8" t="s">
        <v>260</v>
      </c>
      <c r="I99" s="8" t="s">
        <v>99</v>
      </c>
      <c r="J99" s="8" t="s">
        <v>420</v>
      </c>
    </row>
    <row r="100" spans="1:10" hidden="1" x14ac:dyDescent="0.45">
      <c r="A100" t="s">
        <v>49</v>
      </c>
      <c r="B100" t="s">
        <v>49</v>
      </c>
      <c r="D100" t="str">
        <f>IF(A100='Unit-logprob'!A100,".","N")</f>
        <v>.</v>
      </c>
      <c r="E100" t="str">
        <f t="shared" si="1"/>
        <v>.</v>
      </c>
      <c r="H100" s="8" t="s">
        <v>261</v>
      </c>
      <c r="I100" s="8" t="s">
        <v>262</v>
      </c>
      <c r="J100" s="8" t="s">
        <v>436</v>
      </c>
    </row>
    <row r="101" spans="1:10" hidden="1" x14ac:dyDescent="0.45">
      <c r="A101" t="s">
        <v>35</v>
      </c>
      <c r="B101" t="s">
        <v>35</v>
      </c>
      <c r="D101" t="str">
        <f>IF(A101='Unit-logprob'!A101,".","N")</f>
        <v>.</v>
      </c>
      <c r="E101" t="str">
        <f t="shared" si="1"/>
        <v>.</v>
      </c>
      <c r="H101" s="8" t="s">
        <v>263</v>
      </c>
      <c r="I101" s="8" t="s">
        <v>264</v>
      </c>
      <c r="J101" s="8" t="s">
        <v>420</v>
      </c>
    </row>
    <row r="102" spans="1:10" hidden="1" x14ac:dyDescent="0.45">
      <c r="A102" t="s">
        <v>41</v>
      </c>
      <c r="B102" t="s">
        <v>41</v>
      </c>
      <c r="D102" t="str">
        <f>IF(A102='Unit-logprob'!A102,".","N")</f>
        <v>.</v>
      </c>
      <c r="E102" t="str">
        <f t="shared" si="1"/>
        <v>.</v>
      </c>
      <c r="H102" s="8" t="s">
        <v>265</v>
      </c>
      <c r="I102" s="8" t="s">
        <v>266</v>
      </c>
      <c r="J102" s="8" t="s">
        <v>429</v>
      </c>
    </row>
    <row r="103" spans="1:10" hidden="1" x14ac:dyDescent="0.45">
      <c r="A103" t="s">
        <v>35</v>
      </c>
      <c r="B103" t="s">
        <v>35</v>
      </c>
      <c r="D103" t="str">
        <f>IF(A103='Unit-logprob'!A103,".","N")</f>
        <v>.</v>
      </c>
      <c r="E103" t="str">
        <f t="shared" si="1"/>
        <v>.</v>
      </c>
      <c r="H103" s="8" t="s">
        <v>267</v>
      </c>
      <c r="I103" s="8" t="s">
        <v>99</v>
      </c>
      <c r="J103" s="8" t="s">
        <v>420</v>
      </c>
    </row>
    <row r="104" spans="1:10" hidden="1" x14ac:dyDescent="0.45">
      <c r="A104" t="s">
        <v>35</v>
      </c>
      <c r="B104" t="s">
        <v>35</v>
      </c>
      <c r="D104" t="str">
        <f>IF(A104='Unit-logprob'!A104,".","N")</f>
        <v>.</v>
      </c>
      <c r="E104" t="str">
        <f t="shared" si="1"/>
        <v>.</v>
      </c>
      <c r="H104" s="8" t="s">
        <v>268</v>
      </c>
      <c r="I104" s="8" t="s">
        <v>99</v>
      </c>
      <c r="J104" s="8" t="s">
        <v>420</v>
      </c>
    </row>
    <row r="105" spans="1:10" hidden="1" x14ac:dyDescent="0.45">
      <c r="A105" t="s">
        <v>26</v>
      </c>
      <c r="B105" t="s">
        <v>26</v>
      </c>
      <c r="D105" t="str">
        <f>IF(A105='Unit-logprob'!A105,".","N")</f>
        <v>.</v>
      </c>
      <c r="E105" t="str">
        <f t="shared" si="1"/>
        <v>.</v>
      </c>
      <c r="H105" s="8" t="s">
        <v>269</v>
      </c>
      <c r="I105" s="8" t="s">
        <v>270</v>
      </c>
      <c r="J105" s="8" t="s">
        <v>416</v>
      </c>
    </row>
    <row r="106" spans="1:10" hidden="1" x14ac:dyDescent="0.45">
      <c r="A106" t="s">
        <v>35</v>
      </c>
      <c r="B106" t="s">
        <v>35</v>
      </c>
      <c r="D106" t="str">
        <f>IF(A106='Unit-logprob'!A106,".","N")</f>
        <v>.</v>
      </c>
      <c r="E106" t="str">
        <f t="shared" si="1"/>
        <v>.</v>
      </c>
      <c r="H106" s="8" t="s">
        <v>271</v>
      </c>
      <c r="I106" s="8" t="s">
        <v>99</v>
      </c>
      <c r="J106" s="8" t="s">
        <v>420</v>
      </c>
    </row>
    <row r="107" spans="1:10" hidden="1" x14ac:dyDescent="0.45">
      <c r="A107" t="s">
        <v>38</v>
      </c>
      <c r="B107" t="s">
        <v>38</v>
      </c>
      <c r="D107" t="str">
        <f>IF(A107='Unit-logprob'!A107,".","N")</f>
        <v>.</v>
      </c>
      <c r="E107" t="str">
        <f t="shared" si="1"/>
        <v>.</v>
      </c>
      <c r="H107" s="8" t="s">
        <v>272</v>
      </c>
      <c r="I107" s="8" t="s">
        <v>273</v>
      </c>
      <c r="J107" s="8" t="s">
        <v>426</v>
      </c>
    </row>
    <row r="108" spans="1:10" x14ac:dyDescent="0.45">
      <c r="A108" t="s">
        <v>30</v>
      </c>
      <c r="B108" t="s">
        <v>533</v>
      </c>
      <c r="D108" t="str">
        <f>IF(A108='Unit-logprob'!A108,".","N")</f>
        <v>.</v>
      </c>
      <c r="E108" t="str">
        <f t="shared" si="1"/>
        <v>N</v>
      </c>
      <c r="F108" s="8" t="s">
        <v>514</v>
      </c>
      <c r="H108" s="8" t="s">
        <v>274</v>
      </c>
      <c r="I108" s="8" t="s">
        <v>99</v>
      </c>
      <c r="J108" s="8" t="s">
        <v>421</v>
      </c>
    </row>
    <row r="109" spans="1:10" hidden="1" x14ac:dyDescent="0.45">
      <c r="A109" t="s">
        <v>38</v>
      </c>
      <c r="B109" t="s">
        <v>38</v>
      </c>
      <c r="D109" t="str">
        <f>IF(A109='Unit-logprob'!A109,".","N")</f>
        <v>.</v>
      </c>
      <c r="E109" t="str">
        <f t="shared" si="1"/>
        <v>.</v>
      </c>
      <c r="H109" s="8" t="s">
        <v>275</v>
      </c>
      <c r="I109" s="8" t="s">
        <v>276</v>
      </c>
      <c r="J109" s="8" t="s">
        <v>426</v>
      </c>
    </row>
    <row r="110" spans="1:10" hidden="1" x14ac:dyDescent="0.45">
      <c r="A110" t="s">
        <v>50</v>
      </c>
      <c r="B110" t="s">
        <v>50</v>
      </c>
      <c r="D110" t="str">
        <f>IF(A110='Unit-logprob'!A110,".","N")</f>
        <v>.</v>
      </c>
      <c r="E110" t="str">
        <f t="shared" si="1"/>
        <v>.</v>
      </c>
      <c r="H110" s="8" t="s">
        <v>277</v>
      </c>
      <c r="I110" s="8" t="s">
        <v>278</v>
      </c>
      <c r="J110" s="8" t="s">
        <v>437</v>
      </c>
    </row>
    <row r="111" spans="1:10" hidden="1" x14ac:dyDescent="0.45">
      <c r="A111" t="s">
        <v>41</v>
      </c>
      <c r="B111" t="s">
        <v>41</v>
      </c>
      <c r="D111" t="str">
        <f>IF(A111='Unit-logprob'!A111,".","N")</f>
        <v>.</v>
      </c>
      <c r="E111" t="str">
        <f t="shared" si="1"/>
        <v>.</v>
      </c>
      <c r="H111" s="8" t="s">
        <v>279</v>
      </c>
      <c r="I111" s="8" t="s">
        <v>99</v>
      </c>
      <c r="J111" s="8" t="s">
        <v>429</v>
      </c>
    </row>
    <row r="112" spans="1:10" hidden="1" x14ac:dyDescent="0.45">
      <c r="A112" t="s">
        <v>28</v>
      </c>
      <c r="B112" t="s">
        <v>28</v>
      </c>
      <c r="D112" t="str">
        <f>IF(A112='Unit-logprob'!A112,".","N")</f>
        <v>.</v>
      </c>
      <c r="E112" t="str">
        <f t="shared" si="1"/>
        <v>.</v>
      </c>
      <c r="H112" s="8" t="s">
        <v>280</v>
      </c>
      <c r="I112" s="8" t="s">
        <v>281</v>
      </c>
      <c r="J112" s="8" t="s">
        <v>418</v>
      </c>
    </row>
    <row r="113" spans="1:10" hidden="1" x14ac:dyDescent="0.45">
      <c r="A113" t="s">
        <v>9</v>
      </c>
      <c r="B113" t="s">
        <v>26</v>
      </c>
      <c r="D113" t="str">
        <f>IF(A113='Unit-logprob'!A113,".","N")</f>
        <v>.</v>
      </c>
      <c r="E113" t="str">
        <f t="shared" si="1"/>
        <v>N</v>
      </c>
      <c r="H113" s="8" t="s">
        <v>282</v>
      </c>
      <c r="I113" s="8" t="s">
        <v>99</v>
      </c>
      <c r="J113" s="8" t="s">
        <v>420</v>
      </c>
    </row>
    <row r="114" spans="1:10" hidden="1" x14ac:dyDescent="0.45">
      <c r="A114" t="s">
        <v>35</v>
      </c>
      <c r="B114" t="s">
        <v>35</v>
      </c>
      <c r="D114" t="str">
        <f>IF(A114='Unit-logprob'!A114,".","N")</f>
        <v>.</v>
      </c>
      <c r="E114" t="str">
        <f t="shared" si="1"/>
        <v>.</v>
      </c>
      <c r="H114" s="8" t="s">
        <v>283</v>
      </c>
      <c r="I114" s="8" t="s">
        <v>99</v>
      </c>
      <c r="J114" s="8" t="s">
        <v>420</v>
      </c>
    </row>
    <row r="115" spans="1:10" hidden="1" x14ac:dyDescent="0.45">
      <c r="A115" t="s">
        <v>47</v>
      </c>
      <c r="B115" t="s">
        <v>47</v>
      </c>
      <c r="D115" t="str">
        <f>IF(A115='Unit-logprob'!A115,".","N")</f>
        <v>.</v>
      </c>
      <c r="E115" t="str">
        <f t="shared" si="1"/>
        <v>.</v>
      </c>
      <c r="H115" s="8" t="s">
        <v>284</v>
      </c>
      <c r="I115" s="8" t="s">
        <v>99</v>
      </c>
      <c r="J115" s="8" t="s">
        <v>434</v>
      </c>
    </row>
    <row r="116" spans="1:10" hidden="1" x14ac:dyDescent="0.45">
      <c r="A116" t="s">
        <v>28</v>
      </c>
      <c r="B116" t="s">
        <v>28</v>
      </c>
      <c r="D116" t="str">
        <f>IF(A116='Unit-logprob'!A116,".","N")</f>
        <v>.</v>
      </c>
      <c r="E116" t="str">
        <f t="shared" si="1"/>
        <v>.</v>
      </c>
      <c r="H116" s="8" t="s">
        <v>285</v>
      </c>
      <c r="I116" s="8" t="s">
        <v>99</v>
      </c>
      <c r="J116" s="8" t="s">
        <v>418</v>
      </c>
    </row>
    <row r="117" spans="1:10" hidden="1" x14ac:dyDescent="0.45">
      <c r="A117" t="s">
        <v>41</v>
      </c>
      <c r="B117" t="s">
        <v>41</v>
      </c>
      <c r="D117" t="str">
        <f>IF(A117='Unit-logprob'!A117,".","N")</f>
        <v>.</v>
      </c>
      <c r="E117" t="str">
        <f t="shared" si="1"/>
        <v>.</v>
      </c>
      <c r="H117" s="8" t="s">
        <v>286</v>
      </c>
      <c r="I117" s="8" t="s">
        <v>287</v>
      </c>
      <c r="J117" s="8" t="s">
        <v>429</v>
      </c>
    </row>
    <row r="118" spans="1:10" hidden="1" x14ac:dyDescent="0.45">
      <c r="A118" t="s">
        <v>9</v>
      </c>
      <c r="B118" t="s">
        <v>35</v>
      </c>
      <c r="D118" t="str">
        <f>IF(A118='Unit-logprob'!A118,".","N")</f>
        <v>.</v>
      </c>
      <c r="E118" t="str">
        <f t="shared" si="1"/>
        <v>N</v>
      </c>
      <c r="H118" s="8" t="s">
        <v>288</v>
      </c>
      <c r="I118" s="8" t="s">
        <v>289</v>
      </c>
      <c r="J118" s="8" t="s">
        <v>420</v>
      </c>
    </row>
    <row r="119" spans="1:10" hidden="1" x14ac:dyDescent="0.45">
      <c r="A119" t="s">
        <v>35</v>
      </c>
      <c r="B119" t="s">
        <v>35</v>
      </c>
      <c r="D119" t="str">
        <f>IF(A119='Unit-logprob'!A119,".","N")</f>
        <v>.</v>
      </c>
      <c r="E119" t="str">
        <f t="shared" si="1"/>
        <v>.</v>
      </c>
      <c r="H119" s="8" t="s">
        <v>290</v>
      </c>
      <c r="I119" s="8" t="s">
        <v>99</v>
      </c>
      <c r="J119" s="8" t="s">
        <v>420</v>
      </c>
    </row>
    <row r="120" spans="1:10" hidden="1" x14ac:dyDescent="0.45">
      <c r="A120" t="s">
        <v>49</v>
      </c>
      <c r="B120" t="s">
        <v>49</v>
      </c>
      <c r="D120" t="str">
        <f>IF(A120='Unit-logprob'!A120,".","N")</f>
        <v>.</v>
      </c>
      <c r="E120" t="str">
        <f t="shared" si="1"/>
        <v>.</v>
      </c>
      <c r="H120" s="8" t="s">
        <v>291</v>
      </c>
      <c r="I120" s="8" t="s">
        <v>292</v>
      </c>
      <c r="J120" s="8" t="s">
        <v>436</v>
      </c>
    </row>
    <row r="121" spans="1:10" hidden="1" x14ac:dyDescent="0.45">
      <c r="A121" t="s">
        <v>35</v>
      </c>
      <c r="B121" t="s">
        <v>35</v>
      </c>
      <c r="D121" t="str">
        <f>IF(A121='Unit-logprob'!A121,".","N")</f>
        <v>.</v>
      </c>
      <c r="E121" t="str">
        <f t="shared" si="1"/>
        <v>.</v>
      </c>
      <c r="H121" s="8" t="s">
        <v>293</v>
      </c>
      <c r="I121" s="8" t="s">
        <v>99</v>
      </c>
      <c r="J121" s="8" t="s">
        <v>420</v>
      </c>
    </row>
    <row r="122" spans="1:10" hidden="1" x14ac:dyDescent="0.45">
      <c r="A122" t="s">
        <v>51</v>
      </c>
      <c r="B122" t="s">
        <v>51</v>
      </c>
      <c r="D122" t="str">
        <f>IF(A122='Unit-logprob'!A122,".","N")</f>
        <v>.</v>
      </c>
      <c r="E122" t="str">
        <f t="shared" si="1"/>
        <v>.</v>
      </c>
      <c r="H122" s="8" t="s">
        <v>294</v>
      </c>
      <c r="I122" s="8" t="s">
        <v>295</v>
      </c>
      <c r="J122" s="8" t="s">
        <v>438</v>
      </c>
    </row>
    <row r="123" spans="1:10" hidden="1" x14ac:dyDescent="0.45">
      <c r="A123" t="s">
        <v>52</v>
      </c>
      <c r="B123" t="s">
        <v>52</v>
      </c>
      <c r="D123" t="str">
        <f>IF(A123='Unit-logprob'!A123,".","N")</f>
        <v>.</v>
      </c>
      <c r="E123" t="str">
        <f t="shared" si="1"/>
        <v>.</v>
      </c>
      <c r="H123" s="8" t="s">
        <v>296</v>
      </c>
      <c r="I123" s="8" t="s">
        <v>297</v>
      </c>
      <c r="J123" s="8" t="s">
        <v>439</v>
      </c>
    </row>
    <row r="124" spans="1:10" hidden="1" x14ac:dyDescent="0.45">
      <c r="A124" t="s">
        <v>38</v>
      </c>
      <c r="B124" t="s">
        <v>38</v>
      </c>
      <c r="D124" t="str">
        <f>IF(A124='Unit-logprob'!A124,".","N")</f>
        <v>.</v>
      </c>
      <c r="E124" t="str">
        <f t="shared" si="1"/>
        <v>.</v>
      </c>
      <c r="H124" s="8" t="s">
        <v>298</v>
      </c>
      <c r="I124" s="8" t="s">
        <v>299</v>
      </c>
      <c r="J124" s="8" t="s">
        <v>426</v>
      </c>
    </row>
    <row r="125" spans="1:10" hidden="1" x14ac:dyDescent="0.45">
      <c r="A125" t="s">
        <v>35</v>
      </c>
      <c r="B125" t="s">
        <v>35</v>
      </c>
      <c r="D125" t="str">
        <f>IF(A125='Unit-logprob'!A125,".","N")</f>
        <v>.</v>
      </c>
      <c r="E125" t="str">
        <f t="shared" si="1"/>
        <v>.</v>
      </c>
      <c r="H125" s="8" t="s">
        <v>300</v>
      </c>
      <c r="I125" s="8" t="s">
        <v>99</v>
      </c>
      <c r="J125" s="8" t="s">
        <v>420</v>
      </c>
    </row>
    <row r="126" spans="1:10" hidden="1" x14ac:dyDescent="0.45">
      <c r="A126" t="s">
        <v>35</v>
      </c>
      <c r="B126" t="s">
        <v>35</v>
      </c>
      <c r="D126" t="str">
        <f>IF(A126='Unit-logprob'!A126,".","N")</f>
        <v>.</v>
      </c>
      <c r="E126" t="str">
        <f t="shared" si="1"/>
        <v>.</v>
      </c>
      <c r="H126" s="8" t="s">
        <v>301</v>
      </c>
      <c r="I126" s="8" t="s">
        <v>302</v>
      </c>
      <c r="J126" s="8" t="s">
        <v>420</v>
      </c>
    </row>
    <row r="127" spans="1:10" hidden="1" x14ac:dyDescent="0.45">
      <c r="A127" t="s">
        <v>30</v>
      </c>
      <c r="B127" t="s">
        <v>30</v>
      </c>
      <c r="D127" t="str">
        <f>IF(A127='Unit-logprob'!A127,".","N")</f>
        <v>.</v>
      </c>
      <c r="E127" t="str">
        <f t="shared" si="1"/>
        <v>.</v>
      </c>
      <c r="H127" s="8" t="s">
        <v>303</v>
      </c>
      <c r="I127" s="8" t="s">
        <v>304</v>
      </c>
      <c r="J127" s="8" t="s">
        <v>421</v>
      </c>
    </row>
    <row r="128" spans="1:10" hidden="1" x14ac:dyDescent="0.45">
      <c r="A128" t="s">
        <v>47</v>
      </c>
      <c r="B128" t="s">
        <v>47</v>
      </c>
      <c r="D128" t="str">
        <f>IF(A128='Unit-logprob'!A128,".","N")</f>
        <v>.</v>
      </c>
      <c r="E128" t="str">
        <f t="shared" si="1"/>
        <v>.</v>
      </c>
      <c r="H128" s="8" t="s">
        <v>305</v>
      </c>
      <c r="I128" s="8" t="s">
        <v>306</v>
      </c>
      <c r="J128" s="8" t="s">
        <v>434</v>
      </c>
    </row>
    <row r="129" spans="1:10" hidden="1" x14ac:dyDescent="0.45">
      <c r="A129" t="s">
        <v>26</v>
      </c>
      <c r="B129" t="s">
        <v>26</v>
      </c>
      <c r="D129" t="str">
        <f>IF(A129='Unit-logprob'!A129,".","N")</f>
        <v>.</v>
      </c>
      <c r="E129" t="str">
        <f t="shared" si="1"/>
        <v>.</v>
      </c>
      <c r="H129" s="8" t="s">
        <v>307</v>
      </c>
      <c r="I129" s="8" t="s">
        <v>308</v>
      </c>
      <c r="J129" s="8" t="s">
        <v>416</v>
      </c>
    </row>
    <row r="130" spans="1:10" hidden="1" x14ac:dyDescent="0.45">
      <c r="A130" t="s">
        <v>39</v>
      </c>
      <c r="B130" t="s">
        <v>39</v>
      </c>
      <c r="D130" t="str">
        <f>IF(A130='Unit-logprob'!A130,".","N")</f>
        <v>.</v>
      </c>
      <c r="E130" t="str">
        <f t="shared" si="1"/>
        <v>.</v>
      </c>
      <c r="H130" s="8" t="s">
        <v>309</v>
      </c>
      <c r="I130" s="8" t="s">
        <v>99</v>
      </c>
      <c r="J130" s="8" t="s">
        <v>427</v>
      </c>
    </row>
    <row r="131" spans="1:10" hidden="1" x14ac:dyDescent="0.45">
      <c r="A131" t="s">
        <v>27</v>
      </c>
      <c r="B131" t="s">
        <v>27</v>
      </c>
      <c r="D131" t="str">
        <f>IF(A131='Unit-logprob'!A131,".","N")</f>
        <v>.</v>
      </c>
      <c r="E131" t="str">
        <f t="shared" ref="E131:E194" si="2">IF(A131=B131,".","N")</f>
        <v>.</v>
      </c>
      <c r="H131" s="8" t="s">
        <v>310</v>
      </c>
      <c r="I131" s="8" t="s">
        <v>311</v>
      </c>
      <c r="J131" s="8" t="s">
        <v>417</v>
      </c>
    </row>
    <row r="132" spans="1:10" hidden="1" x14ac:dyDescent="0.45">
      <c r="A132" t="s">
        <v>35</v>
      </c>
      <c r="B132" t="s">
        <v>35</v>
      </c>
      <c r="D132" t="str">
        <f>IF(A132='Unit-logprob'!A132,".","N")</f>
        <v>.</v>
      </c>
      <c r="E132" t="str">
        <f t="shared" si="2"/>
        <v>.</v>
      </c>
      <c r="H132" s="8" t="s">
        <v>312</v>
      </c>
      <c r="I132" s="8" t="s">
        <v>99</v>
      </c>
      <c r="J132" s="8" t="s">
        <v>420</v>
      </c>
    </row>
    <row r="133" spans="1:10" hidden="1" x14ac:dyDescent="0.45">
      <c r="A133" t="s">
        <v>35</v>
      </c>
      <c r="B133" t="s">
        <v>35</v>
      </c>
      <c r="D133" t="str">
        <f>IF(A133='Unit-logprob'!A133,".","N")</f>
        <v>.</v>
      </c>
      <c r="E133" t="str">
        <f t="shared" si="2"/>
        <v>.</v>
      </c>
      <c r="H133" s="8" t="s">
        <v>313</v>
      </c>
      <c r="I133" s="8" t="s">
        <v>99</v>
      </c>
      <c r="J133" s="8" t="s">
        <v>420</v>
      </c>
    </row>
    <row r="134" spans="1:10" hidden="1" x14ac:dyDescent="0.45">
      <c r="A134" t="s">
        <v>9</v>
      </c>
      <c r="B134" t="s">
        <v>47</v>
      </c>
      <c r="D134" t="str">
        <f>IF(A134='Unit-logprob'!A134,".","N")</f>
        <v>.</v>
      </c>
      <c r="E134" t="str">
        <f t="shared" si="2"/>
        <v>N</v>
      </c>
      <c r="H134" s="8" t="s">
        <v>314</v>
      </c>
      <c r="I134" s="8" t="s">
        <v>99</v>
      </c>
      <c r="J134" s="8" t="s">
        <v>434</v>
      </c>
    </row>
    <row r="135" spans="1:10" hidden="1" x14ac:dyDescent="0.45">
      <c r="A135" t="s">
        <v>9</v>
      </c>
      <c r="B135" t="s">
        <v>40</v>
      </c>
      <c r="D135" t="str">
        <f>IF(A135='Unit-logprob'!A135,".","N")</f>
        <v>.</v>
      </c>
      <c r="E135" t="str">
        <f t="shared" si="2"/>
        <v>N</v>
      </c>
      <c r="H135" s="8" t="s">
        <v>315</v>
      </c>
      <c r="I135" s="8" t="s">
        <v>99</v>
      </c>
      <c r="J135" s="8" t="s">
        <v>428</v>
      </c>
    </row>
    <row r="136" spans="1:10" hidden="1" x14ac:dyDescent="0.45">
      <c r="A136" t="s">
        <v>39</v>
      </c>
      <c r="B136" t="s">
        <v>39</v>
      </c>
      <c r="D136" t="str">
        <f>IF(A136='Unit-logprob'!A136,".","N")</f>
        <v>.</v>
      </c>
      <c r="E136" t="str">
        <f t="shared" si="2"/>
        <v>.</v>
      </c>
      <c r="H136" s="8" t="s">
        <v>316</v>
      </c>
      <c r="I136" s="8" t="s">
        <v>317</v>
      </c>
      <c r="J136" s="8" t="s">
        <v>427</v>
      </c>
    </row>
    <row r="137" spans="1:10" hidden="1" x14ac:dyDescent="0.45">
      <c r="A137" t="s">
        <v>27</v>
      </c>
      <c r="B137" t="s">
        <v>27</v>
      </c>
      <c r="D137" t="str">
        <f>IF(A137='Unit-logprob'!A137,".","N")</f>
        <v>.</v>
      </c>
      <c r="E137" t="str">
        <f t="shared" si="2"/>
        <v>.</v>
      </c>
      <c r="H137" s="8" t="s">
        <v>318</v>
      </c>
      <c r="I137" s="8" t="s">
        <v>319</v>
      </c>
      <c r="J137" s="8" t="s">
        <v>417</v>
      </c>
    </row>
    <row r="138" spans="1:10" hidden="1" x14ac:dyDescent="0.45">
      <c r="A138" t="s">
        <v>41</v>
      </c>
      <c r="B138" t="s">
        <v>41</v>
      </c>
      <c r="D138" t="str">
        <f>IF(A138='Unit-logprob'!A138,".","N")</f>
        <v>.</v>
      </c>
      <c r="E138" t="str">
        <f t="shared" si="2"/>
        <v>.</v>
      </c>
      <c r="H138" s="8" t="s">
        <v>320</v>
      </c>
      <c r="I138" s="8" t="s">
        <v>321</v>
      </c>
      <c r="J138" s="8" t="s">
        <v>429</v>
      </c>
    </row>
    <row r="139" spans="1:10" hidden="1" x14ac:dyDescent="0.45">
      <c r="A139" t="s">
        <v>33</v>
      </c>
      <c r="B139" t="s">
        <v>33</v>
      </c>
      <c r="D139" t="str">
        <f>IF(A139='Unit-logprob'!A139,".","N")</f>
        <v>.</v>
      </c>
      <c r="E139" t="str">
        <f t="shared" si="2"/>
        <v>.</v>
      </c>
      <c r="H139" s="8" t="s">
        <v>322</v>
      </c>
      <c r="I139" s="8" t="s">
        <v>99</v>
      </c>
      <c r="J139" s="8" t="s">
        <v>424</v>
      </c>
    </row>
    <row r="140" spans="1:10" hidden="1" x14ac:dyDescent="0.45">
      <c r="A140" t="s">
        <v>26</v>
      </c>
      <c r="B140" t="s">
        <v>26</v>
      </c>
      <c r="D140" t="str">
        <f>IF(A140='Unit-logprob'!A140,".","N")</f>
        <v>.</v>
      </c>
      <c r="E140" t="str">
        <f t="shared" si="2"/>
        <v>.</v>
      </c>
      <c r="H140" s="8" t="s">
        <v>323</v>
      </c>
      <c r="I140" s="8" t="s">
        <v>324</v>
      </c>
      <c r="J140" s="8" t="s">
        <v>416</v>
      </c>
    </row>
    <row r="141" spans="1:10" hidden="1" x14ac:dyDescent="0.45">
      <c r="A141" t="s">
        <v>41</v>
      </c>
      <c r="B141" t="s">
        <v>41</v>
      </c>
      <c r="D141" t="str">
        <f>IF(A141='Unit-logprob'!A141,".","N")</f>
        <v>.</v>
      </c>
      <c r="E141" t="str">
        <f t="shared" si="2"/>
        <v>.</v>
      </c>
      <c r="H141" s="8" t="s">
        <v>325</v>
      </c>
      <c r="I141" s="8" t="s">
        <v>321</v>
      </c>
      <c r="J141" s="8" t="s">
        <v>429</v>
      </c>
    </row>
    <row r="142" spans="1:10" hidden="1" x14ac:dyDescent="0.45">
      <c r="A142" t="s">
        <v>35</v>
      </c>
      <c r="B142" t="s">
        <v>35</v>
      </c>
      <c r="D142" t="str">
        <f>IF(A142='Unit-logprob'!A142,".","N")</f>
        <v>.</v>
      </c>
      <c r="E142" t="str">
        <f t="shared" si="2"/>
        <v>.</v>
      </c>
      <c r="H142" s="8" t="s">
        <v>326</v>
      </c>
      <c r="I142" s="8" t="s">
        <v>99</v>
      </c>
      <c r="J142" s="8" t="s">
        <v>420</v>
      </c>
    </row>
    <row r="143" spans="1:10" hidden="1" x14ac:dyDescent="0.45">
      <c r="A143" t="s">
        <v>27</v>
      </c>
      <c r="B143" t="s">
        <v>27</v>
      </c>
      <c r="D143" t="str">
        <f>IF(A143='Unit-logprob'!A143,".","N")</f>
        <v>.</v>
      </c>
      <c r="E143" t="str">
        <f t="shared" si="2"/>
        <v>.</v>
      </c>
      <c r="H143" s="8" t="s">
        <v>327</v>
      </c>
      <c r="I143" s="8" t="s">
        <v>328</v>
      </c>
      <c r="J143" s="8" t="s">
        <v>417</v>
      </c>
    </row>
    <row r="144" spans="1:10" hidden="1" x14ac:dyDescent="0.45">
      <c r="A144" t="s">
        <v>32</v>
      </c>
      <c r="B144" t="s">
        <v>32</v>
      </c>
      <c r="D144" t="str">
        <f>IF(A144='Unit-logprob'!A144,".","N")</f>
        <v>.</v>
      </c>
      <c r="E144" t="str">
        <f t="shared" si="2"/>
        <v>.</v>
      </c>
      <c r="H144" s="8" t="s">
        <v>329</v>
      </c>
      <c r="I144" s="8" t="s">
        <v>330</v>
      </c>
      <c r="J144" s="8" t="s">
        <v>423</v>
      </c>
    </row>
    <row r="145" spans="1:10" x14ac:dyDescent="0.45">
      <c r="A145" t="s">
        <v>35</v>
      </c>
      <c r="B145" t="s">
        <v>533</v>
      </c>
      <c r="D145" t="str">
        <f>IF(A145='Unit-logprob'!A145,".","N")</f>
        <v>.</v>
      </c>
      <c r="E145" t="str">
        <f t="shared" si="2"/>
        <v>N</v>
      </c>
      <c r="F145" s="8" t="s">
        <v>515</v>
      </c>
      <c r="H145" s="8" t="s">
        <v>331</v>
      </c>
      <c r="I145" s="8" t="s">
        <v>332</v>
      </c>
      <c r="J145" s="8" t="s">
        <v>420</v>
      </c>
    </row>
    <row r="146" spans="1:10" hidden="1" x14ac:dyDescent="0.45">
      <c r="A146" t="s">
        <v>56</v>
      </c>
      <c r="B146" t="s">
        <v>56</v>
      </c>
      <c r="D146" t="str">
        <f>IF(A146='Unit-logprob'!A146,".","N")</f>
        <v>N</v>
      </c>
      <c r="E146" t="str">
        <f t="shared" si="2"/>
        <v>.</v>
      </c>
      <c r="H146" s="8" t="s">
        <v>333</v>
      </c>
      <c r="I146" s="8" t="s">
        <v>334</v>
      </c>
      <c r="J146" s="8" t="s">
        <v>435</v>
      </c>
    </row>
    <row r="147" spans="1:10" hidden="1" x14ac:dyDescent="0.45">
      <c r="A147" t="s">
        <v>9</v>
      </c>
      <c r="B147" t="s">
        <v>43</v>
      </c>
      <c r="D147" t="str">
        <f>IF(A147='Unit-logprob'!A147,".","N")</f>
        <v>.</v>
      </c>
      <c r="E147" t="str">
        <f t="shared" si="2"/>
        <v>N</v>
      </c>
      <c r="H147" s="8" t="s">
        <v>335</v>
      </c>
      <c r="I147" s="8" t="s">
        <v>99</v>
      </c>
      <c r="J147" s="8" t="s">
        <v>426</v>
      </c>
    </row>
    <row r="148" spans="1:10" hidden="1" x14ac:dyDescent="0.45">
      <c r="A148" t="s">
        <v>35</v>
      </c>
      <c r="B148" t="s">
        <v>35</v>
      </c>
      <c r="D148" t="str">
        <f>IF(A148='Unit-logprob'!A148,".","N")</f>
        <v>.</v>
      </c>
      <c r="E148" t="str">
        <f t="shared" si="2"/>
        <v>.</v>
      </c>
      <c r="H148" s="8" t="s">
        <v>336</v>
      </c>
      <c r="I148" s="8" t="s">
        <v>337</v>
      </c>
      <c r="J148" s="8" t="s">
        <v>420</v>
      </c>
    </row>
    <row r="149" spans="1:10" hidden="1" x14ac:dyDescent="0.45">
      <c r="A149" t="s">
        <v>50</v>
      </c>
      <c r="B149" t="s">
        <v>50</v>
      </c>
      <c r="D149" t="str">
        <f>IF(A149='Unit-logprob'!A149,".","N")</f>
        <v>.</v>
      </c>
      <c r="E149" t="str">
        <f t="shared" si="2"/>
        <v>.</v>
      </c>
      <c r="H149" s="8" t="s">
        <v>338</v>
      </c>
      <c r="I149" s="8" t="s">
        <v>99</v>
      </c>
      <c r="J149" s="8" t="s">
        <v>437</v>
      </c>
    </row>
    <row r="150" spans="1:10" hidden="1" x14ac:dyDescent="0.45">
      <c r="A150" t="s">
        <v>41</v>
      </c>
      <c r="B150" t="s">
        <v>41</v>
      </c>
      <c r="D150" t="str">
        <f>IF(A150='Unit-logprob'!A150,".","N")</f>
        <v>.</v>
      </c>
      <c r="E150" t="str">
        <f t="shared" si="2"/>
        <v>.</v>
      </c>
      <c r="H150" s="8" t="s">
        <v>339</v>
      </c>
      <c r="I150" s="8" t="s">
        <v>340</v>
      </c>
      <c r="J150" s="8" t="s">
        <v>429</v>
      </c>
    </row>
    <row r="151" spans="1:10" hidden="1" x14ac:dyDescent="0.45">
      <c r="A151" t="s">
        <v>35</v>
      </c>
      <c r="B151" t="s">
        <v>35</v>
      </c>
      <c r="D151" t="str">
        <f>IF(A151='Unit-logprob'!A151,".","N")</f>
        <v>.</v>
      </c>
      <c r="E151" t="str">
        <f t="shared" si="2"/>
        <v>.</v>
      </c>
      <c r="H151" s="8" t="s">
        <v>341</v>
      </c>
      <c r="I151" s="8" t="s">
        <v>99</v>
      </c>
      <c r="J151" s="8" t="s">
        <v>420</v>
      </c>
    </row>
    <row r="152" spans="1:10" x14ac:dyDescent="0.45">
      <c r="A152" t="s">
        <v>30</v>
      </c>
      <c r="B152" t="s">
        <v>26</v>
      </c>
      <c r="D152" t="str">
        <f>IF(A152='Unit-logprob'!A152,".","N")</f>
        <v>.</v>
      </c>
      <c r="E152" t="str">
        <f t="shared" si="2"/>
        <v>N</v>
      </c>
      <c r="F152" s="8" t="s">
        <v>514</v>
      </c>
      <c r="H152" s="8" t="s">
        <v>342</v>
      </c>
      <c r="I152" s="8" t="s">
        <v>99</v>
      </c>
      <c r="J152" s="8" t="s">
        <v>421</v>
      </c>
    </row>
    <row r="153" spans="1:10" hidden="1" x14ac:dyDescent="0.45">
      <c r="A153" t="s">
        <v>51</v>
      </c>
      <c r="B153" t="s">
        <v>51</v>
      </c>
      <c r="D153" t="str">
        <f>IF(A153='Unit-logprob'!A153,".","N")</f>
        <v>.</v>
      </c>
      <c r="E153" t="str">
        <f t="shared" si="2"/>
        <v>.</v>
      </c>
      <c r="H153" s="8" t="s">
        <v>343</v>
      </c>
      <c r="I153" s="8" t="s">
        <v>344</v>
      </c>
      <c r="J153" s="8" t="s">
        <v>438</v>
      </c>
    </row>
    <row r="154" spans="1:10" hidden="1" x14ac:dyDescent="0.45">
      <c r="A154" t="s">
        <v>47</v>
      </c>
      <c r="B154" t="s">
        <v>47</v>
      </c>
      <c r="D154" t="str">
        <f>IF(A154='Unit-logprob'!A154,".","N")</f>
        <v>.</v>
      </c>
      <c r="E154" t="str">
        <f t="shared" si="2"/>
        <v>.</v>
      </c>
      <c r="H154" s="8" t="s">
        <v>345</v>
      </c>
      <c r="I154" s="8" t="s">
        <v>99</v>
      </c>
      <c r="J154" s="8" t="s">
        <v>434</v>
      </c>
    </row>
    <row r="155" spans="1:10" hidden="1" x14ac:dyDescent="0.45">
      <c r="A155" t="s">
        <v>27</v>
      </c>
      <c r="B155" t="s">
        <v>27</v>
      </c>
      <c r="D155" t="str">
        <f>IF(A155='Unit-logprob'!A155,".","N")</f>
        <v>.</v>
      </c>
      <c r="E155" t="str">
        <f t="shared" si="2"/>
        <v>.</v>
      </c>
      <c r="H155" s="8" t="s">
        <v>346</v>
      </c>
      <c r="I155" s="8" t="s">
        <v>347</v>
      </c>
      <c r="J155" s="8" t="s">
        <v>417</v>
      </c>
    </row>
    <row r="156" spans="1:10" hidden="1" x14ac:dyDescent="0.45">
      <c r="A156" t="s">
        <v>35</v>
      </c>
      <c r="B156" t="s">
        <v>35</v>
      </c>
      <c r="D156" t="str">
        <f>IF(A156='Unit-logprob'!A156,".","N")</f>
        <v>.</v>
      </c>
      <c r="E156" t="str">
        <f t="shared" si="2"/>
        <v>.</v>
      </c>
      <c r="H156" s="8" t="s">
        <v>348</v>
      </c>
      <c r="I156" s="8" t="s">
        <v>99</v>
      </c>
      <c r="J156" s="8" t="s">
        <v>420</v>
      </c>
    </row>
    <row r="157" spans="1:10" hidden="1" x14ac:dyDescent="0.45">
      <c r="A157" t="s">
        <v>41</v>
      </c>
      <c r="B157" t="s">
        <v>41</v>
      </c>
      <c r="D157" t="str">
        <f>IF(A157='Unit-logprob'!A157,".","N")</f>
        <v>.</v>
      </c>
      <c r="E157" t="str">
        <f t="shared" si="2"/>
        <v>.</v>
      </c>
      <c r="H157" s="8" t="s">
        <v>349</v>
      </c>
      <c r="I157" s="8" t="s">
        <v>99</v>
      </c>
      <c r="J157" s="8" t="s">
        <v>429</v>
      </c>
    </row>
    <row r="158" spans="1:10" hidden="1" x14ac:dyDescent="0.45">
      <c r="A158" t="s">
        <v>47</v>
      </c>
      <c r="B158" t="s">
        <v>47</v>
      </c>
      <c r="D158" t="str">
        <f>IF(A158='Unit-logprob'!A158,".","N")</f>
        <v>.</v>
      </c>
      <c r="E158" t="str">
        <f t="shared" si="2"/>
        <v>.</v>
      </c>
      <c r="H158" s="8" t="s">
        <v>350</v>
      </c>
      <c r="I158" s="8" t="s">
        <v>351</v>
      </c>
      <c r="J158" s="8" t="s">
        <v>434</v>
      </c>
    </row>
    <row r="159" spans="1:10" hidden="1" x14ac:dyDescent="0.45">
      <c r="A159" t="s">
        <v>41</v>
      </c>
      <c r="B159" t="s">
        <v>41</v>
      </c>
      <c r="D159" t="str">
        <f>IF(A159='Unit-logprob'!A159,".","N")</f>
        <v>.</v>
      </c>
      <c r="E159" t="str">
        <f t="shared" si="2"/>
        <v>.</v>
      </c>
      <c r="H159" s="8" t="s">
        <v>352</v>
      </c>
      <c r="I159" s="8" t="s">
        <v>353</v>
      </c>
      <c r="J159" s="8" t="s">
        <v>429</v>
      </c>
    </row>
    <row r="160" spans="1:10" hidden="1" x14ac:dyDescent="0.45">
      <c r="A160" t="s">
        <v>32</v>
      </c>
      <c r="B160" t="s">
        <v>32</v>
      </c>
      <c r="D160" t="str">
        <f>IF(A160='Unit-logprob'!A160,".","N")</f>
        <v>.</v>
      </c>
      <c r="E160" t="str">
        <f t="shared" si="2"/>
        <v>.</v>
      </c>
      <c r="H160" s="8" t="s">
        <v>354</v>
      </c>
      <c r="I160" s="8" t="s">
        <v>355</v>
      </c>
      <c r="J160" s="8" t="s">
        <v>423</v>
      </c>
    </row>
    <row r="161" spans="1:10" hidden="1" x14ac:dyDescent="0.45">
      <c r="A161" t="s">
        <v>9</v>
      </c>
      <c r="B161" t="s">
        <v>33</v>
      </c>
      <c r="D161" t="str">
        <f>IF(A161='Unit-logprob'!A161,".","N")</f>
        <v>.</v>
      </c>
      <c r="E161" t="str">
        <f t="shared" si="2"/>
        <v>N</v>
      </c>
      <c r="H161" s="8" t="s">
        <v>356</v>
      </c>
      <c r="I161" s="8" t="s">
        <v>99</v>
      </c>
      <c r="J161" s="8" t="s">
        <v>424</v>
      </c>
    </row>
    <row r="162" spans="1:10" hidden="1" x14ac:dyDescent="0.45">
      <c r="A162" t="s">
        <v>35</v>
      </c>
      <c r="B162" t="s">
        <v>35</v>
      </c>
      <c r="D162" t="str">
        <f>IF(A162='Unit-logprob'!A162,".","N")</f>
        <v>.</v>
      </c>
      <c r="E162" t="str">
        <f t="shared" si="2"/>
        <v>.</v>
      </c>
      <c r="H162" s="8" t="s">
        <v>357</v>
      </c>
      <c r="I162" s="8" t="s">
        <v>358</v>
      </c>
      <c r="J162" s="8" t="s">
        <v>420</v>
      </c>
    </row>
    <row r="163" spans="1:10" hidden="1" x14ac:dyDescent="0.45">
      <c r="A163" t="s">
        <v>35</v>
      </c>
      <c r="B163" t="s">
        <v>35</v>
      </c>
      <c r="D163" t="str">
        <f>IF(A163='Unit-logprob'!A163,".","N")</f>
        <v>.</v>
      </c>
      <c r="E163" t="str">
        <f t="shared" si="2"/>
        <v>.</v>
      </c>
      <c r="H163" s="8" t="s">
        <v>359</v>
      </c>
      <c r="I163" s="8" t="s">
        <v>99</v>
      </c>
      <c r="J163" s="8" t="s">
        <v>420</v>
      </c>
    </row>
    <row r="164" spans="1:10" hidden="1" x14ac:dyDescent="0.45">
      <c r="A164" t="s">
        <v>35</v>
      </c>
      <c r="B164" t="s">
        <v>35</v>
      </c>
      <c r="D164" t="str">
        <f>IF(A164='Unit-logprob'!A164,".","N")</f>
        <v>.</v>
      </c>
      <c r="E164" t="str">
        <f t="shared" si="2"/>
        <v>.</v>
      </c>
      <c r="H164" s="8" t="s">
        <v>360</v>
      </c>
      <c r="I164" s="8" t="s">
        <v>361</v>
      </c>
      <c r="J164" s="8" t="s">
        <v>420</v>
      </c>
    </row>
    <row r="165" spans="1:10" hidden="1" x14ac:dyDescent="0.45">
      <c r="A165" t="s">
        <v>35</v>
      </c>
      <c r="B165" t="s">
        <v>35</v>
      </c>
      <c r="D165" t="str">
        <f>IF(A165='Unit-logprob'!A165,".","N")</f>
        <v>.</v>
      </c>
      <c r="E165" t="str">
        <f t="shared" si="2"/>
        <v>.</v>
      </c>
      <c r="H165" s="8" t="s">
        <v>362</v>
      </c>
      <c r="I165" s="8" t="s">
        <v>99</v>
      </c>
      <c r="J165" s="8" t="s">
        <v>420</v>
      </c>
    </row>
    <row r="166" spans="1:10" hidden="1" x14ac:dyDescent="0.45">
      <c r="A166" t="s">
        <v>9</v>
      </c>
      <c r="B166" t="s">
        <v>32</v>
      </c>
      <c r="D166" t="str">
        <f>IF(A166='Unit-logprob'!A166,".","N")</f>
        <v>.</v>
      </c>
      <c r="E166" t="str">
        <f t="shared" si="2"/>
        <v>N</v>
      </c>
      <c r="H166" s="8" t="s">
        <v>363</v>
      </c>
      <c r="I166" s="8" t="s">
        <v>99</v>
      </c>
      <c r="J166" s="8" t="s">
        <v>420</v>
      </c>
    </row>
    <row r="167" spans="1:10" hidden="1" x14ac:dyDescent="0.45">
      <c r="A167" t="s">
        <v>35</v>
      </c>
      <c r="B167" t="s">
        <v>35</v>
      </c>
      <c r="D167" t="str">
        <f>IF(A167='Unit-logprob'!A167,".","N")</f>
        <v>.</v>
      </c>
      <c r="E167" t="str">
        <f t="shared" si="2"/>
        <v>.</v>
      </c>
      <c r="H167" s="8" t="s">
        <v>364</v>
      </c>
      <c r="I167" s="8" t="s">
        <v>99</v>
      </c>
      <c r="J167" s="8" t="s">
        <v>420</v>
      </c>
    </row>
    <row r="168" spans="1:10" hidden="1" x14ac:dyDescent="0.45">
      <c r="A168" t="s">
        <v>41</v>
      </c>
      <c r="B168" t="s">
        <v>41</v>
      </c>
      <c r="D168" t="str">
        <f>IF(A168='Unit-logprob'!A168,".","N")</f>
        <v>.</v>
      </c>
      <c r="E168" t="str">
        <f t="shared" si="2"/>
        <v>.</v>
      </c>
      <c r="H168" s="8" t="s">
        <v>365</v>
      </c>
      <c r="I168" s="8" t="s">
        <v>366</v>
      </c>
      <c r="J168" s="8" t="s">
        <v>429</v>
      </c>
    </row>
    <row r="169" spans="1:10" hidden="1" x14ac:dyDescent="0.45">
      <c r="A169" t="s">
        <v>35</v>
      </c>
      <c r="B169" t="s">
        <v>35</v>
      </c>
      <c r="D169" t="str">
        <f>IF(A169='Unit-logprob'!A169,".","N")</f>
        <v>.</v>
      </c>
      <c r="E169" t="str">
        <f t="shared" si="2"/>
        <v>.</v>
      </c>
      <c r="H169" s="8" t="s">
        <v>367</v>
      </c>
      <c r="I169" s="8" t="s">
        <v>368</v>
      </c>
      <c r="J169" s="8" t="s">
        <v>420</v>
      </c>
    </row>
    <row r="170" spans="1:10" hidden="1" x14ac:dyDescent="0.45">
      <c r="A170" t="s">
        <v>33</v>
      </c>
      <c r="B170" t="s">
        <v>33</v>
      </c>
      <c r="D170" t="str">
        <f>IF(A170='Unit-logprob'!A170,".","N")</f>
        <v>.</v>
      </c>
      <c r="E170" t="str">
        <f t="shared" si="2"/>
        <v>.</v>
      </c>
      <c r="H170" s="8" t="s">
        <v>369</v>
      </c>
      <c r="I170" s="8" t="s">
        <v>99</v>
      </c>
      <c r="J170" s="8" t="s">
        <v>424</v>
      </c>
    </row>
    <row r="171" spans="1:10" hidden="1" x14ac:dyDescent="0.45">
      <c r="A171" t="s">
        <v>33</v>
      </c>
      <c r="B171" t="s">
        <v>33</v>
      </c>
      <c r="D171" t="str">
        <f>IF(A171='Unit-logprob'!A171,".","N")</f>
        <v>.</v>
      </c>
      <c r="E171" t="str">
        <f t="shared" si="2"/>
        <v>.</v>
      </c>
      <c r="H171" s="8" t="s">
        <v>370</v>
      </c>
      <c r="I171" s="8" t="s">
        <v>371</v>
      </c>
      <c r="J171" s="8" t="s">
        <v>424</v>
      </c>
    </row>
    <row r="172" spans="1:10" x14ac:dyDescent="0.45">
      <c r="A172" t="s">
        <v>38</v>
      </c>
      <c r="B172" t="s">
        <v>43</v>
      </c>
      <c r="D172" t="str">
        <f>IF(A172='Unit-logprob'!A172,".","N")</f>
        <v>.</v>
      </c>
      <c r="E172" t="str">
        <f t="shared" si="2"/>
        <v>N</v>
      </c>
      <c r="F172" s="8" t="s">
        <v>514</v>
      </c>
      <c r="H172" s="8" t="s">
        <v>372</v>
      </c>
      <c r="I172" s="8" t="s">
        <v>99</v>
      </c>
      <c r="J172" s="8" t="s">
        <v>426</v>
      </c>
    </row>
    <row r="173" spans="1:10" hidden="1" x14ac:dyDescent="0.45">
      <c r="A173" t="s">
        <v>35</v>
      </c>
      <c r="B173" t="s">
        <v>35</v>
      </c>
      <c r="D173" t="str">
        <f>IF(A173='Unit-logprob'!A173,".","N")</f>
        <v>.</v>
      </c>
      <c r="E173" t="str">
        <f t="shared" si="2"/>
        <v>.</v>
      </c>
      <c r="H173" s="8" t="s">
        <v>373</v>
      </c>
      <c r="I173" s="8" t="s">
        <v>99</v>
      </c>
      <c r="J173" s="8" t="s">
        <v>420</v>
      </c>
    </row>
    <row r="174" spans="1:10" hidden="1" x14ac:dyDescent="0.45">
      <c r="A174" t="s">
        <v>35</v>
      </c>
      <c r="B174" t="s">
        <v>35</v>
      </c>
      <c r="D174" t="str">
        <f>IF(A174='Unit-logprob'!A174,".","N")</f>
        <v>.</v>
      </c>
      <c r="E174" t="str">
        <f t="shared" si="2"/>
        <v>.</v>
      </c>
      <c r="H174" s="8" t="s">
        <v>374</v>
      </c>
      <c r="I174" s="8" t="s">
        <v>99</v>
      </c>
      <c r="J174" s="8" t="s">
        <v>420</v>
      </c>
    </row>
    <row r="175" spans="1:10" hidden="1" x14ac:dyDescent="0.45">
      <c r="A175" t="s">
        <v>36</v>
      </c>
      <c r="B175" t="s">
        <v>36</v>
      </c>
      <c r="D175" t="str">
        <f>IF(A175='Unit-logprob'!A175,".","N")</f>
        <v>.</v>
      </c>
      <c r="E175" t="str">
        <f t="shared" si="2"/>
        <v>.</v>
      </c>
      <c r="H175" s="8" t="s">
        <v>375</v>
      </c>
      <c r="I175" s="8" t="s">
        <v>376</v>
      </c>
      <c r="J175" s="8" t="s">
        <v>425</v>
      </c>
    </row>
    <row r="176" spans="1:10" x14ac:dyDescent="0.45">
      <c r="A176" t="s">
        <v>38</v>
      </c>
      <c r="B176" t="s">
        <v>43</v>
      </c>
      <c r="D176" t="str">
        <f>IF(A176='Unit-logprob'!A176,".","N")</f>
        <v>.</v>
      </c>
      <c r="E176" t="str">
        <f t="shared" si="2"/>
        <v>N</v>
      </c>
      <c r="F176" s="8" t="s">
        <v>515</v>
      </c>
      <c r="H176" s="8" t="s">
        <v>377</v>
      </c>
      <c r="I176" s="8" t="s">
        <v>378</v>
      </c>
      <c r="J176" s="8" t="s">
        <v>426</v>
      </c>
    </row>
    <row r="177" spans="1:10" hidden="1" x14ac:dyDescent="0.45">
      <c r="A177" t="s">
        <v>38</v>
      </c>
      <c r="B177" t="s">
        <v>38</v>
      </c>
      <c r="D177" t="str">
        <f>IF(A177='Unit-logprob'!A177,".","N")</f>
        <v>.</v>
      </c>
      <c r="E177" t="str">
        <f t="shared" si="2"/>
        <v>.</v>
      </c>
      <c r="H177" s="8" t="s">
        <v>379</v>
      </c>
      <c r="I177" s="8" t="s">
        <v>380</v>
      </c>
      <c r="J177" s="8" t="s">
        <v>426</v>
      </c>
    </row>
    <row r="178" spans="1:10" hidden="1" x14ac:dyDescent="0.45">
      <c r="A178" t="s">
        <v>35</v>
      </c>
      <c r="B178" t="s">
        <v>35</v>
      </c>
      <c r="D178" t="str">
        <f>IF(A178='Unit-logprob'!A178,".","N")</f>
        <v>.</v>
      </c>
      <c r="E178" t="str">
        <f t="shared" si="2"/>
        <v>.</v>
      </c>
      <c r="H178" s="8" t="s">
        <v>381</v>
      </c>
      <c r="I178" s="8" t="s">
        <v>382</v>
      </c>
      <c r="J178" s="8" t="s">
        <v>420</v>
      </c>
    </row>
    <row r="179" spans="1:10" hidden="1" x14ac:dyDescent="0.45">
      <c r="A179" t="s">
        <v>27</v>
      </c>
      <c r="B179" t="s">
        <v>27</v>
      </c>
      <c r="D179" t="str">
        <f>IF(A179='Unit-logprob'!A179,".","N")</f>
        <v>.</v>
      </c>
      <c r="E179" t="str">
        <f t="shared" si="2"/>
        <v>.</v>
      </c>
      <c r="H179" s="8" t="s">
        <v>383</v>
      </c>
      <c r="I179" s="8" t="s">
        <v>384</v>
      </c>
      <c r="J179" s="8" t="s">
        <v>417</v>
      </c>
    </row>
    <row r="180" spans="1:10" hidden="1" x14ac:dyDescent="0.45">
      <c r="A180" t="s">
        <v>32</v>
      </c>
      <c r="B180" t="s">
        <v>32</v>
      </c>
      <c r="D180" t="str">
        <f>IF(A180='Unit-logprob'!A180,".","N")</f>
        <v>.</v>
      </c>
      <c r="E180" t="str">
        <f t="shared" si="2"/>
        <v>.</v>
      </c>
      <c r="H180" s="8" t="s">
        <v>385</v>
      </c>
      <c r="I180" s="8" t="s">
        <v>99</v>
      </c>
      <c r="J180" s="8" t="s">
        <v>423</v>
      </c>
    </row>
    <row r="181" spans="1:10" hidden="1" x14ac:dyDescent="0.45">
      <c r="A181" t="s">
        <v>36</v>
      </c>
      <c r="B181" t="s">
        <v>36</v>
      </c>
      <c r="D181" t="str">
        <f>IF(A181='Unit-logprob'!A181,".","N")</f>
        <v>.</v>
      </c>
      <c r="E181" t="str">
        <f t="shared" si="2"/>
        <v>.</v>
      </c>
      <c r="H181" s="8" t="s">
        <v>386</v>
      </c>
      <c r="I181" s="8" t="s">
        <v>387</v>
      </c>
      <c r="J181" s="8" t="s">
        <v>425</v>
      </c>
    </row>
    <row r="182" spans="1:10" hidden="1" x14ac:dyDescent="0.45">
      <c r="A182" t="s">
        <v>35</v>
      </c>
      <c r="B182" t="s">
        <v>35</v>
      </c>
      <c r="D182" t="str">
        <f>IF(A182='Unit-logprob'!A182,".","N")</f>
        <v>.</v>
      </c>
      <c r="E182" t="str">
        <f t="shared" si="2"/>
        <v>.</v>
      </c>
      <c r="H182" s="8" t="s">
        <v>388</v>
      </c>
      <c r="I182" s="8" t="s">
        <v>99</v>
      </c>
      <c r="J182" s="8" t="s">
        <v>420</v>
      </c>
    </row>
    <row r="183" spans="1:10" hidden="1" x14ac:dyDescent="0.45">
      <c r="A183" t="s">
        <v>35</v>
      </c>
      <c r="B183" t="s">
        <v>35</v>
      </c>
      <c r="D183" t="str">
        <f>IF(A183='Unit-logprob'!A183,".","N")</f>
        <v>.</v>
      </c>
      <c r="E183" t="str">
        <f t="shared" si="2"/>
        <v>.</v>
      </c>
      <c r="H183" s="8" t="s">
        <v>389</v>
      </c>
      <c r="I183" s="8" t="s">
        <v>390</v>
      </c>
      <c r="J183" s="8" t="s">
        <v>420</v>
      </c>
    </row>
    <row r="184" spans="1:10" hidden="1" x14ac:dyDescent="0.45">
      <c r="A184" t="s">
        <v>41</v>
      </c>
      <c r="B184" t="s">
        <v>41</v>
      </c>
      <c r="D184" t="str">
        <f>IF(A184='Unit-logprob'!A184,".","N")</f>
        <v>.</v>
      </c>
      <c r="E184" t="str">
        <f t="shared" si="2"/>
        <v>.</v>
      </c>
      <c r="H184" s="8" t="s">
        <v>391</v>
      </c>
      <c r="I184" s="8" t="s">
        <v>392</v>
      </c>
      <c r="J184" s="8" t="s">
        <v>429</v>
      </c>
    </row>
    <row r="185" spans="1:10" hidden="1" x14ac:dyDescent="0.45">
      <c r="A185" t="s">
        <v>35</v>
      </c>
      <c r="B185" t="s">
        <v>35</v>
      </c>
      <c r="D185" t="str">
        <f>IF(A185='Unit-logprob'!A185,".","N")</f>
        <v>.</v>
      </c>
      <c r="E185" t="str">
        <f t="shared" si="2"/>
        <v>.</v>
      </c>
      <c r="H185" s="8" t="s">
        <v>393</v>
      </c>
      <c r="I185" s="8" t="s">
        <v>99</v>
      </c>
      <c r="J185" s="8" t="s">
        <v>420</v>
      </c>
    </row>
    <row r="186" spans="1:10" hidden="1" x14ac:dyDescent="0.45">
      <c r="A186" t="s">
        <v>41</v>
      </c>
      <c r="B186" t="s">
        <v>41</v>
      </c>
      <c r="D186" t="str">
        <f>IF(A186='Unit-logprob'!A186,".","N")</f>
        <v>.</v>
      </c>
      <c r="E186" t="str">
        <f t="shared" si="2"/>
        <v>.</v>
      </c>
      <c r="H186" s="8" t="s">
        <v>394</v>
      </c>
      <c r="I186" s="8" t="s">
        <v>99</v>
      </c>
      <c r="J186" s="8" t="s">
        <v>429</v>
      </c>
    </row>
    <row r="187" spans="1:10" hidden="1" x14ac:dyDescent="0.45">
      <c r="A187" t="s">
        <v>39</v>
      </c>
      <c r="B187" t="s">
        <v>39</v>
      </c>
      <c r="D187" t="str">
        <f>IF(A187='Unit-logprob'!A187,".","N")</f>
        <v>.</v>
      </c>
      <c r="E187" t="str">
        <f t="shared" si="2"/>
        <v>.</v>
      </c>
      <c r="H187" s="8" t="s">
        <v>65</v>
      </c>
      <c r="I187" s="8" t="s">
        <v>395</v>
      </c>
      <c r="J187" s="8" t="s">
        <v>427</v>
      </c>
    </row>
    <row r="188" spans="1:10" hidden="1" x14ac:dyDescent="0.45">
      <c r="A188" t="s">
        <v>28</v>
      </c>
      <c r="B188" t="s">
        <v>28</v>
      </c>
      <c r="D188" t="str">
        <f>IF(A188='Unit-logprob'!A188,".","N")</f>
        <v>.</v>
      </c>
      <c r="E188" t="str">
        <f t="shared" si="2"/>
        <v>.</v>
      </c>
      <c r="H188" s="8" t="s">
        <v>396</v>
      </c>
      <c r="I188" s="8" t="s">
        <v>397</v>
      </c>
      <c r="J188" s="8" t="s">
        <v>418</v>
      </c>
    </row>
    <row r="189" spans="1:10" x14ac:dyDescent="0.45">
      <c r="A189" t="s">
        <v>45</v>
      </c>
      <c r="B189" t="s">
        <v>533</v>
      </c>
      <c r="D189" t="str">
        <f>IF(A189='Unit-logprob'!A189,".","N")</f>
        <v>.</v>
      </c>
      <c r="E189" t="str">
        <f t="shared" si="2"/>
        <v>N</v>
      </c>
      <c r="F189" s="8" t="s">
        <v>515</v>
      </c>
      <c r="H189" s="8" t="s">
        <v>398</v>
      </c>
      <c r="I189" s="8" t="s">
        <v>399</v>
      </c>
      <c r="J189" s="8" t="s">
        <v>433</v>
      </c>
    </row>
    <row r="190" spans="1:10" hidden="1" x14ac:dyDescent="0.45">
      <c r="A190" t="s">
        <v>51</v>
      </c>
      <c r="B190" t="s">
        <v>51</v>
      </c>
      <c r="D190" t="str">
        <f>IF(A190='Unit-logprob'!A190,".","N")</f>
        <v>.</v>
      </c>
      <c r="E190" t="str">
        <f t="shared" si="2"/>
        <v>.</v>
      </c>
      <c r="H190" s="8" t="s">
        <v>400</v>
      </c>
      <c r="I190" s="8" t="s">
        <v>401</v>
      </c>
      <c r="J190" s="8" t="s">
        <v>438</v>
      </c>
    </row>
    <row r="191" spans="1:10" hidden="1" x14ac:dyDescent="0.45">
      <c r="A191" t="s">
        <v>30</v>
      </c>
      <c r="B191" t="s">
        <v>30</v>
      </c>
      <c r="D191" t="str">
        <f>IF(A191='Unit-logprob'!A191,".","N")</f>
        <v>.</v>
      </c>
      <c r="E191" t="str">
        <f t="shared" si="2"/>
        <v>.</v>
      </c>
      <c r="H191" s="8" t="s">
        <v>402</v>
      </c>
      <c r="I191" s="8" t="s">
        <v>99</v>
      </c>
      <c r="J191" s="8" t="s">
        <v>421</v>
      </c>
    </row>
    <row r="192" spans="1:10" hidden="1" x14ac:dyDescent="0.45">
      <c r="A192" t="s">
        <v>35</v>
      </c>
      <c r="B192" t="s">
        <v>35</v>
      </c>
      <c r="D192" t="str">
        <f>IF(A192='Unit-logprob'!A192,".","N")</f>
        <v>.</v>
      </c>
      <c r="E192" t="str">
        <f t="shared" si="2"/>
        <v>.</v>
      </c>
      <c r="H192" s="8" t="s">
        <v>403</v>
      </c>
      <c r="I192" s="8" t="s">
        <v>99</v>
      </c>
      <c r="J192" s="8" t="s">
        <v>420</v>
      </c>
    </row>
    <row r="193" spans="1:10" hidden="1" x14ac:dyDescent="0.45">
      <c r="A193" t="s">
        <v>27</v>
      </c>
      <c r="B193" t="s">
        <v>27</v>
      </c>
      <c r="D193" t="str">
        <f>IF(A193='Unit-logprob'!A193,".","N")</f>
        <v>.</v>
      </c>
      <c r="E193" t="str">
        <f t="shared" si="2"/>
        <v>.</v>
      </c>
      <c r="H193" s="8" t="s">
        <v>404</v>
      </c>
      <c r="I193" s="8" t="s">
        <v>405</v>
      </c>
      <c r="J193" s="8" t="s">
        <v>417</v>
      </c>
    </row>
    <row r="194" spans="1:10" hidden="1" x14ac:dyDescent="0.45">
      <c r="A194" t="s">
        <v>41</v>
      </c>
      <c r="B194" t="s">
        <v>41</v>
      </c>
      <c r="D194" t="str">
        <f>IF(A194='Unit-logprob'!A194,".","N")</f>
        <v>.</v>
      </c>
      <c r="E194" t="str">
        <f t="shared" si="2"/>
        <v>.</v>
      </c>
      <c r="H194" s="8" t="s">
        <v>406</v>
      </c>
      <c r="I194" s="8" t="s">
        <v>407</v>
      </c>
      <c r="J194" s="8" t="s">
        <v>429</v>
      </c>
    </row>
    <row r="195" spans="1:10" hidden="1" x14ac:dyDescent="0.45">
      <c r="A195" t="s">
        <v>35</v>
      </c>
      <c r="B195" t="s">
        <v>35</v>
      </c>
      <c r="D195" t="str">
        <f>IF(A195='Unit-logprob'!A195,".","N")</f>
        <v>.</v>
      </c>
      <c r="E195" t="str">
        <f t="shared" ref="E195:E258" si="3">IF(A195=B195,".","N")</f>
        <v>.</v>
      </c>
      <c r="H195" s="8" t="s">
        <v>408</v>
      </c>
      <c r="I195" s="8" t="s">
        <v>99</v>
      </c>
      <c r="J195" s="8" t="s">
        <v>420</v>
      </c>
    </row>
    <row r="196" spans="1:10" hidden="1" x14ac:dyDescent="0.45">
      <c r="A196" t="s">
        <v>35</v>
      </c>
      <c r="B196" t="s">
        <v>35</v>
      </c>
      <c r="D196" t="str">
        <f>IF(A196='Unit-logprob'!A196,".","N")</f>
        <v>.</v>
      </c>
      <c r="E196" t="str">
        <f t="shared" si="3"/>
        <v>.</v>
      </c>
      <c r="H196" s="8" t="s">
        <v>409</v>
      </c>
      <c r="I196" s="8" t="s">
        <v>390</v>
      </c>
      <c r="J196" s="8" t="s">
        <v>420</v>
      </c>
    </row>
    <row r="197" spans="1:10" hidden="1" x14ac:dyDescent="0.45">
      <c r="A197" t="s">
        <v>36</v>
      </c>
      <c r="B197" t="s">
        <v>36</v>
      </c>
      <c r="D197" t="str">
        <f>IF(A197='Unit-logprob'!A197,".","N")</f>
        <v>.</v>
      </c>
      <c r="E197" t="str">
        <f t="shared" si="3"/>
        <v>.</v>
      </c>
      <c r="H197" s="8" t="s">
        <v>410</v>
      </c>
      <c r="I197" s="8" t="s">
        <v>411</v>
      </c>
      <c r="J197" s="8" t="s">
        <v>425</v>
      </c>
    </row>
    <row r="198" spans="1:10" hidden="1" x14ac:dyDescent="0.45">
      <c r="A198" t="s">
        <v>41</v>
      </c>
      <c r="B198" t="s">
        <v>41</v>
      </c>
      <c r="D198" t="str">
        <f>IF(A198='Unit-logprob'!A198,".","N")</f>
        <v>.</v>
      </c>
      <c r="E198" t="str">
        <f t="shared" si="3"/>
        <v>.</v>
      </c>
      <c r="H198" s="8" t="s">
        <v>412</v>
      </c>
      <c r="I198" s="8" t="s">
        <v>413</v>
      </c>
      <c r="J198" s="8" t="s">
        <v>429</v>
      </c>
    </row>
    <row r="199" spans="1:10" hidden="1" x14ac:dyDescent="0.45">
      <c r="A199" t="s">
        <v>35</v>
      </c>
      <c r="B199" t="s">
        <v>35</v>
      </c>
      <c r="D199" t="str">
        <f>IF(A199='Unit-logprob'!A199,".","N")</f>
        <v>.</v>
      </c>
      <c r="E199" t="str">
        <f t="shared" si="3"/>
        <v>.</v>
      </c>
      <c r="H199" s="8" t="s">
        <v>414</v>
      </c>
      <c r="I199" s="8" t="s">
        <v>99</v>
      </c>
      <c r="J199" s="8" t="s">
        <v>420</v>
      </c>
    </row>
    <row r="200" spans="1:10" hidden="1" x14ac:dyDescent="0.45">
      <c r="A200" t="s">
        <v>28</v>
      </c>
      <c r="B200" t="s">
        <v>28</v>
      </c>
      <c r="D200" t="str">
        <f>IF(A200='Unit-logprob'!A200,".","N")</f>
        <v>.</v>
      </c>
      <c r="E200" t="str">
        <f t="shared" si="3"/>
        <v>.</v>
      </c>
      <c r="H200" s="8" t="s">
        <v>98</v>
      </c>
      <c r="I200" s="8" t="s">
        <v>99</v>
      </c>
      <c r="J200" s="8" t="s">
        <v>418</v>
      </c>
    </row>
    <row r="201" spans="1:10" hidden="1" x14ac:dyDescent="0.45">
      <c r="A201" t="s">
        <v>35</v>
      </c>
      <c r="B201" t="s">
        <v>35</v>
      </c>
      <c r="D201" t="str">
        <f>IF(A201='Unit-logprob'!A201,".","N")</f>
        <v>.</v>
      </c>
      <c r="E201" t="str">
        <f t="shared" si="3"/>
        <v>.</v>
      </c>
      <c r="H201" s="8" t="s">
        <v>440</v>
      </c>
      <c r="I201" s="8" t="s">
        <v>99</v>
      </c>
      <c r="J201" s="8" t="s">
        <v>420</v>
      </c>
    </row>
    <row r="202" spans="1:10" hidden="1" x14ac:dyDescent="0.45">
      <c r="A202" t="s">
        <v>35</v>
      </c>
      <c r="B202" t="s">
        <v>35</v>
      </c>
      <c r="D202" t="str">
        <f>IF(A202='Unit-logprob'!A202,".","N")</f>
        <v>.</v>
      </c>
      <c r="E202" t="str">
        <f t="shared" si="3"/>
        <v>.</v>
      </c>
      <c r="H202" s="8" t="s">
        <v>441</v>
      </c>
      <c r="I202" s="8" t="s">
        <v>99</v>
      </c>
      <c r="J202" s="8" t="s">
        <v>420</v>
      </c>
    </row>
    <row r="203" spans="1:10" hidden="1" x14ac:dyDescent="0.45">
      <c r="A203" t="s">
        <v>32</v>
      </c>
      <c r="B203" t="s">
        <v>32</v>
      </c>
      <c r="D203" t="str">
        <f>IF(A203='Unit-logprob'!A203,".","N")</f>
        <v>.</v>
      </c>
      <c r="E203" t="str">
        <f t="shared" si="3"/>
        <v>.</v>
      </c>
      <c r="H203" s="8" t="s">
        <v>176</v>
      </c>
      <c r="I203" s="8" t="s">
        <v>177</v>
      </c>
      <c r="J203" s="8" t="s">
        <v>423</v>
      </c>
    </row>
    <row r="204" spans="1:10" hidden="1" x14ac:dyDescent="0.45">
      <c r="A204" t="s">
        <v>35</v>
      </c>
      <c r="B204" t="s">
        <v>35</v>
      </c>
      <c r="D204" t="str">
        <f>IF(A204='Unit-logprob'!A204,".","N")</f>
        <v>.</v>
      </c>
      <c r="E204" t="str">
        <f t="shared" si="3"/>
        <v>.</v>
      </c>
      <c r="H204" s="8" t="s">
        <v>271</v>
      </c>
      <c r="I204" s="8" t="s">
        <v>99</v>
      </c>
      <c r="J204" s="8" t="s">
        <v>420</v>
      </c>
    </row>
    <row r="205" spans="1:10" hidden="1" x14ac:dyDescent="0.45">
      <c r="A205" t="s">
        <v>38</v>
      </c>
      <c r="B205" t="s">
        <v>38</v>
      </c>
      <c r="D205" t="str">
        <f>IF(A205='Unit-logprob'!A205,".","N")</f>
        <v>.</v>
      </c>
      <c r="E205" t="str">
        <f t="shared" si="3"/>
        <v>.</v>
      </c>
      <c r="H205" s="8" t="s">
        <v>219</v>
      </c>
      <c r="I205" s="8" t="s">
        <v>220</v>
      </c>
      <c r="J205" s="8" t="s">
        <v>426</v>
      </c>
    </row>
    <row r="206" spans="1:10" hidden="1" x14ac:dyDescent="0.45">
      <c r="A206" t="s">
        <v>38</v>
      </c>
      <c r="B206" t="s">
        <v>38</v>
      </c>
      <c r="D206" t="str">
        <f>IF(A206='Unit-logprob'!A206,".","N")</f>
        <v>.</v>
      </c>
      <c r="E206" t="str">
        <f t="shared" si="3"/>
        <v>.</v>
      </c>
      <c r="H206" s="8" t="s">
        <v>379</v>
      </c>
      <c r="I206" s="8" t="s">
        <v>380</v>
      </c>
      <c r="J206" s="8" t="s">
        <v>426</v>
      </c>
    </row>
    <row r="207" spans="1:10" hidden="1" x14ac:dyDescent="0.45">
      <c r="A207" t="s">
        <v>32</v>
      </c>
      <c r="B207" t="s">
        <v>32</v>
      </c>
      <c r="D207" t="str">
        <f>IF(A207='Unit-logprob'!A207,".","N")</f>
        <v>.</v>
      </c>
      <c r="E207" t="str">
        <f t="shared" si="3"/>
        <v>.</v>
      </c>
      <c r="H207" s="8" t="s">
        <v>354</v>
      </c>
      <c r="I207" s="8" t="s">
        <v>355</v>
      </c>
      <c r="J207" s="8" t="s">
        <v>423</v>
      </c>
    </row>
    <row r="208" spans="1:10" hidden="1" x14ac:dyDescent="0.45">
      <c r="A208" t="s">
        <v>48</v>
      </c>
      <c r="B208" t="s">
        <v>48</v>
      </c>
      <c r="D208" t="str">
        <f>IF(A208='Unit-logprob'!A208,".","N")</f>
        <v>N</v>
      </c>
      <c r="E208" t="str">
        <f t="shared" si="3"/>
        <v>.</v>
      </c>
      <c r="H208" s="8" t="s">
        <v>238</v>
      </c>
      <c r="I208" s="8" t="s">
        <v>239</v>
      </c>
      <c r="J208" s="8" t="s">
        <v>435</v>
      </c>
    </row>
    <row r="209" spans="1:10" hidden="1" x14ac:dyDescent="0.45">
      <c r="A209" t="s">
        <v>30</v>
      </c>
      <c r="B209" t="s">
        <v>30</v>
      </c>
      <c r="D209" t="str">
        <f>IF(A209='Unit-logprob'!A209,".","N")</f>
        <v>.</v>
      </c>
      <c r="E209" t="str">
        <f t="shared" si="3"/>
        <v>.</v>
      </c>
      <c r="H209" s="8" t="s">
        <v>115</v>
      </c>
      <c r="I209" s="8" t="s">
        <v>116</v>
      </c>
      <c r="J209" s="8" t="s">
        <v>421</v>
      </c>
    </row>
    <row r="210" spans="1:10" hidden="1" x14ac:dyDescent="0.45">
      <c r="A210" t="s">
        <v>26</v>
      </c>
      <c r="B210" t="s">
        <v>26</v>
      </c>
      <c r="D210" t="str">
        <f>IF(A210='Unit-logprob'!A210,".","N")</f>
        <v>.</v>
      </c>
      <c r="E210" t="str">
        <f t="shared" si="3"/>
        <v>.</v>
      </c>
      <c r="H210" s="8" t="s">
        <v>94</v>
      </c>
      <c r="I210" s="8" t="s">
        <v>95</v>
      </c>
      <c r="J210" s="8" t="s">
        <v>416</v>
      </c>
    </row>
    <row r="211" spans="1:10" hidden="1" x14ac:dyDescent="0.45">
      <c r="A211" t="s">
        <v>39</v>
      </c>
      <c r="B211" t="s">
        <v>39</v>
      </c>
      <c r="D211" t="str">
        <f>IF(A211='Unit-logprob'!A211,".","N")</f>
        <v>.</v>
      </c>
      <c r="E211" t="str">
        <f t="shared" si="3"/>
        <v>.</v>
      </c>
      <c r="H211" s="8" t="s">
        <v>65</v>
      </c>
      <c r="I211" s="8" t="s">
        <v>395</v>
      </c>
      <c r="J211" s="8" t="s">
        <v>427</v>
      </c>
    </row>
    <row r="212" spans="1:10" hidden="1" x14ac:dyDescent="0.45">
      <c r="A212" t="s">
        <v>49</v>
      </c>
      <c r="B212" t="s">
        <v>49</v>
      </c>
      <c r="D212" t="str">
        <f>IF(A212='Unit-logprob'!A212,".","N")</f>
        <v>.</v>
      </c>
      <c r="E212" t="str">
        <f t="shared" si="3"/>
        <v>.</v>
      </c>
      <c r="H212" s="8" t="s">
        <v>291</v>
      </c>
      <c r="I212" s="8" t="s">
        <v>292</v>
      </c>
      <c r="J212" s="8" t="s">
        <v>436</v>
      </c>
    </row>
    <row r="213" spans="1:10" hidden="1" x14ac:dyDescent="0.45">
      <c r="A213" t="s">
        <v>38</v>
      </c>
      <c r="B213" t="s">
        <v>38</v>
      </c>
      <c r="D213" t="str">
        <f>IF(A213='Unit-logprob'!A213,".","N")</f>
        <v>.</v>
      </c>
      <c r="E213" t="str">
        <f t="shared" si="3"/>
        <v>.</v>
      </c>
      <c r="H213" s="8" t="s">
        <v>275</v>
      </c>
      <c r="I213" s="8" t="s">
        <v>276</v>
      </c>
      <c r="J213" s="8" t="s">
        <v>426</v>
      </c>
    </row>
    <row r="214" spans="1:10" hidden="1" x14ac:dyDescent="0.45">
      <c r="A214" t="s">
        <v>30</v>
      </c>
      <c r="B214" t="s">
        <v>30</v>
      </c>
      <c r="D214" t="str">
        <f>IF(A214='Unit-logprob'!A214,".","N")</f>
        <v>.</v>
      </c>
      <c r="E214" t="str">
        <f t="shared" si="3"/>
        <v>.</v>
      </c>
      <c r="H214" s="8" t="s">
        <v>111</v>
      </c>
      <c r="I214" s="8" t="s">
        <v>112</v>
      </c>
      <c r="J214" s="8" t="s">
        <v>421</v>
      </c>
    </row>
    <row r="215" spans="1:10" hidden="1" x14ac:dyDescent="0.45">
      <c r="A215" t="s">
        <v>31</v>
      </c>
      <c r="B215" t="s">
        <v>31</v>
      </c>
      <c r="D215" t="str">
        <f>IF(A215='Unit-logprob'!A215,".","N")</f>
        <v>.</v>
      </c>
      <c r="E215" t="str">
        <f t="shared" si="3"/>
        <v>.</v>
      </c>
      <c r="H215" s="8" t="s">
        <v>104</v>
      </c>
      <c r="I215" s="8" t="s">
        <v>105</v>
      </c>
      <c r="J215" s="8" t="s">
        <v>422</v>
      </c>
    </row>
    <row r="216" spans="1:10" x14ac:dyDescent="0.45">
      <c r="A216" t="s">
        <v>45</v>
      </c>
      <c r="B216" t="s">
        <v>533</v>
      </c>
      <c r="D216" t="str">
        <f>IF(A216='Unit-logprob'!A216,".","N")</f>
        <v>.</v>
      </c>
      <c r="E216" t="str">
        <f t="shared" si="3"/>
        <v>N</v>
      </c>
      <c r="F216" s="8" t="s">
        <v>515</v>
      </c>
      <c r="H216" s="9" t="s">
        <v>398</v>
      </c>
      <c r="I216" s="8" t="s">
        <v>399</v>
      </c>
      <c r="J216" s="8" t="s">
        <v>433</v>
      </c>
    </row>
    <row r="217" spans="1:10" hidden="1" x14ac:dyDescent="0.45">
      <c r="A217" t="s">
        <v>49</v>
      </c>
      <c r="B217" t="s">
        <v>49</v>
      </c>
      <c r="D217" t="str">
        <f>IF(A217='Unit-logprob'!A217,".","N")</f>
        <v>.</v>
      </c>
      <c r="E217" t="str">
        <f t="shared" si="3"/>
        <v>.</v>
      </c>
      <c r="H217" s="8" t="s">
        <v>261</v>
      </c>
      <c r="I217" s="8" t="s">
        <v>262</v>
      </c>
      <c r="J217" s="8" t="s">
        <v>436</v>
      </c>
    </row>
    <row r="218" spans="1:10" hidden="1" x14ac:dyDescent="0.45">
      <c r="A218" t="s">
        <v>56</v>
      </c>
      <c r="B218" t="s">
        <v>56</v>
      </c>
      <c r="D218" t="str">
        <f>IF(A218='Unit-logprob'!A218,".","N")</f>
        <v>.</v>
      </c>
      <c r="E218" t="str">
        <f t="shared" si="3"/>
        <v>.</v>
      </c>
      <c r="H218" s="8" t="s">
        <v>333</v>
      </c>
      <c r="I218" s="8" t="s">
        <v>334</v>
      </c>
      <c r="J218" s="8" t="s">
        <v>435</v>
      </c>
    </row>
    <row r="219" spans="1:10" hidden="1" x14ac:dyDescent="0.45">
      <c r="A219" t="s">
        <v>26</v>
      </c>
      <c r="B219" t="s">
        <v>26</v>
      </c>
      <c r="D219" t="str">
        <f>IF(A219='Unit-logprob'!A219,".","N")</f>
        <v>.</v>
      </c>
      <c r="E219" t="str">
        <f t="shared" si="3"/>
        <v>.</v>
      </c>
      <c r="H219" s="8" t="s">
        <v>269</v>
      </c>
      <c r="I219" s="8" t="s">
        <v>270</v>
      </c>
      <c r="J219" s="8" t="s">
        <v>416</v>
      </c>
    </row>
    <row r="220" spans="1:10" hidden="1" x14ac:dyDescent="0.45">
      <c r="A220" t="s">
        <v>38</v>
      </c>
      <c r="B220" t="s">
        <v>38</v>
      </c>
      <c r="D220" t="str">
        <f>IF(A220='Unit-logprob'!A220,".","N")</f>
        <v>.</v>
      </c>
      <c r="E220" t="str">
        <f t="shared" si="3"/>
        <v>.</v>
      </c>
      <c r="H220" s="8" t="s">
        <v>372</v>
      </c>
      <c r="I220" s="8" t="s">
        <v>99</v>
      </c>
      <c r="J220" s="8" t="s">
        <v>426</v>
      </c>
    </row>
    <row r="221" spans="1:10" hidden="1" x14ac:dyDescent="0.45">
      <c r="A221" t="s">
        <v>38</v>
      </c>
      <c r="B221" t="s">
        <v>38</v>
      </c>
      <c r="D221" t="str">
        <f>IF(A221='Unit-logprob'!A221,".","N")</f>
        <v>.</v>
      </c>
      <c r="E221" t="str">
        <f t="shared" si="3"/>
        <v>.</v>
      </c>
      <c r="H221" s="8" t="s">
        <v>178</v>
      </c>
      <c r="I221" s="8" t="s">
        <v>179</v>
      </c>
      <c r="J221" s="8" t="s">
        <v>426</v>
      </c>
    </row>
    <row r="222" spans="1:10" hidden="1" x14ac:dyDescent="0.45">
      <c r="A222" t="s">
        <v>38</v>
      </c>
      <c r="B222" t="s">
        <v>38</v>
      </c>
      <c r="D222" t="str">
        <f>IF(A222='Unit-logprob'!A222,".","N")</f>
        <v>.</v>
      </c>
      <c r="E222" t="str">
        <f t="shared" si="3"/>
        <v>.</v>
      </c>
      <c r="H222" s="8" t="s">
        <v>138</v>
      </c>
      <c r="I222" s="8" t="s">
        <v>139</v>
      </c>
      <c r="J222" s="8" t="s">
        <v>426</v>
      </c>
    </row>
    <row r="223" spans="1:10" hidden="1" x14ac:dyDescent="0.45">
      <c r="A223" t="s">
        <v>35</v>
      </c>
      <c r="B223" t="s">
        <v>35</v>
      </c>
      <c r="D223" t="str">
        <f>IF(A223='Unit-logprob'!A223,".","N")</f>
        <v>.</v>
      </c>
      <c r="E223" t="str">
        <f t="shared" si="3"/>
        <v>.</v>
      </c>
      <c r="H223" s="8" t="s">
        <v>159</v>
      </c>
      <c r="I223" s="8" t="s">
        <v>99</v>
      </c>
      <c r="J223" s="8" t="s">
        <v>420</v>
      </c>
    </row>
    <row r="224" spans="1:10" hidden="1" x14ac:dyDescent="0.45">
      <c r="A224" t="s">
        <v>41</v>
      </c>
      <c r="B224" t="s">
        <v>41</v>
      </c>
      <c r="D224" t="str">
        <f>IF(A224='Unit-logprob'!A224,".","N")</f>
        <v>.</v>
      </c>
      <c r="E224" t="str">
        <f t="shared" si="3"/>
        <v>.</v>
      </c>
      <c r="H224" s="8" t="s">
        <v>155</v>
      </c>
      <c r="I224" s="8" t="s">
        <v>156</v>
      </c>
      <c r="J224" s="8" t="s">
        <v>429</v>
      </c>
    </row>
    <row r="225" spans="1:10" hidden="1" x14ac:dyDescent="0.45">
      <c r="A225" t="s">
        <v>57</v>
      </c>
      <c r="B225" t="s">
        <v>533</v>
      </c>
      <c r="D225" t="str">
        <f>IF(A225='Unit-logprob'!A225,".","N")</f>
        <v>.</v>
      </c>
      <c r="E225" t="str">
        <f t="shared" si="3"/>
        <v>N</v>
      </c>
      <c r="F225" s="8"/>
      <c r="H225" s="9" t="s">
        <v>157</v>
      </c>
      <c r="I225" s="8" t="s">
        <v>158</v>
      </c>
      <c r="J225" s="8" t="s">
        <v>430</v>
      </c>
    </row>
    <row r="226" spans="1:10" hidden="1" x14ac:dyDescent="0.45">
      <c r="A226" t="s">
        <v>35</v>
      </c>
      <c r="B226" t="s">
        <v>35</v>
      </c>
      <c r="D226" t="str">
        <f>IF(A226='Unit-logprob'!A226,".","N")</f>
        <v>.</v>
      </c>
      <c r="E226" t="str">
        <f t="shared" si="3"/>
        <v>.</v>
      </c>
      <c r="H226" s="8" t="s">
        <v>442</v>
      </c>
      <c r="I226" s="8" t="s">
        <v>443</v>
      </c>
      <c r="J226" s="8" t="s">
        <v>420</v>
      </c>
    </row>
    <row r="227" spans="1:10" hidden="1" x14ac:dyDescent="0.45">
      <c r="A227" t="s">
        <v>19</v>
      </c>
      <c r="B227" t="s">
        <v>29</v>
      </c>
      <c r="D227" t="str">
        <f>IF(A227='Unit-logprob'!A227,".","N")</f>
        <v>.</v>
      </c>
      <c r="E227" t="str">
        <f t="shared" si="3"/>
        <v>N</v>
      </c>
      <c r="H227" s="8" t="s">
        <v>444</v>
      </c>
      <c r="I227" s="8" t="s">
        <v>99</v>
      </c>
      <c r="J227" s="8" t="s">
        <v>432</v>
      </c>
    </row>
    <row r="228" spans="1:10" hidden="1" x14ac:dyDescent="0.45">
      <c r="A228" t="s">
        <v>35</v>
      </c>
      <c r="B228" t="s">
        <v>35</v>
      </c>
      <c r="D228" t="str">
        <f>IF(A228='Unit-logprob'!A228,".","N")</f>
        <v>.</v>
      </c>
      <c r="E228" t="str">
        <f t="shared" si="3"/>
        <v>.</v>
      </c>
      <c r="H228" s="8" t="s">
        <v>359</v>
      </c>
      <c r="I228" s="8" t="s">
        <v>99</v>
      </c>
      <c r="J228" s="8" t="s">
        <v>420</v>
      </c>
    </row>
    <row r="229" spans="1:10" hidden="1" x14ac:dyDescent="0.45">
      <c r="A229" t="s">
        <v>26</v>
      </c>
      <c r="B229" t="s">
        <v>26</v>
      </c>
      <c r="D229" t="str">
        <f>IF(A229='Unit-logprob'!A229,".","N")</f>
        <v>.</v>
      </c>
      <c r="E229" t="str">
        <f t="shared" si="3"/>
        <v>.</v>
      </c>
      <c r="H229" s="8" t="s">
        <v>213</v>
      </c>
      <c r="I229" s="8" t="s">
        <v>214</v>
      </c>
      <c r="J229" s="8" t="s">
        <v>416</v>
      </c>
    </row>
    <row r="230" spans="1:10" hidden="1" x14ac:dyDescent="0.45">
      <c r="A230" t="s">
        <v>39</v>
      </c>
      <c r="B230" t="s">
        <v>39</v>
      </c>
      <c r="D230" t="str">
        <f>IF(A230='Unit-logprob'!A230,".","N")</f>
        <v>.</v>
      </c>
      <c r="E230" t="str">
        <f t="shared" si="3"/>
        <v>.</v>
      </c>
      <c r="H230" s="8" t="s">
        <v>191</v>
      </c>
      <c r="I230" s="8" t="s">
        <v>192</v>
      </c>
      <c r="J230" s="8" t="s">
        <v>427</v>
      </c>
    </row>
    <row r="231" spans="1:10" hidden="1" x14ac:dyDescent="0.45">
      <c r="A231" t="s">
        <v>36</v>
      </c>
      <c r="B231" t="s">
        <v>36</v>
      </c>
      <c r="D231" t="str">
        <f>IF(A231='Unit-logprob'!A231,".","N")</f>
        <v>.</v>
      </c>
      <c r="E231" t="str">
        <f t="shared" si="3"/>
        <v>.</v>
      </c>
      <c r="H231" s="8" t="s">
        <v>162</v>
      </c>
      <c r="I231" s="8" t="s">
        <v>163</v>
      </c>
      <c r="J231" s="8" t="s">
        <v>425</v>
      </c>
    </row>
    <row r="232" spans="1:10" hidden="1" x14ac:dyDescent="0.45">
      <c r="A232" t="s">
        <v>41</v>
      </c>
      <c r="B232" t="s">
        <v>41</v>
      </c>
      <c r="D232" t="str">
        <f>IF(A232='Unit-logprob'!A232,".","N")</f>
        <v>.</v>
      </c>
      <c r="E232" t="str">
        <f t="shared" si="3"/>
        <v>.</v>
      </c>
      <c r="H232" s="8" t="s">
        <v>445</v>
      </c>
      <c r="I232" s="8" t="s">
        <v>446</v>
      </c>
      <c r="J232" s="8" t="s">
        <v>429</v>
      </c>
    </row>
    <row r="233" spans="1:10" hidden="1" x14ac:dyDescent="0.45">
      <c r="A233" t="s">
        <v>35</v>
      </c>
      <c r="B233" t="s">
        <v>35</v>
      </c>
      <c r="D233" t="str">
        <f>IF(A233='Unit-logprob'!A233,".","N")</f>
        <v>.</v>
      </c>
      <c r="E233" t="str">
        <f t="shared" si="3"/>
        <v>.</v>
      </c>
      <c r="H233" s="8" t="s">
        <v>127</v>
      </c>
      <c r="I233" s="8" t="s">
        <v>128</v>
      </c>
      <c r="J233" s="8" t="s">
        <v>420</v>
      </c>
    </row>
    <row r="234" spans="1:10" hidden="1" x14ac:dyDescent="0.45">
      <c r="A234" t="s">
        <v>35</v>
      </c>
      <c r="B234" t="s">
        <v>35</v>
      </c>
      <c r="D234" t="str">
        <f>IF(A234='Unit-logprob'!A234,".","N")</f>
        <v>.</v>
      </c>
      <c r="E234" t="str">
        <f t="shared" si="3"/>
        <v>.</v>
      </c>
      <c r="H234" s="8" t="s">
        <v>360</v>
      </c>
      <c r="I234" s="8" t="s">
        <v>361</v>
      </c>
      <c r="J234" s="8" t="s">
        <v>420</v>
      </c>
    </row>
    <row r="235" spans="1:10" hidden="1" x14ac:dyDescent="0.45">
      <c r="A235" t="s">
        <v>36</v>
      </c>
      <c r="B235" t="s">
        <v>36</v>
      </c>
      <c r="D235" t="str">
        <f>IF(A235='Unit-logprob'!A235,".","N")</f>
        <v>.</v>
      </c>
      <c r="E235" t="str">
        <f t="shared" si="3"/>
        <v>.</v>
      </c>
      <c r="H235" s="8" t="s">
        <v>233</v>
      </c>
      <c r="I235" s="8" t="s">
        <v>234</v>
      </c>
      <c r="J235" s="8" t="s">
        <v>425</v>
      </c>
    </row>
    <row r="236" spans="1:10" hidden="1" x14ac:dyDescent="0.45">
      <c r="A236" t="s">
        <v>41</v>
      </c>
      <c r="B236" t="s">
        <v>41</v>
      </c>
      <c r="D236" t="str">
        <f>IF(A236='Unit-logprob'!A236,".","N")</f>
        <v>.</v>
      </c>
      <c r="E236" t="str">
        <f t="shared" si="3"/>
        <v>.</v>
      </c>
      <c r="H236" s="8" t="s">
        <v>412</v>
      </c>
      <c r="I236" s="8" t="s">
        <v>413</v>
      </c>
      <c r="J236" s="8" t="s">
        <v>429</v>
      </c>
    </row>
    <row r="237" spans="1:10" hidden="1" x14ac:dyDescent="0.45">
      <c r="A237" t="s">
        <v>35</v>
      </c>
      <c r="B237" t="s">
        <v>35</v>
      </c>
      <c r="D237" t="str">
        <f>IF(A237='Unit-logprob'!A237,".","N")</f>
        <v>.</v>
      </c>
      <c r="E237" t="str">
        <f t="shared" si="3"/>
        <v>.</v>
      </c>
      <c r="H237" s="8" t="s">
        <v>447</v>
      </c>
      <c r="I237" s="8" t="s">
        <v>448</v>
      </c>
      <c r="J237" s="8" t="s">
        <v>420</v>
      </c>
    </row>
    <row r="238" spans="1:10" hidden="1" x14ac:dyDescent="0.45">
      <c r="A238" t="s">
        <v>35</v>
      </c>
      <c r="B238" t="s">
        <v>35</v>
      </c>
      <c r="D238" t="str">
        <f>IF(A238='Unit-logprob'!A238,".","N")</f>
        <v>.</v>
      </c>
      <c r="E238" t="str">
        <f t="shared" si="3"/>
        <v>.</v>
      </c>
      <c r="H238" s="8" t="s">
        <v>449</v>
      </c>
      <c r="I238" s="8" t="s">
        <v>450</v>
      </c>
      <c r="J238" s="8" t="s">
        <v>420</v>
      </c>
    </row>
    <row r="239" spans="1:10" hidden="1" x14ac:dyDescent="0.45">
      <c r="A239" t="s">
        <v>41</v>
      </c>
      <c r="B239" t="s">
        <v>41</v>
      </c>
      <c r="D239" t="str">
        <f>IF(A239='Unit-logprob'!A239,".","N")</f>
        <v>.</v>
      </c>
      <c r="E239" t="str">
        <f t="shared" si="3"/>
        <v>.</v>
      </c>
      <c r="H239" s="8" t="s">
        <v>286</v>
      </c>
      <c r="I239" s="8" t="s">
        <v>287</v>
      </c>
      <c r="J239" s="8" t="s">
        <v>429</v>
      </c>
    </row>
    <row r="240" spans="1:10" hidden="1" x14ac:dyDescent="0.45">
      <c r="A240" t="s">
        <v>36</v>
      </c>
      <c r="B240" t="s">
        <v>36</v>
      </c>
      <c r="D240" t="str">
        <f>IF(A240='Unit-logprob'!A240,".","N")</f>
        <v>.</v>
      </c>
      <c r="E240" t="str">
        <f t="shared" si="3"/>
        <v>.</v>
      </c>
      <c r="H240" s="8" t="s">
        <v>185</v>
      </c>
      <c r="I240" s="8" t="s">
        <v>186</v>
      </c>
      <c r="J240" s="8" t="s">
        <v>425</v>
      </c>
    </row>
    <row r="241" spans="1:10" hidden="1" x14ac:dyDescent="0.45">
      <c r="A241" t="s">
        <v>51</v>
      </c>
      <c r="B241" t="s">
        <v>51</v>
      </c>
      <c r="D241" t="str">
        <f>IF(A241='Unit-logprob'!A241,".","N")</f>
        <v>.</v>
      </c>
      <c r="E241" t="str">
        <f t="shared" si="3"/>
        <v>.</v>
      </c>
      <c r="H241" s="8" t="s">
        <v>343</v>
      </c>
      <c r="I241" s="8" t="s">
        <v>344</v>
      </c>
      <c r="J241" s="8" t="s">
        <v>438</v>
      </c>
    </row>
    <row r="242" spans="1:10" hidden="1" x14ac:dyDescent="0.45">
      <c r="A242" t="s">
        <v>31</v>
      </c>
      <c r="B242" t="s">
        <v>31</v>
      </c>
      <c r="D242" t="str">
        <f>IF(A242='Unit-logprob'!A242,".","N")</f>
        <v>.</v>
      </c>
      <c r="E242" t="str">
        <f t="shared" si="3"/>
        <v>.</v>
      </c>
      <c r="H242" s="8" t="s">
        <v>236</v>
      </c>
      <c r="I242" s="8" t="s">
        <v>237</v>
      </c>
      <c r="J242" s="8" t="s">
        <v>422</v>
      </c>
    </row>
    <row r="243" spans="1:10" hidden="1" x14ac:dyDescent="0.45">
      <c r="A243" t="s">
        <v>36</v>
      </c>
      <c r="B243" t="s">
        <v>36</v>
      </c>
      <c r="D243" t="str">
        <f>IF(A243='Unit-logprob'!A243,".","N")</f>
        <v>.</v>
      </c>
      <c r="E243" t="str">
        <f t="shared" si="3"/>
        <v>.</v>
      </c>
      <c r="H243" s="8" t="s">
        <v>122</v>
      </c>
      <c r="I243" s="8" t="s">
        <v>123</v>
      </c>
      <c r="J243" s="8" t="s">
        <v>425</v>
      </c>
    </row>
    <row r="244" spans="1:10" hidden="1" x14ac:dyDescent="0.45">
      <c r="A244" t="s">
        <v>31</v>
      </c>
      <c r="B244" t="s">
        <v>31</v>
      </c>
      <c r="D244" t="str">
        <f>IF(A244='Unit-logprob'!A244,".","N")</f>
        <v>.</v>
      </c>
      <c r="E244" t="str">
        <f t="shared" si="3"/>
        <v>.</v>
      </c>
      <c r="H244" s="8" t="s">
        <v>451</v>
      </c>
      <c r="I244" s="8" t="s">
        <v>237</v>
      </c>
      <c r="J244" s="8" t="s">
        <v>422</v>
      </c>
    </row>
    <row r="245" spans="1:10" hidden="1" x14ac:dyDescent="0.45">
      <c r="A245" t="s">
        <v>38</v>
      </c>
      <c r="B245" t="s">
        <v>38</v>
      </c>
      <c r="D245" t="str">
        <f>IF(A245='Unit-logprob'!A245,".","N")</f>
        <v>.</v>
      </c>
      <c r="E245" t="str">
        <f t="shared" si="3"/>
        <v>.</v>
      </c>
      <c r="H245" s="8" t="s">
        <v>201</v>
      </c>
      <c r="I245" s="8" t="s">
        <v>202</v>
      </c>
      <c r="J245" s="8" t="s">
        <v>426</v>
      </c>
    </row>
    <row r="246" spans="1:10" hidden="1" x14ac:dyDescent="0.45">
      <c r="A246" t="s">
        <v>35</v>
      </c>
      <c r="B246" t="s">
        <v>35</v>
      </c>
      <c r="D246" t="str">
        <f>IF(A246='Unit-logprob'!A246,".","N")</f>
        <v>.</v>
      </c>
      <c r="E246" t="str">
        <f t="shared" si="3"/>
        <v>.</v>
      </c>
      <c r="H246" s="8" t="s">
        <v>452</v>
      </c>
      <c r="I246" s="8" t="s">
        <v>453</v>
      </c>
      <c r="J246" s="8" t="s">
        <v>420</v>
      </c>
    </row>
    <row r="247" spans="1:10" hidden="1" x14ac:dyDescent="0.45">
      <c r="A247" t="s">
        <v>38</v>
      </c>
      <c r="B247" t="s">
        <v>38</v>
      </c>
      <c r="D247" t="str">
        <f>IF(A247='Unit-logprob'!A247,".","N")</f>
        <v>.</v>
      </c>
      <c r="E247" t="str">
        <f t="shared" si="3"/>
        <v>.</v>
      </c>
      <c r="H247" s="8" t="s">
        <v>197</v>
      </c>
      <c r="I247" s="8" t="s">
        <v>198</v>
      </c>
      <c r="J247" s="8" t="s">
        <v>426</v>
      </c>
    </row>
    <row r="248" spans="1:10" hidden="1" x14ac:dyDescent="0.45">
      <c r="A248" t="s">
        <v>41</v>
      </c>
      <c r="B248" t="s">
        <v>41</v>
      </c>
      <c r="D248" t="str">
        <f>IF(A248='Unit-logprob'!A248,".","N")</f>
        <v>.</v>
      </c>
      <c r="E248" t="str">
        <f t="shared" si="3"/>
        <v>.</v>
      </c>
      <c r="H248" s="8" t="s">
        <v>454</v>
      </c>
      <c r="I248" s="8" t="s">
        <v>455</v>
      </c>
      <c r="J248" s="8" t="s">
        <v>429</v>
      </c>
    </row>
    <row r="249" spans="1:10" hidden="1" x14ac:dyDescent="0.45">
      <c r="A249" t="s">
        <v>35</v>
      </c>
      <c r="B249" t="s">
        <v>35</v>
      </c>
      <c r="D249" t="str">
        <f>IF(A249='Unit-logprob'!A249,".","N")</f>
        <v>.</v>
      </c>
      <c r="E249" t="str">
        <f t="shared" si="3"/>
        <v>.</v>
      </c>
      <c r="H249" s="8" t="s">
        <v>263</v>
      </c>
      <c r="I249" s="8" t="s">
        <v>264</v>
      </c>
      <c r="J249" s="8" t="s">
        <v>420</v>
      </c>
    </row>
    <row r="250" spans="1:10" hidden="1" x14ac:dyDescent="0.45">
      <c r="A250" t="s">
        <v>35</v>
      </c>
      <c r="B250" t="s">
        <v>35</v>
      </c>
      <c r="D250" t="str">
        <f>IF(A250='Unit-logprob'!A250,".","N")</f>
        <v>.</v>
      </c>
      <c r="E250" t="str">
        <f t="shared" si="3"/>
        <v>.</v>
      </c>
      <c r="H250" s="8" t="s">
        <v>120</v>
      </c>
      <c r="I250" s="8" t="s">
        <v>121</v>
      </c>
      <c r="J250" s="8" t="s">
        <v>420</v>
      </c>
    </row>
    <row r="251" spans="1:10" hidden="1" x14ac:dyDescent="0.45">
      <c r="A251" t="s">
        <v>35</v>
      </c>
      <c r="B251" t="s">
        <v>35</v>
      </c>
      <c r="D251" t="str">
        <f>IF(A251='Unit-logprob'!A251,".","N")</f>
        <v>.</v>
      </c>
      <c r="E251" t="str">
        <f t="shared" si="3"/>
        <v>.</v>
      </c>
      <c r="H251" s="8" t="s">
        <v>414</v>
      </c>
      <c r="I251" s="8" t="s">
        <v>99</v>
      </c>
      <c r="J251" s="8" t="s">
        <v>420</v>
      </c>
    </row>
    <row r="252" spans="1:10" hidden="1" x14ac:dyDescent="0.45">
      <c r="A252" t="s">
        <v>35</v>
      </c>
      <c r="B252" t="s">
        <v>35</v>
      </c>
      <c r="D252" t="str">
        <f>IF(A252='Unit-logprob'!A252,".","N")</f>
        <v>.</v>
      </c>
      <c r="E252" t="str">
        <f t="shared" si="3"/>
        <v>.</v>
      </c>
      <c r="H252" s="8" t="s">
        <v>456</v>
      </c>
      <c r="I252" s="8" t="s">
        <v>457</v>
      </c>
      <c r="J252" s="10" t="s">
        <v>420</v>
      </c>
    </row>
    <row r="253" spans="1:10" hidden="1" x14ac:dyDescent="0.45">
      <c r="A253" t="s">
        <v>35</v>
      </c>
      <c r="B253" t="s">
        <v>35</v>
      </c>
      <c r="D253" t="str">
        <f>IF(A253='Unit-logprob'!A253,".","N")</f>
        <v>.</v>
      </c>
      <c r="E253" t="str">
        <f t="shared" si="3"/>
        <v>.</v>
      </c>
      <c r="H253" s="8" t="s">
        <v>357</v>
      </c>
      <c r="I253" s="8" t="s">
        <v>358</v>
      </c>
      <c r="J253" s="8" t="s">
        <v>420</v>
      </c>
    </row>
    <row r="254" spans="1:10" hidden="1" x14ac:dyDescent="0.45">
      <c r="A254" t="s">
        <v>19</v>
      </c>
      <c r="B254" t="s">
        <v>533</v>
      </c>
      <c r="D254" t="str">
        <f>IF(A254='Unit-logprob'!A254,".","N")</f>
        <v>.</v>
      </c>
      <c r="E254" t="str">
        <f t="shared" si="3"/>
        <v>N</v>
      </c>
      <c r="H254" s="8" t="s">
        <v>204</v>
      </c>
      <c r="I254" s="8" t="s">
        <v>205</v>
      </c>
      <c r="J254" s="8" t="s">
        <v>432</v>
      </c>
    </row>
    <row r="255" spans="1:10" hidden="1" x14ac:dyDescent="0.45">
      <c r="A255" t="s">
        <v>9</v>
      </c>
      <c r="B255" t="s">
        <v>35</v>
      </c>
      <c r="D255" t="str">
        <f>IF(A255='Unit-logprob'!A255,".","N")</f>
        <v>.</v>
      </c>
      <c r="E255" t="str">
        <f t="shared" si="3"/>
        <v>N</v>
      </c>
      <c r="H255" s="8" t="s">
        <v>288</v>
      </c>
      <c r="I255" s="8" t="s">
        <v>289</v>
      </c>
      <c r="J255" s="8" t="s">
        <v>420</v>
      </c>
    </row>
    <row r="256" spans="1:10" hidden="1" x14ac:dyDescent="0.45">
      <c r="A256" t="s">
        <v>41</v>
      </c>
      <c r="B256" t="s">
        <v>41</v>
      </c>
      <c r="D256" t="str">
        <f>IF(A256='Unit-logprob'!A256,".","N")</f>
        <v>.</v>
      </c>
      <c r="E256" t="str">
        <f t="shared" si="3"/>
        <v>.</v>
      </c>
      <c r="H256" s="8" t="s">
        <v>458</v>
      </c>
      <c r="I256" s="8" t="s">
        <v>459</v>
      </c>
      <c r="J256" s="8" t="s">
        <v>429</v>
      </c>
    </row>
    <row r="257" spans="1:10" hidden="1" x14ac:dyDescent="0.45">
      <c r="A257" t="s">
        <v>26</v>
      </c>
      <c r="B257" t="s">
        <v>26</v>
      </c>
      <c r="D257" t="str">
        <f>IF(A257='Unit-logprob'!A257,".","N")</f>
        <v>.</v>
      </c>
      <c r="E257" t="str">
        <f t="shared" si="3"/>
        <v>.</v>
      </c>
      <c r="H257" s="8" t="s">
        <v>247</v>
      </c>
      <c r="I257" s="8" t="s">
        <v>248</v>
      </c>
      <c r="J257" s="8" t="s">
        <v>416</v>
      </c>
    </row>
    <row r="258" spans="1:10" hidden="1" x14ac:dyDescent="0.45">
      <c r="A258" t="s">
        <v>36</v>
      </c>
      <c r="B258" t="s">
        <v>36</v>
      </c>
      <c r="D258" t="str">
        <f>IF(A258='Unit-logprob'!A258,".","N")</f>
        <v>.</v>
      </c>
      <c r="E258" t="str">
        <f t="shared" si="3"/>
        <v>.</v>
      </c>
      <c r="H258" s="8" t="s">
        <v>410</v>
      </c>
      <c r="I258" s="8" t="s">
        <v>411</v>
      </c>
      <c r="J258" s="8" t="s">
        <v>425</v>
      </c>
    </row>
    <row r="259" spans="1:10" hidden="1" x14ac:dyDescent="0.45">
      <c r="A259" t="s">
        <v>35</v>
      </c>
      <c r="B259" t="s">
        <v>35</v>
      </c>
      <c r="D259" t="str">
        <f>IF(A259='Unit-logprob'!A259,".","N")</f>
        <v>.</v>
      </c>
      <c r="E259" t="str">
        <f t="shared" ref="E259:E322" si="4">IF(A259=B259,".","N")</f>
        <v>.</v>
      </c>
      <c r="H259" s="8" t="s">
        <v>389</v>
      </c>
      <c r="I259" s="8" t="s">
        <v>390</v>
      </c>
      <c r="J259" s="8" t="s">
        <v>420</v>
      </c>
    </row>
    <row r="260" spans="1:10" hidden="1" x14ac:dyDescent="0.45">
      <c r="A260" t="s">
        <v>50</v>
      </c>
      <c r="B260" t="s">
        <v>50</v>
      </c>
      <c r="D260" t="str">
        <f>IF(A260='Unit-logprob'!A260,".","N")</f>
        <v>.</v>
      </c>
      <c r="E260" t="str">
        <f t="shared" si="4"/>
        <v>.</v>
      </c>
      <c r="H260" s="8" t="s">
        <v>277</v>
      </c>
      <c r="I260" s="8" t="s">
        <v>278</v>
      </c>
      <c r="J260" s="8" t="s">
        <v>437</v>
      </c>
    </row>
    <row r="261" spans="1:10" hidden="1" x14ac:dyDescent="0.45">
      <c r="A261" t="s">
        <v>40</v>
      </c>
      <c r="B261" t="s">
        <v>40</v>
      </c>
      <c r="D261" t="str">
        <f>IF(A261='Unit-logprob'!A261,".","N")</f>
        <v>.</v>
      </c>
      <c r="E261" t="str">
        <f t="shared" si="4"/>
        <v>.</v>
      </c>
      <c r="H261" s="8" t="s">
        <v>133</v>
      </c>
      <c r="I261" s="8" t="s">
        <v>134</v>
      </c>
      <c r="J261" s="8" t="s">
        <v>428</v>
      </c>
    </row>
    <row r="262" spans="1:10" hidden="1" x14ac:dyDescent="0.45">
      <c r="A262" t="s">
        <v>35</v>
      </c>
      <c r="B262" t="s">
        <v>35</v>
      </c>
      <c r="D262" t="str">
        <f>IF(A262='Unit-logprob'!A262,".","N")</f>
        <v>.</v>
      </c>
      <c r="E262" t="str">
        <f t="shared" si="4"/>
        <v>.</v>
      </c>
      <c r="H262" s="8" t="s">
        <v>460</v>
      </c>
      <c r="I262" s="8" t="s">
        <v>461</v>
      </c>
      <c r="J262" s="8" t="s">
        <v>420</v>
      </c>
    </row>
    <row r="263" spans="1:10" hidden="1" x14ac:dyDescent="0.45">
      <c r="A263" t="s">
        <v>33</v>
      </c>
      <c r="B263" t="s">
        <v>33</v>
      </c>
      <c r="D263" t="str">
        <f>IF(A263='Unit-logprob'!A263,".","N")</f>
        <v>.</v>
      </c>
      <c r="E263" t="str">
        <f t="shared" si="4"/>
        <v>.</v>
      </c>
      <c r="H263" s="8" t="s">
        <v>165</v>
      </c>
      <c r="I263" s="8" t="s">
        <v>166</v>
      </c>
      <c r="J263" s="8" t="s">
        <v>424</v>
      </c>
    </row>
    <row r="264" spans="1:10" hidden="1" x14ac:dyDescent="0.45">
      <c r="A264" t="s">
        <v>41</v>
      </c>
      <c r="B264" t="s">
        <v>41</v>
      </c>
      <c r="D264" t="str">
        <f>IF(A264='Unit-logprob'!A264,".","N")</f>
        <v>.</v>
      </c>
      <c r="E264" t="str">
        <f t="shared" si="4"/>
        <v>.</v>
      </c>
      <c r="H264" s="8" t="s">
        <v>325</v>
      </c>
      <c r="I264" s="8" t="s">
        <v>321</v>
      </c>
      <c r="J264" s="8" t="s">
        <v>429</v>
      </c>
    </row>
    <row r="265" spans="1:10" hidden="1" x14ac:dyDescent="0.45">
      <c r="A265" t="s">
        <v>39</v>
      </c>
      <c r="B265" t="s">
        <v>39</v>
      </c>
      <c r="D265" t="str">
        <f>IF(A265='Unit-logprob'!A265,".","N")</f>
        <v>.</v>
      </c>
      <c r="E265" t="str">
        <f t="shared" si="4"/>
        <v>.</v>
      </c>
      <c r="H265" s="8" t="s">
        <v>316</v>
      </c>
      <c r="I265" s="8" t="s">
        <v>317</v>
      </c>
      <c r="J265" s="8" t="s">
        <v>427</v>
      </c>
    </row>
    <row r="266" spans="1:10" hidden="1" x14ac:dyDescent="0.45">
      <c r="A266" t="s">
        <v>45</v>
      </c>
      <c r="B266" t="s">
        <v>45</v>
      </c>
      <c r="D266" t="str">
        <f>IF(A266='Unit-logprob'!A266,".","N")</f>
        <v>.</v>
      </c>
      <c r="E266" t="str">
        <f t="shared" si="4"/>
        <v>.</v>
      </c>
      <c r="H266" s="8" t="s">
        <v>206</v>
      </c>
      <c r="I266" s="8" t="s">
        <v>207</v>
      </c>
      <c r="J266" s="8" t="s">
        <v>433</v>
      </c>
    </row>
    <row r="267" spans="1:10" hidden="1" x14ac:dyDescent="0.45">
      <c r="A267" t="s">
        <v>36</v>
      </c>
      <c r="B267" t="s">
        <v>36</v>
      </c>
      <c r="D267" t="str">
        <f>IF(A267='Unit-logprob'!A267,".","N")</f>
        <v>.</v>
      </c>
      <c r="E267" t="str">
        <f t="shared" si="4"/>
        <v>.</v>
      </c>
      <c r="H267" s="8" t="s">
        <v>375</v>
      </c>
      <c r="I267" s="8" t="s">
        <v>376</v>
      </c>
      <c r="J267" s="8" t="s">
        <v>425</v>
      </c>
    </row>
    <row r="268" spans="1:10" hidden="1" x14ac:dyDescent="0.45">
      <c r="A268" t="s">
        <v>38</v>
      </c>
      <c r="B268" t="s">
        <v>38</v>
      </c>
      <c r="D268" t="str">
        <f>IF(A268='Unit-logprob'!A268,".","N")</f>
        <v>.</v>
      </c>
      <c r="E268" t="str">
        <f t="shared" si="4"/>
        <v>.</v>
      </c>
      <c r="H268" s="8" t="s">
        <v>129</v>
      </c>
      <c r="I268" s="8" t="s">
        <v>130</v>
      </c>
      <c r="J268" s="8" t="s">
        <v>426</v>
      </c>
    </row>
    <row r="269" spans="1:10" hidden="1" x14ac:dyDescent="0.45">
      <c r="A269" t="s">
        <v>28</v>
      </c>
      <c r="B269" t="s">
        <v>28</v>
      </c>
      <c r="D269" t="str">
        <f>IF(A269='Unit-logprob'!A269,".","N")</f>
        <v>.</v>
      </c>
      <c r="E269" t="str">
        <f t="shared" si="4"/>
        <v>.</v>
      </c>
      <c r="H269" s="8" t="s">
        <v>462</v>
      </c>
      <c r="I269" s="8" t="s">
        <v>99</v>
      </c>
      <c r="J269" s="8" t="s">
        <v>418</v>
      </c>
    </row>
    <row r="270" spans="1:10" hidden="1" x14ac:dyDescent="0.45">
      <c r="A270" t="s">
        <v>35</v>
      </c>
      <c r="B270" t="s">
        <v>35</v>
      </c>
      <c r="D270" t="str">
        <f>IF(A270='Unit-logprob'!A270,".","N")</f>
        <v>.</v>
      </c>
      <c r="E270" t="str">
        <f t="shared" si="4"/>
        <v>.</v>
      </c>
      <c r="H270" s="8" t="s">
        <v>313</v>
      </c>
      <c r="I270" s="8" t="s">
        <v>99</v>
      </c>
      <c r="J270" s="8" t="s">
        <v>420</v>
      </c>
    </row>
    <row r="271" spans="1:10" hidden="1" x14ac:dyDescent="0.45">
      <c r="A271" t="s">
        <v>27</v>
      </c>
      <c r="B271" t="s">
        <v>27</v>
      </c>
      <c r="D271" t="str">
        <f>IF(A271='Unit-logprob'!A271,".","N")</f>
        <v>.</v>
      </c>
      <c r="E271" t="str">
        <f t="shared" si="4"/>
        <v>.</v>
      </c>
      <c r="H271" s="8" t="s">
        <v>145</v>
      </c>
      <c r="I271" s="8" t="s">
        <v>146</v>
      </c>
      <c r="J271" s="8" t="s">
        <v>417</v>
      </c>
    </row>
    <row r="272" spans="1:10" x14ac:dyDescent="0.45">
      <c r="A272" t="s">
        <v>39</v>
      </c>
      <c r="B272" t="s">
        <v>538</v>
      </c>
      <c r="D272" t="str">
        <f>IF(A272='Unit-logprob'!A272,".","N")</f>
        <v>.</v>
      </c>
      <c r="E272" t="str">
        <f t="shared" si="4"/>
        <v>N</v>
      </c>
      <c r="F272" s="8" t="s">
        <v>515</v>
      </c>
      <c r="H272" s="8" t="s">
        <v>211</v>
      </c>
      <c r="I272" s="8" t="s">
        <v>212</v>
      </c>
      <c r="J272" s="8" t="s">
        <v>427</v>
      </c>
    </row>
    <row r="273" spans="1:10" x14ac:dyDescent="0.45">
      <c r="A273" t="s">
        <v>38</v>
      </c>
      <c r="B273" t="s">
        <v>43</v>
      </c>
      <c r="D273" t="str">
        <f>IF(A273='Unit-logprob'!A273,".","N")</f>
        <v>.</v>
      </c>
      <c r="E273" t="str">
        <f t="shared" si="4"/>
        <v>N</v>
      </c>
      <c r="F273" s="8" t="s">
        <v>515</v>
      </c>
      <c r="H273" s="8" t="s">
        <v>377</v>
      </c>
      <c r="I273" s="8" t="s">
        <v>378</v>
      </c>
      <c r="J273" s="8" t="s">
        <v>426</v>
      </c>
    </row>
    <row r="274" spans="1:10" hidden="1" x14ac:dyDescent="0.45">
      <c r="A274" t="s">
        <v>41</v>
      </c>
      <c r="B274" t="s">
        <v>41</v>
      </c>
      <c r="D274" t="str">
        <f>IF(A274='Unit-logprob'!A274,".","N")</f>
        <v>.</v>
      </c>
      <c r="E274" t="str">
        <f t="shared" si="4"/>
        <v>.</v>
      </c>
      <c r="H274" s="8" t="s">
        <v>391</v>
      </c>
      <c r="I274" s="8" t="s">
        <v>392</v>
      </c>
      <c r="J274" s="8" t="s">
        <v>429</v>
      </c>
    </row>
    <row r="275" spans="1:10" hidden="1" x14ac:dyDescent="0.45">
      <c r="A275" t="s">
        <v>40</v>
      </c>
      <c r="B275" t="s">
        <v>40</v>
      </c>
      <c r="D275" t="str">
        <f>IF(A275='Unit-logprob'!A275,".","N")</f>
        <v>.</v>
      </c>
      <c r="E275" t="str">
        <f t="shared" si="4"/>
        <v>.</v>
      </c>
      <c r="H275" s="8" t="s">
        <v>172</v>
      </c>
      <c r="I275" s="8" t="s">
        <v>173</v>
      </c>
      <c r="J275" s="8" t="s">
        <v>428</v>
      </c>
    </row>
    <row r="276" spans="1:10" hidden="1" x14ac:dyDescent="0.45">
      <c r="A276" t="s">
        <v>35</v>
      </c>
      <c r="B276" t="s">
        <v>35</v>
      </c>
      <c r="D276" t="str">
        <f>IF(A276='Unit-logprob'!A276,".","N")</f>
        <v>.</v>
      </c>
      <c r="E276" t="str">
        <f t="shared" si="4"/>
        <v>.</v>
      </c>
      <c r="H276" s="8" t="s">
        <v>312</v>
      </c>
      <c r="I276" s="8" t="s">
        <v>99</v>
      </c>
      <c r="J276" s="8" t="s">
        <v>420</v>
      </c>
    </row>
    <row r="277" spans="1:10" hidden="1" x14ac:dyDescent="0.45">
      <c r="A277" t="s">
        <v>51</v>
      </c>
      <c r="B277" t="s">
        <v>51</v>
      </c>
      <c r="D277" t="str">
        <f>IF(A277='Unit-logprob'!A277,".","N")</f>
        <v>.</v>
      </c>
      <c r="E277" t="str">
        <f t="shared" si="4"/>
        <v>.</v>
      </c>
      <c r="H277" s="8" t="s">
        <v>400</v>
      </c>
      <c r="I277" s="8" t="s">
        <v>401</v>
      </c>
      <c r="J277" s="8" t="s">
        <v>438</v>
      </c>
    </row>
    <row r="278" spans="1:10" hidden="1" x14ac:dyDescent="0.45">
      <c r="A278" t="s">
        <v>47</v>
      </c>
      <c r="B278" t="s">
        <v>47</v>
      </c>
      <c r="D278" t="str">
        <f>IF(A278='Unit-logprob'!A278,".","N")</f>
        <v>.</v>
      </c>
      <c r="E278" t="str">
        <f t="shared" si="4"/>
        <v>.</v>
      </c>
      <c r="H278" s="8" t="s">
        <v>217</v>
      </c>
      <c r="I278" s="8" t="s">
        <v>218</v>
      </c>
      <c r="J278" s="8" t="s">
        <v>434</v>
      </c>
    </row>
    <row r="279" spans="1:10" hidden="1" x14ac:dyDescent="0.45">
      <c r="A279" t="s">
        <v>30</v>
      </c>
      <c r="B279" t="s">
        <v>30</v>
      </c>
      <c r="D279" t="str">
        <f>IF(A279='Unit-logprob'!A279,".","N")</f>
        <v>.</v>
      </c>
      <c r="E279" t="str">
        <f t="shared" si="4"/>
        <v>.</v>
      </c>
      <c r="H279" s="8" t="s">
        <v>118</v>
      </c>
      <c r="I279" s="8" t="s">
        <v>119</v>
      </c>
      <c r="J279" s="8" t="s">
        <v>421</v>
      </c>
    </row>
    <row r="280" spans="1:10" hidden="1" x14ac:dyDescent="0.45">
      <c r="A280" t="s">
        <v>35</v>
      </c>
      <c r="B280" t="s">
        <v>35</v>
      </c>
      <c r="D280" t="str">
        <f>IF(A280='Unit-logprob'!A280,".","N")</f>
        <v>.</v>
      </c>
      <c r="E280" t="str">
        <f t="shared" si="4"/>
        <v>.</v>
      </c>
      <c r="H280" s="8" t="s">
        <v>154</v>
      </c>
      <c r="I280" s="8" t="s">
        <v>99</v>
      </c>
      <c r="J280" s="8" t="s">
        <v>420</v>
      </c>
    </row>
    <row r="281" spans="1:10" hidden="1" x14ac:dyDescent="0.45">
      <c r="A281" t="s">
        <v>51</v>
      </c>
      <c r="B281" t="s">
        <v>51</v>
      </c>
      <c r="D281" t="str">
        <f>IF(A281='Unit-logprob'!A281,".","N")</f>
        <v>.</v>
      </c>
      <c r="E281" t="str">
        <f t="shared" si="4"/>
        <v>.</v>
      </c>
      <c r="H281" s="8" t="s">
        <v>294</v>
      </c>
      <c r="I281" s="8" t="s">
        <v>295</v>
      </c>
      <c r="J281" s="8" t="s">
        <v>438</v>
      </c>
    </row>
    <row r="282" spans="1:10" hidden="1" x14ac:dyDescent="0.45">
      <c r="A282" t="s">
        <v>49</v>
      </c>
      <c r="B282" t="s">
        <v>49</v>
      </c>
      <c r="D282" t="str">
        <f>IF(A282='Unit-logprob'!A282,".","N")</f>
        <v>.</v>
      </c>
      <c r="E282" t="str">
        <f t="shared" si="4"/>
        <v>.</v>
      </c>
      <c r="H282" s="8" t="s">
        <v>463</v>
      </c>
      <c r="I282" s="8" t="s">
        <v>464</v>
      </c>
      <c r="J282" s="8" t="s">
        <v>436</v>
      </c>
    </row>
    <row r="283" spans="1:10" hidden="1" x14ac:dyDescent="0.45">
      <c r="A283" t="s">
        <v>38</v>
      </c>
      <c r="B283" t="s">
        <v>38</v>
      </c>
      <c r="D283" t="str">
        <f>IF(A283='Unit-logprob'!A283,".","N")</f>
        <v>.</v>
      </c>
      <c r="E283" t="str">
        <f t="shared" si="4"/>
        <v>.</v>
      </c>
      <c r="H283" s="8" t="s">
        <v>182</v>
      </c>
      <c r="I283" s="8" t="s">
        <v>99</v>
      </c>
      <c r="J283" s="8" t="s">
        <v>426</v>
      </c>
    </row>
    <row r="284" spans="1:10" hidden="1" x14ac:dyDescent="0.45">
      <c r="A284" t="s">
        <v>47</v>
      </c>
      <c r="B284" t="s">
        <v>47</v>
      </c>
      <c r="D284" t="str">
        <f>IF(A284='Unit-logprob'!A284,".","N")</f>
        <v>.</v>
      </c>
      <c r="E284" t="str">
        <f t="shared" si="4"/>
        <v>.</v>
      </c>
      <c r="H284" s="8" t="s">
        <v>350</v>
      </c>
      <c r="I284" s="8" t="s">
        <v>351</v>
      </c>
      <c r="J284" s="8" t="s">
        <v>434</v>
      </c>
    </row>
    <row r="285" spans="1:10" hidden="1" x14ac:dyDescent="0.45">
      <c r="A285" t="s">
        <v>36</v>
      </c>
      <c r="B285" t="s">
        <v>36</v>
      </c>
      <c r="D285" t="str">
        <f>IF(A285='Unit-logprob'!A285,".","N")</f>
        <v>.</v>
      </c>
      <c r="E285" t="str">
        <f t="shared" si="4"/>
        <v>.</v>
      </c>
      <c r="H285" s="8" t="s">
        <v>386</v>
      </c>
      <c r="I285" s="8" t="s">
        <v>387</v>
      </c>
      <c r="J285" s="8" t="s">
        <v>425</v>
      </c>
    </row>
    <row r="286" spans="1:10" hidden="1" x14ac:dyDescent="0.45">
      <c r="A286" t="s">
        <v>30</v>
      </c>
      <c r="B286" t="s">
        <v>30</v>
      </c>
      <c r="D286" t="str">
        <f>IF(A286='Unit-logprob'!A286,".","N")</f>
        <v>.</v>
      </c>
      <c r="E286" t="str">
        <f t="shared" si="4"/>
        <v>.</v>
      </c>
      <c r="H286" s="8" t="s">
        <v>303</v>
      </c>
      <c r="I286" s="8" t="s">
        <v>304</v>
      </c>
      <c r="J286" s="8" t="s">
        <v>421</v>
      </c>
    </row>
    <row r="287" spans="1:10" hidden="1" x14ac:dyDescent="0.45">
      <c r="A287" t="s">
        <v>32</v>
      </c>
      <c r="B287" t="s">
        <v>32</v>
      </c>
      <c r="D287" t="str">
        <f>IF(A287='Unit-logprob'!A287,".","N")</f>
        <v>.</v>
      </c>
      <c r="E287" t="str">
        <f t="shared" si="4"/>
        <v>.</v>
      </c>
      <c r="H287" s="8" t="s">
        <v>329</v>
      </c>
      <c r="I287" s="8" t="s">
        <v>330</v>
      </c>
      <c r="J287" s="8" t="s">
        <v>423</v>
      </c>
    </row>
    <row r="288" spans="1:10" hidden="1" x14ac:dyDescent="0.45">
      <c r="A288" t="s">
        <v>44</v>
      </c>
      <c r="B288" t="s">
        <v>44</v>
      </c>
      <c r="D288" t="str">
        <f>IF(A288='Unit-logprob'!A288,".","N")</f>
        <v>.</v>
      </c>
      <c r="E288" t="str">
        <f t="shared" si="4"/>
        <v>.</v>
      </c>
      <c r="H288" s="8" t="s">
        <v>187</v>
      </c>
      <c r="I288" s="8" t="s">
        <v>99</v>
      </c>
      <c r="J288" s="8" t="s">
        <v>431</v>
      </c>
    </row>
    <row r="289" spans="1:10" hidden="1" x14ac:dyDescent="0.45">
      <c r="A289" t="s">
        <v>28</v>
      </c>
      <c r="B289" t="s">
        <v>28</v>
      </c>
      <c r="D289" t="str">
        <f>IF(A289='Unit-logprob'!A289,".","N")</f>
        <v>.</v>
      </c>
      <c r="E289" t="str">
        <f t="shared" si="4"/>
        <v>.</v>
      </c>
      <c r="H289" s="8" t="s">
        <v>199</v>
      </c>
      <c r="I289" s="8" t="s">
        <v>200</v>
      </c>
      <c r="J289" s="8" t="s">
        <v>418</v>
      </c>
    </row>
    <row r="290" spans="1:10" hidden="1" x14ac:dyDescent="0.45">
      <c r="A290" t="s">
        <v>33</v>
      </c>
      <c r="B290" t="s">
        <v>33</v>
      </c>
      <c r="D290" t="str">
        <f>IF(A290='Unit-logprob'!A290,".","N")</f>
        <v>.</v>
      </c>
      <c r="E290" t="str">
        <f t="shared" si="4"/>
        <v>.</v>
      </c>
      <c r="H290" s="8" t="s">
        <v>370</v>
      </c>
      <c r="I290" s="8" t="s">
        <v>371</v>
      </c>
      <c r="J290" s="8" t="s">
        <v>424</v>
      </c>
    </row>
    <row r="291" spans="1:10" hidden="1" x14ac:dyDescent="0.45">
      <c r="A291" t="s">
        <v>26</v>
      </c>
      <c r="B291" t="s">
        <v>26</v>
      </c>
      <c r="D291" t="str">
        <f>IF(A291='Unit-logprob'!A291,".","N")</f>
        <v>.</v>
      </c>
      <c r="E291" t="str">
        <f t="shared" si="4"/>
        <v>.</v>
      </c>
      <c r="H291" s="8" t="s">
        <v>323</v>
      </c>
      <c r="I291" s="8" t="s">
        <v>324</v>
      </c>
      <c r="J291" s="8" t="s">
        <v>416</v>
      </c>
    </row>
    <row r="292" spans="1:10" hidden="1" x14ac:dyDescent="0.45">
      <c r="A292" t="s">
        <v>32</v>
      </c>
      <c r="B292" t="s">
        <v>32</v>
      </c>
      <c r="D292" t="str">
        <f>IF(A292='Unit-logprob'!A292,".","N")</f>
        <v>.</v>
      </c>
      <c r="E292" t="str">
        <f t="shared" si="4"/>
        <v>.</v>
      </c>
      <c r="H292" s="8" t="s">
        <v>152</v>
      </c>
      <c r="I292" s="8" t="s">
        <v>153</v>
      </c>
      <c r="J292" s="8" t="s">
        <v>423</v>
      </c>
    </row>
    <row r="293" spans="1:10" hidden="1" x14ac:dyDescent="0.45">
      <c r="A293" t="s">
        <v>35</v>
      </c>
      <c r="B293" t="s">
        <v>35</v>
      </c>
      <c r="D293" t="str">
        <f>IF(A293='Unit-logprob'!A293,".","N")</f>
        <v>.</v>
      </c>
      <c r="E293" t="str">
        <f t="shared" si="4"/>
        <v>.</v>
      </c>
      <c r="H293" s="8" t="s">
        <v>465</v>
      </c>
      <c r="I293" s="8" t="s">
        <v>466</v>
      </c>
      <c r="J293" s="8" t="s">
        <v>420</v>
      </c>
    </row>
    <row r="294" spans="1:10" hidden="1" x14ac:dyDescent="0.45">
      <c r="A294" t="s">
        <v>19</v>
      </c>
      <c r="B294" t="s">
        <v>29</v>
      </c>
      <c r="D294" t="str">
        <f>IF(A294='Unit-logprob'!A294,".","N")</f>
        <v>.</v>
      </c>
      <c r="E294" t="str">
        <f t="shared" si="4"/>
        <v>N</v>
      </c>
      <c r="H294" s="8" t="s">
        <v>467</v>
      </c>
      <c r="I294" s="8" t="s">
        <v>468</v>
      </c>
      <c r="J294" s="8" t="s">
        <v>432</v>
      </c>
    </row>
    <row r="295" spans="1:10" hidden="1" x14ac:dyDescent="0.45">
      <c r="A295" t="s">
        <v>33</v>
      </c>
      <c r="B295" t="s">
        <v>33</v>
      </c>
      <c r="D295" t="str">
        <f>IF(A295='Unit-logprob'!A295,".","N")</f>
        <v>.</v>
      </c>
      <c r="E295" t="str">
        <f t="shared" si="4"/>
        <v>.</v>
      </c>
      <c r="H295" s="8" t="s">
        <v>469</v>
      </c>
      <c r="I295" s="8" t="s">
        <v>99</v>
      </c>
      <c r="J295" s="8" t="s">
        <v>424</v>
      </c>
    </row>
    <row r="296" spans="1:10" hidden="1" x14ac:dyDescent="0.45">
      <c r="A296" t="s">
        <v>33</v>
      </c>
      <c r="B296" t="s">
        <v>33</v>
      </c>
      <c r="D296" t="str">
        <f>IF(A296='Unit-logprob'!A296,".","N")</f>
        <v>.</v>
      </c>
      <c r="E296" t="str">
        <f t="shared" si="4"/>
        <v>.</v>
      </c>
      <c r="H296" s="8" t="s">
        <v>470</v>
      </c>
      <c r="I296" s="8" t="s">
        <v>99</v>
      </c>
      <c r="J296" s="8" t="s">
        <v>424</v>
      </c>
    </row>
    <row r="297" spans="1:10" hidden="1" x14ac:dyDescent="0.45">
      <c r="A297" t="s">
        <v>31</v>
      </c>
      <c r="B297" t="s">
        <v>31</v>
      </c>
      <c r="D297" t="str">
        <f>IF(A297='Unit-logprob'!A297,".","N")</f>
        <v>.</v>
      </c>
      <c r="E297" t="str">
        <f t="shared" si="4"/>
        <v>.</v>
      </c>
      <c r="H297" s="8" t="s">
        <v>471</v>
      </c>
      <c r="I297" s="8" t="s">
        <v>99</v>
      </c>
      <c r="J297" s="8" t="s">
        <v>422</v>
      </c>
    </row>
    <row r="298" spans="1:10" hidden="1" x14ac:dyDescent="0.45">
      <c r="A298" t="s">
        <v>28</v>
      </c>
      <c r="B298" t="s">
        <v>28</v>
      </c>
      <c r="D298" t="str">
        <f>IF(A298='Unit-logprob'!A298,".","N")</f>
        <v>.</v>
      </c>
      <c r="E298" t="str">
        <f t="shared" si="4"/>
        <v>.</v>
      </c>
      <c r="H298" s="8" t="s">
        <v>472</v>
      </c>
      <c r="I298" s="8" t="s">
        <v>99</v>
      </c>
      <c r="J298" s="8" t="s">
        <v>418</v>
      </c>
    </row>
    <row r="299" spans="1:10" hidden="1" x14ac:dyDescent="0.45">
      <c r="A299" t="s">
        <v>9</v>
      </c>
      <c r="B299" t="s">
        <v>35</v>
      </c>
      <c r="D299" t="str">
        <f>IF(A299='Unit-logprob'!A299,".","N")</f>
        <v>.</v>
      </c>
      <c r="E299" t="str">
        <f t="shared" si="4"/>
        <v>N</v>
      </c>
      <c r="H299" s="8" t="s">
        <v>288</v>
      </c>
      <c r="I299" s="8" t="s">
        <v>289</v>
      </c>
      <c r="J299" s="8" t="s">
        <v>420</v>
      </c>
    </row>
    <row r="300" spans="1:10" hidden="1" x14ac:dyDescent="0.45">
      <c r="A300" t="s">
        <v>41</v>
      </c>
      <c r="B300" t="s">
        <v>41</v>
      </c>
      <c r="D300" t="str">
        <f>IF(A300='Unit-logprob'!A300,".","N")</f>
        <v>.</v>
      </c>
      <c r="E300" t="str">
        <f t="shared" si="4"/>
        <v>.</v>
      </c>
      <c r="H300" s="8" t="s">
        <v>454</v>
      </c>
      <c r="I300" s="8" t="s">
        <v>455</v>
      </c>
      <c r="J300" s="8" t="s">
        <v>429</v>
      </c>
    </row>
    <row r="301" spans="1:10" hidden="1" x14ac:dyDescent="0.45">
      <c r="A301" t="s">
        <v>49</v>
      </c>
      <c r="B301" t="s">
        <v>49</v>
      </c>
      <c r="D301" t="str">
        <f>IF(A301='Unit-logprob'!A301,".","N")</f>
        <v>.</v>
      </c>
      <c r="E301" t="str">
        <f t="shared" si="4"/>
        <v>.</v>
      </c>
      <c r="H301" s="8" t="s">
        <v>291</v>
      </c>
      <c r="I301" s="8" t="s">
        <v>292</v>
      </c>
      <c r="J301" s="8" t="s">
        <v>436</v>
      </c>
    </row>
    <row r="302" spans="1:10" hidden="1" x14ac:dyDescent="0.45">
      <c r="A302" t="s">
        <v>33</v>
      </c>
      <c r="B302" t="s">
        <v>33</v>
      </c>
      <c r="D302" t="str">
        <f>IF(A302='Unit-logprob'!A302,".","N")</f>
        <v>.</v>
      </c>
      <c r="E302" t="str">
        <f t="shared" si="4"/>
        <v>.</v>
      </c>
      <c r="H302" s="8" t="s">
        <v>470</v>
      </c>
      <c r="I302" s="8" t="s">
        <v>99</v>
      </c>
      <c r="J302" s="8" t="s">
        <v>424</v>
      </c>
    </row>
    <row r="303" spans="1:10" hidden="1" x14ac:dyDescent="0.45">
      <c r="A303" t="s">
        <v>49</v>
      </c>
      <c r="B303" t="s">
        <v>49</v>
      </c>
      <c r="D303" t="str">
        <f>IF(A303='Unit-logprob'!A303,".","N")</f>
        <v>.</v>
      </c>
      <c r="E303" t="str">
        <f t="shared" si="4"/>
        <v>.</v>
      </c>
      <c r="H303" s="8" t="s">
        <v>261</v>
      </c>
      <c r="I303" s="8" t="s">
        <v>262</v>
      </c>
      <c r="J303" s="8" t="s">
        <v>436</v>
      </c>
    </row>
    <row r="304" spans="1:10" x14ac:dyDescent="0.45">
      <c r="A304" t="s">
        <v>45</v>
      </c>
      <c r="B304" t="s">
        <v>533</v>
      </c>
      <c r="D304" t="str">
        <f>IF(A304='Unit-logprob'!A304,".","N")</f>
        <v>.</v>
      </c>
      <c r="E304" t="str">
        <f t="shared" si="4"/>
        <v>N</v>
      </c>
      <c r="F304" s="8" t="s">
        <v>515</v>
      </c>
      <c r="H304" s="8" t="s">
        <v>398</v>
      </c>
      <c r="I304" s="8" t="s">
        <v>399</v>
      </c>
      <c r="J304" s="8" t="s">
        <v>433</v>
      </c>
    </row>
    <row r="305" spans="1:10" hidden="1" x14ac:dyDescent="0.45">
      <c r="A305" t="s">
        <v>38</v>
      </c>
      <c r="B305" t="s">
        <v>38</v>
      </c>
      <c r="D305" t="str">
        <f>IF(A305='Unit-logprob'!A305,".","N")</f>
        <v>.</v>
      </c>
      <c r="E305" t="str">
        <f t="shared" si="4"/>
        <v>.</v>
      </c>
      <c r="H305" s="8" t="s">
        <v>377</v>
      </c>
      <c r="I305" s="8" t="s">
        <v>378</v>
      </c>
      <c r="J305" s="8" t="s">
        <v>426</v>
      </c>
    </row>
    <row r="306" spans="1:10" hidden="1" x14ac:dyDescent="0.45">
      <c r="A306" t="s">
        <v>57</v>
      </c>
      <c r="B306" t="s">
        <v>533</v>
      </c>
      <c r="D306" t="str">
        <f>IF(A306='Unit-logprob'!A306,".","N")</f>
        <v>.</v>
      </c>
      <c r="E306" t="str">
        <f t="shared" si="4"/>
        <v>N</v>
      </c>
      <c r="F306" s="8"/>
      <c r="H306" s="8" t="s">
        <v>473</v>
      </c>
      <c r="I306" s="8" t="s">
        <v>474</v>
      </c>
      <c r="J306" s="8" t="s">
        <v>497</v>
      </c>
    </row>
    <row r="307" spans="1:10" hidden="1" x14ac:dyDescent="0.45">
      <c r="A307" t="s">
        <v>35</v>
      </c>
      <c r="B307" t="s">
        <v>35</v>
      </c>
      <c r="D307" t="str">
        <f>IF(A307='Unit-logprob'!A307,".","N")</f>
        <v>.</v>
      </c>
      <c r="E307" t="str">
        <f t="shared" si="4"/>
        <v>.</v>
      </c>
      <c r="H307" s="8" t="s">
        <v>159</v>
      </c>
      <c r="I307" s="8" t="s">
        <v>99</v>
      </c>
      <c r="J307" s="8" t="s">
        <v>420</v>
      </c>
    </row>
    <row r="308" spans="1:10" hidden="1" x14ac:dyDescent="0.45">
      <c r="A308" t="s">
        <v>19</v>
      </c>
      <c r="B308" t="s">
        <v>58</v>
      </c>
      <c r="D308" t="str">
        <f>IF(A308='Unit-logprob'!A308,".","N")</f>
        <v>.</v>
      </c>
      <c r="E308" t="str">
        <f t="shared" si="4"/>
        <v>N</v>
      </c>
      <c r="H308" s="8" t="s">
        <v>467</v>
      </c>
      <c r="I308" s="8" t="s">
        <v>468</v>
      </c>
      <c r="J308" s="8" t="s">
        <v>432</v>
      </c>
    </row>
    <row r="309" spans="1:10" hidden="1" x14ac:dyDescent="0.45">
      <c r="A309" t="s">
        <v>35</v>
      </c>
      <c r="B309" t="s">
        <v>35</v>
      </c>
      <c r="D309" t="str">
        <f>IF(A309='Unit-logprob'!A309,".","N")</f>
        <v>.</v>
      </c>
      <c r="E309" t="str">
        <f t="shared" si="4"/>
        <v>.</v>
      </c>
      <c r="H309" s="8" t="s">
        <v>271</v>
      </c>
      <c r="I309" s="8" t="s">
        <v>99</v>
      </c>
      <c r="J309" s="8" t="s">
        <v>420</v>
      </c>
    </row>
    <row r="310" spans="1:10" hidden="1" x14ac:dyDescent="0.45">
      <c r="A310" t="s">
        <v>33</v>
      </c>
      <c r="B310" t="s">
        <v>33</v>
      </c>
      <c r="D310" t="str">
        <f>IF(A310='Unit-logprob'!A310,".","N")</f>
        <v>.</v>
      </c>
      <c r="E310" t="str">
        <f t="shared" si="4"/>
        <v>.</v>
      </c>
      <c r="H310" s="8" t="s">
        <v>475</v>
      </c>
      <c r="I310" s="8" t="s">
        <v>476</v>
      </c>
      <c r="J310" s="8" t="s">
        <v>424</v>
      </c>
    </row>
    <row r="311" spans="1:10" hidden="1" x14ac:dyDescent="0.45">
      <c r="A311" t="s">
        <v>35</v>
      </c>
      <c r="B311" t="s">
        <v>35</v>
      </c>
      <c r="D311" t="str">
        <f>IF(A311='Unit-logprob'!A311,".","N")</f>
        <v>.</v>
      </c>
      <c r="E311" t="str">
        <f t="shared" si="4"/>
        <v>.</v>
      </c>
      <c r="H311" s="8" t="s">
        <v>154</v>
      </c>
      <c r="I311" s="8" t="s">
        <v>99</v>
      </c>
      <c r="J311" s="8" t="s">
        <v>420</v>
      </c>
    </row>
    <row r="312" spans="1:10" hidden="1" x14ac:dyDescent="0.45">
      <c r="A312" t="s">
        <v>36</v>
      </c>
      <c r="B312" t="s">
        <v>36</v>
      </c>
      <c r="D312" t="str">
        <f>IF(A312='Unit-logprob'!A312,".","N")</f>
        <v>.</v>
      </c>
      <c r="E312" t="str">
        <f t="shared" si="4"/>
        <v>.</v>
      </c>
      <c r="H312" s="8" t="s">
        <v>185</v>
      </c>
      <c r="I312" s="8" t="s">
        <v>186</v>
      </c>
      <c r="J312" s="8" t="s">
        <v>425</v>
      </c>
    </row>
    <row r="313" spans="1:10" hidden="1" x14ac:dyDescent="0.45">
      <c r="A313" t="s">
        <v>32</v>
      </c>
      <c r="B313" t="s">
        <v>32</v>
      </c>
      <c r="D313" t="str">
        <f>IF(A313='Unit-logprob'!A313,".","N")</f>
        <v>.</v>
      </c>
      <c r="E313" t="str">
        <f t="shared" si="4"/>
        <v>.</v>
      </c>
      <c r="H313" s="8" t="s">
        <v>176</v>
      </c>
      <c r="I313" s="8" t="s">
        <v>177</v>
      </c>
      <c r="J313" s="8" t="s">
        <v>423</v>
      </c>
    </row>
    <row r="314" spans="1:10" hidden="1" x14ac:dyDescent="0.45">
      <c r="A314" t="s">
        <v>35</v>
      </c>
      <c r="B314" t="s">
        <v>35</v>
      </c>
      <c r="D314" t="str">
        <f>IF(A314='Unit-logprob'!A314,".","N")</f>
        <v>.</v>
      </c>
      <c r="E314" t="str">
        <f t="shared" si="4"/>
        <v>.</v>
      </c>
      <c r="H314" s="8" t="s">
        <v>313</v>
      </c>
      <c r="I314" s="8" t="s">
        <v>99</v>
      </c>
      <c r="J314" s="8" t="s">
        <v>420</v>
      </c>
    </row>
    <row r="315" spans="1:10" hidden="1" x14ac:dyDescent="0.45">
      <c r="A315" t="s">
        <v>32</v>
      </c>
      <c r="B315" t="s">
        <v>32</v>
      </c>
      <c r="D315" t="str">
        <f>IF(A315='Unit-logprob'!A315,".","N")</f>
        <v>.</v>
      </c>
      <c r="E315" t="str">
        <f t="shared" si="4"/>
        <v>.</v>
      </c>
      <c r="H315" s="8" t="s">
        <v>477</v>
      </c>
      <c r="I315" s="8" t="s">
        <v>478</v>
      </c>
      <c r="J315" s="8" t="s">
        <v>423</v>
      </c>
    </row>
    <row r="316" spans="1:10" hidden="1" x14ac:dyDescent="0.45">
      <c r="A316" t="s">
        <v>60</v>
      </c>
      <c r="B316" t="s">
        <v>60</v>
      </c>
      <c r="D316" t="str">
        <f>IF(A316='Unit-logprob'!A316,".","N")</f>
        <v>.</v>
      </c>
      <c r="E316" t="str">
        <f t="shared" si="4"/>
        <v>.</v>
      </c>
      <c r="H316" s="8" t="s">
        <v>479</v>
      </c>
      <c r="I316" s="8" t="s">
        <v>480</v>
      </c>
      <c r="J316" s="8" t="s">
        <v>498</v>
      </c>
    </row>
    <row r="317" spans="1:10" hidden="1" x14ac:dyDescent="0.45">
      <c r="A317" t="s">
        <v>38</v>
      </c>
      <c r="B317" t="s">
        <v>38</v>
      </c>
      <c r="D317" t="str">
        <f>IF(A317='Unit-logprob'!A317,".","N")</f>
        <v>.</v>
      </c>
      <c r="E317" t="str">
        <f t="shared" si="4"/>
        <v>.</v>
      </c>
      <c r="H317" s="8" t="s">
        <v>178</v>
      </c>
      <c r="I317" s="8" t="s">
        <v>179</v>
      </c>
      <c r="J317" s="8" t="s">
        <v>426</v>
      </c>
    </row>
    <row r="318" spans="1:10" hidden="1" x14ac:dyDescent="0.45">
      <c r="A318" t="s">
        <v>41</v>
      </c>
      <c r="B318" t="s">
        <v>41</v>
      </c>
      <c r="D318" t="str">
        <f>IF(A318='Unit-logprob'!A318,".","N")</f>
        <v>.</v>
      </c>
      <c r="E318" t="str">
        <f t="shared" si="4"/>
        <v>.</v>
      </c>
      <c r="H318" s="8" t="s">
        <v>412</v>
      </c>
      <c r="I318" s="8" t="s">
        <v>413</v>
      </c>
      <c r="J318" s="8" t="s">
        <v>429</v>
      </c>
    </row>
    <row r="319" spans="1:10" hidden="1" x14ac:dyDescent="0.45">
      <c r="A319" t="s">
        <v>33</v>
      </c>
      <c r="B319" t="s">
        <v>33</v>
      </c>
      <c r="D319" t="str">
        <f>IF(A319='Unit-logprob'!A319,".","N")</f>
        <v>.</v>
      </c>
      <c r="E319" t="str">
        <f t="shared" si="4"/>
        <v>.</v>
      </c>
      <c r="H319" s="8" t="s">
        <v>370</v>
      </c>
      <c r="I319" s="8" t="s">
        <v>371</v>
      </c>
      <c r="J319" s="8" t="s">
        <v>424</v>
      </c>
    </row>
    <row r="320" spans="1:10" hidden="1" x14ac:dyDescent="0.45">
      <c r="A320" t="s">
        <v>36</v>
      </c>
      <c r="B320" t="s">
        <v>36</v>
      </c>
      <c r="D320" t="str">
        <f>IF(A320='Unit-logprob'!A320,".","N")</f>
        <v>.</v>
      </c>
      <c r="E320" t="str">
        <f t="shared" si="4"/>
        <v>.</v>
      </c>
      <c r="H320" s="8" t="s">
        <v>386</v>
      </c>
      <c r="I320" s="8" t="s">
        <v>387</v>
      </c>
      <c r="J320" s="8" t="s">
        <v>425</v>
      </c>
    </row>
    <row r="321" spans="1:10" hidden="1" x14ac:dyDescent="0.45">
      <c r="A321" t="s">
        <v>40</v>
      </c>
      <c r="B321" t="s">
        <v>40</v>
      </c>
      <c r="D321" t="str">
        <f>IF(A321='Unit-logprob'!A321,".","N")</f>
        <v>.</v>
      </c>
      <c r="E321" t="str">
        <f t="shared" si="4"/>
        <v>.</v>
      </c>
      <c r="H321" s="8" t="s">
        <v>133</v>
      </c>
      <c r="I321" s="8" t="s">
        <v>134</v>
      </c>
      <c r="J321" s="8" t="s">
        <v>428</v>
      </c>
    </row>
    <row r="322" spans="1:10" hidden="1" x14ac:dyDescent="0.45">
      <c r="A322" t="s">
        <v>57</v>
      </c>
      <c r="B322" t="s">
        <v>533</v>
      </c>
      <c r="D322" t="str">
        <f>IF(A322='Unit-logprob'!A322,".","N")</f>
        <v>.</v>
      </c>
      <c r="E322" t="str">
        <f t="shared" si="4"/>
        <v>N</v>
      </c>
      <c r="F322" s="8"/>
      <c r="H322" s="8" t="s">
        <v>481</v>
      </c>
      <c r="I322" s="8" t="s">
        <v>482</v>
      </c>
      <c r="J322" s="8" t="s">
        <v>497</v>
      </c>
    </row>
    <row r="323" spans="1:10" hidden="1" x14ac:dyDescent="0.45">
      <c r="A323" t="s">
        <v>51</v>
      </c>
      <c r="B323" t="s">
        <v>51</v>
      </c>
      <c r="D323" t="str">
        <f>IF(A323='Unit-logprob'!A323,".","N")</f>
        <v>.</v>
      </c>
      <c r="E323" t="str">
        <f t="shared" ref="E323:E386" si="5">IF(A323=B323,".","N")</f>
        <v>.</v>
      </c>
      <c r="H323" s="8" t="s">
        <v>343</v>
      </c>
      <c r="I323" s="8" t="s">
        <v>344</v>
      </c>
      <c r="J323" s="8" t="s">
        <v>438</v>
      </c>
    </row>
    <row r="324" spans="1:10" hidden="1" x14ac:dyDescent="0.45">
      <c r="A324" t="s">
        <v>35</v>
      </c>
      <c r="B324" t="s">
        <v>35</v>
      </c>
      <c r="D324" t="str">
        <f>IF(A324='Unit-logprob'!A324,".","N")</f>
        <v>.</v>
      </c>
      <c r="E324" t="str">
        <f t="shared" si="5"/>
        <v>.</v>
      </c>
      <c r="H324" s="8" t="s">
        <v>360</v>
      </c>
      <c r="I324" s="8" t="s">
        <v>361</v>
      </c>
      <c r="J324" s="8" t="s">
        <v>420</v>
      </c>
    </row>
    <row r="325" spans="1:10" hidden="1" x14ac:dyDescent="0.45">
      <c r="A325" t="s">
        <v>35</v>
      </c>
      <c r="B325" t="s">
        <v>35</v>
      </c>
      <c r="D325" t="str">
        <f>IF(A325='Unit-logprob'!A325,".","N")</f>
        <v>.</v>
      </c>
      <c r="E325" t="str">
        <f t="shared" si="5"/>
        <v>.</v>
      </c>
      <c r="H325" s="8" t="s">
        <v>440</v>
      </c>
      <c r="I325" s="8" t="s">
        <v>99</v>
      </c>
      <c r="J325" s="8" t="s">
        <v>420</v>
      </c>
    </row>
    <row r="326" spans="1:10" hidden="1" x14ac:dyDescent="0.45">
      <c r="A326" t="s">
        <v>36</v>
      </c>
      <c r="B326" t="s">
        <v>36</v>
      </c>
      <c r="D326" t="str">
        <f>IF(A326='Unit-logprob'!A326,".","N")</f>
        <v>.</v>
      </c>
      <c r="E326" t="str">
        <f t="shared" si="5"/>
        <v>.</v>
      </c>
      <c r="H326" s="8" t="s">
        <v>162</v>
      </c>
      <c r="I326" s="8" t="s">
        <v>163</v>
      </c>
      <c r="J326" s="8" t="s">
        <v>425</v>
      </c>
    </row>
    <row r="327" spans="1:10" hidden="1" x14ac:dyDescent="0.45">
      <c r="A327" t="s">
        <v>36</v>
      </c>
      <c r="B327" t="s">
        <v>36</v>
      </c>
      <c r="D327" t="str">
        <f>IF(A327='Unit-logprob'!A327,".","N")</f>
        <v>.</v>
      </c>
      <c r="E327" t="str">
        <f t="shared" si="5"/>
        <v>.</v>
      </c>
      <c r="H327" s="8" t="s">
        <v>375</v>
      </c>
      <c r="I327" s="8" t="s">
        <v>376</v>
      </c>
      <c r="J327" s="8" t="s">
        <v>425</v>
      </c>
    </row>
    <row r="328" spans="1:10" hidden="1" x14ac:dyDescent="0.45">
      <c r="A328" t="s">
        <v>38</v>
      </c>
      <c r="B328" t="s">
        <v>38</v>
      </c>
      <c r="D328" t="str">
        <f>IF(A328='Unit-logprob'!A328,".","N")</f>
        <v>.</v>
      </c>
      <c r="E328" t="str">
        <f t="shared" si="5"/>
        <v>.</v>
      </c>
      <c r="H328" s="8" t="s">
        <v>372</v>
      </c>
      <c r="I328" s="8" t="s">
        <v>99</v>
      </c>
      <c r="J328" s="8" t="s">
        <v>426</v>
      </c>
    </row>
    <row r="329" spans="1:10" hidden="1" x14ac:dyDescent="0.45">
      <c r="A329" t="s">
        <v>41</v>
      </c>
      <c r="B329" t="s">
        <v>41</v>
      </c>
      <c r="D329" t="str">
        <f>IF(A329='Unit-logprob'!A329,".","N")</f>
        <v>.</v>
      </c>
      <c r="E329" t="str">
        <f t="shared" si="5"/>
        <v>.</v>
      </c>
      <c r="H329" s="8" t="s">
        <v>391</v>
      </c>
      <c r="I329" s="8" t="s">
        <v>392</v>
      </c>
      <c r="J329" s="8" t="s">
        <v>429</v>
      </c>
    </row>
    <row r="330" spans="1:10" hidden="1" x14ac:dyDescent="0.45">
      <c r="A330" t="s">
        <v>35</v>
      </c>
      <c r="B330" t="s">
        <v>35</v>
      </c>
      <c r="D330" t="str">
        <f>IF(A330='Unit-logprob'!A330,".","N")</f>
        <v>.</v>
      </c>
      <c r="E330" t="str">
        <f t="shared" si="5"/>
        <v>.</v>
      </c>
      <c r="H330" s="8" t="s">
        <v>263</v>
      </c>
      <c r="I330" s="8" t="s">
        <v>264</v>
      </c>
      <c r="J330" s="8" t="s">
        <v>420</v>
      </c>
    </row>
    <row r="331" spans="1:10" hidden="1" x14ac:dyDescent="0.45">
      <c r="A331" t="s">
        <v>30</v>
      </c>
      <c r="B331" t="s">
        <v>30</v>
      </c>
      <c r="D331" t="str">
        <f>IF(A331='Unit-logprob'!A331,".","N")</f>
        <v>.</v>
      </c>
      <c r="E331" t="str">
        <f t="shared" si="5"/>
        <v>.</v>
      </c>
      <c r="H331" s="8" t="s">
        <v>111</v>
      </c>
      <c r="I331" s="8" t="s">
        <v>112</v>
      </c>
      <c r="J331" s="8" t="s">
        <v>421</v>
      </c>
    </row>
    <row r="332" spans="1:10" hidden="1" x14ac:dyDescent="0.45">
      <c r="A332" t="s">
        <v>36</v>
      </c>
      <c r="B332" t="s">
        <v>36</v>
      </c>
      <c r="D332" t="str">
        <f>IF(A332='Unit-logprob'!A332,".","N")</f>
        <v>.</v>
      </c>
      <c r="E332" t="str">
        <f t="shared" si="5"/>
        <v>.</v>
      </c>
      <c r="H332" s="8" t="s">
        <v>233</v>
      </c>
      <c r="I332" s="8" t="s">
        <v>234</v>
      </c>
      <c r="J332" s="8" t="s">
        <v>425</v>
      </c>
    </row>
    <row r="333" spans="1:10" hidden="1" x14ac:dyDescent="0.45">
      <c r="A333" t="s">
        <v>41</v>
      </c>
      <c r="B333" t="s">
        <v>41</v>
      </c>
      <c r="D333" t="str">
        <f>IF(A333='Unit-logprob'!A333,".","N")</f>
        <v>.</v>
      </c>
      <c r="E333" t="str">
        <f t="shared" si="5"/>
        <v>.</v>
      </c>
      <c r="H333" s="8" t="s">
        <v>458</v>
      </c>
      <c r="I333" s="8" t="s">
        <v>459</v>
      </c>
      <c r="J333" s="8" t="s">
        <v>429</v>
      </c>
    </row>
    <row r="334" spans="1:10" hidden="1" x14ac:dyDescent="0.45">
      <c r="A334" t="s">
        <v>31</v>
      </c>
      <c r="B334" t="s">
        <v>31</v>
      </c>
      <c r="D334" t="str">
        <f>IF(A334='Unit-logprob'!A334,".","N")</f>
        <v>.</v>
      </c>
      <c r="E334" t="str">
        <f t="shared" si="5"/>
        <v>.</v>
      </c>
      <c r="H334" s="8" t="s">
        <v>451</v>
      </c>
      <c r="I334" s="8" t="s">
        <v>237</v>
      </c>
      <c r="J334" s="8" t="s">
        <v>422</v>
      </c>
    </row>
    <row r="335" spans="1:10" hidden="1" x14ac:dyDescent="0.45">
      <c r="A335" t="s">
        <v>28</v>
      </c>
      <c r="B335" t="s">
        <v>28</v>
      </c>
      <c r="D335" t="str">
        <f>IF(A335='Unit-logprob'!A335,".","N")</f>
        <v>.</v>
      </c>
      <c r="E335" t="str">
        <f t="shared" si="5"/>
        <v>.</v>
      </c>
      <c r="H335" s="8" t="s">
        <v>472</v>
      </c>
      <c r="I335" s="8" t="s">
        <v>99</v>
      </c>
      <c r="J335" s="8" t="s">
        <v>418</v>
      </c>
    </row>
    <row r="336" spans="1:10" hidden="1" x14ac:dyDescent="0.45">
      <c r="A336" t="s">
        <v>36</v>
      </c>
      <c r="B336" t="s">
        <v>36</v>
      </c>
      <c r="D336" t="str">
        <f>IF(A336='Unit-logprob'!A336,".","N")</f>
        <v>.</v>
      </c>
      <c r="E336" t="str">
        <f t="shared" si="5"/>
        <v>.</v>
      </c>
      <c r="H336" s="8" t="s">
        <v>122</v>
      </c>
      <c r="I336" s="8" t="s">
        <v>123</v>
      </c>
      <c r="J336" s="8" t="s">
        <v>425</v>
      </c>
    </row>
    <row r="337" spans="1:10" hidden="1" x14ac:dyDescent="0.45">
      <c r="A337" t="s">
        <v>19</v>
      </c>
      <c r="B337" t="s">
        <v>533</v>
      </c>
      <c r="D337" t="str">
        <f>IF(A337='Unit-logprob'!A337,".","N")</f>
        <v>.</v>
      </c>
      <c r="E337" t="str">
        <f t="shared" si="5"/>
        <v>N</v>
      </c>
      <c r="H337" s="8" t="s">
        <v>157</v>
      </c>
      <c r="I337" s="8" t="s">
        <v>158</v>
      </c>
      <c r="J337" s="8" t="s">
        <v>430</v>
      </c>
    </row>
    <row r="338" spans="1:10" hidden="1" x14ac:dyDescent="0.45">
      <c r="A338" t="s">
        <v>27</v>
      </c>
      <c r="B338" t="s">
        <v>27</v>
      </c>
      <c r="D338" t="str">
        <f>IF(A338='Unit-logprob'!A338,".","N")</f>
        <v>.</v>
      </c>
      <c r="E338" t="str">
        <f t="shared" si="5"/>
        <v>.</v>
      </c>
      <c r="H338" s="8" t="s">
        <v>145</v>
      </c>
      <c r="I338" s="8" t="s">
        <v>146</v>
      </c>
      <c r="J338" s="8" t="s">
        <v>417</v>
      </c>
    </row>
    <row r="339" spans="1:10" hidden="1" x14ac:dyDescent="0.45">
      <c r="A339" t="s">
        <v>35</v>
      </c>
      <c r="B339" t="s">
        <v>35</v>
      </c>
      <c r="D339" t="str">
        <f>IF(A339='Unit-logprob'!A339,".","N")</f>
        <v>.</v>
      </c>
      <c r="E339" t="str">
        <f t="shared" si="5"/>
        <v>.</v>
      </c>
      <c r="H339" s="8" t="s">
        <v>389</v>
      </c>
      <c r="I339" s="8" t="s">
        <v>390</v>
      </c>
      <c r="J339" s="8" t="s">
        <v>420</v>
      </c>
    </row>
    <row r="340" spans="1:10" hidden="1" x14ac:dyDescent="0.45">
      <c r="A340" t="s">
        <v>35</v>
      </c>
      <c r="B340" t="s">
        <v>35</v>
      </c>
      <c r="D340" t="str">
        <f>IF(A340='Unit-logprob'!A340,".","N")</f>
        <v>.</v>
      </c>
      <c r="E340" t="str">
        <f t="shared" si="5"/>
        <v>.</v>
      </c>
      <c r="H340" s="8" t="s">
        <v>449</v>
      </c>
      <c r="I340" s="8" t="s">
        <v>450</v>
      </c>
      <c r="J340" s="8" t="s">
        <v>420</v>
      </c>
    </row>
    <row r="341" spans="1:10" hidden="1" x14ac:dyDescent="0.45">
      <c r="A341" t="s">
        <v>32</v>
      </c>
      <c r="B341" t="s">
        <v>32</v>
      </c>
      <c r="D341" t="str">
        <f>IF(A341='Unit-logprob'!A341,".","N")</f>
        <v>.</v>
      </c>
      <c r="E341" t="str">
        <f t="shared" si="5"/>
        <v>.</v>
      </c>
      <c r="H341" s="8" t="s">
        <v>152</v>
      </c>
      <c r="I341" s="8" t="s">
        <v>153</v>
      </c>
      <c r="J341" s="8" t="s">
        <v>423</v>
      </c>
    </row>
    <row r="342" spans="1:10" hidden="1" x14ac:dyDescent="0.45">
      <c r="A342" t="s">
        <v>38</v>
      </c>
      <c r="B342" t="s">
        <v>38</v>
      </c>
      <c r="D342" t="str">
        <f>IF(A342='Unit-logprob'!A342,".","N")</f>
        <v>.</v>
      </c>
      <c r="E342" t="str">
        <f t="shared" si="5"/>
        <v>.</v>
      </c>
      <c r="H342" s="8" t="s">
        <v>219</v>
      </c>
      <c r="I342" s="8" t="s">
        <v>220</v>
      </c>
      <c r="J342" s="8" t="s">
        <v>426</v>
      </c>
    </row>
    <row r="343" spans="1:10" hidden="1" x14ac:dyDescent="0.45">
      <c r="A343" t="s">
        <v>47</v>
      </c>
      <c r="B343" t="s">
        <v>47</v>
      </c>
      <c r="D343" t="str">
        <f>IF(A343='Unit-logprob'!A343,".","N")</f>
        <v>.</v>
      </c>
      <c r="E343" t="str">
        <f t="shared" si="5"/>
        <v>.</v>
      </c>
      <c r="H343" s="8" t="s">
        <v>350</v>
      </c>
      <c r="I343" s="8" t="s">
        <v>351</v>
      </c>
      <c r="J343" s="8" t="s">
        <v>434</v>
      </c>
    </row>
    <row r="344" spans="1:10" hidden="1" x14ac:dyDescent="0.45">
      <c r="A344" t="s">
        <v>51</v>
      </c>
      <c r="B344" t="s">
        <v>51</v>
      </c>
      <c r="D344" t="str">
        <f>IF(A344='Unit-logprob'!A344,".","N")</f>
        <v>.</v>
      </c>
      <c r="E344" t="str">
        <f t="shared" si="5"/>
        <v>.</v>
      </c>
      <c r="H344" s="8" t="s">
        <v>294</v>
      </c>
      <c r="I344" s="8" t="s">
        <v>295</v>
      </c>
      <c r="J344" s="8" t="s">
        <v>438</v>
      </c>
    </row>
    <row r="345" spans="1:10" hidden="1" x14ac:dyDescent="0.45">
      <c r="A345" t="s">
        <v>28</v>
      </c>
      <c r="B345" t="s">
        <v>28</v>
      </c>
      <c r="D345" t="str">
        <f>IF(A345='Unit-logprob'!A345,".","N")</f>
        <v>.</v>
      </c>
      <c r="E345" t="str">
        <f t="shared" si="5"/>
        <v>.</v>
      </c>
      <c r="H345" s="8" t="s">
        <v>98</v>
      </c>
      <c r="I345" s="8" t="s">
        <v>99</v>
      </c>
      <c r="J345" s="8" t="s">
        <v>418</v>
      </c>
    </row>
    <row r="346" spans="1:10" hidden="1" x14ac:dyDescent="0.45">
      <c r="A346" t="s">
        <v>31</v>
      </c>
      <c r="B346" t="s">
        <v>31</v>
      </c>
      <c r="D346" t="str">
        <f>IF(A346='Unit-logprob'!A346,".","N")</f>
        <v>.</v>
      </c>
      <c r="E346" t="str">
        <f t="shared" si="5"/>
        <v>.</v>
      </c>
      <c r="H346" s="8" t="s">
        <v>471</v>
      </c>
      <c r="I346" s="8" t="s">
        <v>99</v>
      </c>
      <c r="J346" s="8" t="s">
        <v>422</v>
      </c>
    </row>
    <row r="347" spans="1:10" hidden="1" x14ac:dyDescent="0.45">
      <c r="A347" t="s">
        <v>35</v>
      </c>
      <c r="B347" t="s">
        <v>35</v>
      </c>
      <c r="D347" t="str">
        <f>IF(A347='Unit-logprob'!A347,".","N")</f>
        <v>.</v>
      </c>
      <c r="E347" t="str">
        <f t="shared" si="5"/>
        <v>.</v>
      </c>
      <c r="H347" s="8" t="s">
        <v>120</v>
      </c>
      <c r="I347" s="8" t="s">
        <v>121</v>
      </c>
      <c r="J347" s="8" t="s">
        <v>420</v>
      </c>
    </row>
    <row r="348" spans="1:10" hidden="1" x14ac:dyDescent="0.45">
      <c r="A348" t="s">
        <v>41</v>
      </c>
      <c r="B348" t="s">
        <v>41</v>
      </c>
      <c r="D348" t="str">
        <f>IF(A348='Unit-logprob'!A348,".","N")</f>
        <v>.</v>
      </c>
      <c r="E348" t="str">
        <f t="shared" si="5"/>
        <v>.</v>
      </c>
      <c r="H348" s="8" t="s">
        <v>155</v>
      </c>
      <c r="I348" s="8" t="s">
        <v>156</v>
      </c>
      <c r="J348" s="8" t="s">
        <v>429</v>
      </c>
    </row>
    <row r="349" spans="1:10" hidden="1" x14ac:dyDescent="0.45">
      <c r="A349" t="s">
        <v>48</v>
      </c>
      <c r="B349" t="s">
        <v>48</v>
      </c>
      <c r="D349" t="str">
        <f>IF(A349='Unit-logprob'!A349,".","N")</f>
        <v>.</v>
      </c>
      <c r="E349" t="str">
        <f t="shared" si="5"/>
        <v>.</v>
      </c>
      <c r="H349" s="8" t="s">
        <v>238</v>
      </c>
      <c r="I349" s="8" t="s">
        <v>239</v>
      </c>
      <c r="J349" s="8" t="s">
        <v>435</v>
      </c>
    </row>
    <row r="350" spans="1:10" hidden="1" x14ac:dyDescent="0.45">
      <c r="A350" t="s">
        <v>35</v>
      </c>
      <c r="B350" t="s">
        <v>35</v>
      </c>
      <c r="D350" t="str">
        <f>IF(A350='Unit-logprob'!A350,".","N")</f>
        <v>.</v>
      </c>
      <c r="E350" t="str">
        <f t="shared" si="5"/>
        <v>.</v>
      </c>
      <c r="H350" s="8" t="s">
        <v>312</v>
      </c>
      <c r="I350" s="8" t="s">
        <v>99</v>
      </c>
      <c r="J350" s="8" t="s">
        <v>420</v>
      </c>
    </row>
    <row r="351" spans="1:10" hidden="1" x14ac:dyDescent="0.45">
      <c r="A351" t="s">
        <v>32</v>
      </c>
      <c r="B351" t="s">
        <v>32</v>
      </c>
      <c r="D351" t="str">
        <f>IF(A351='Unit-logprob'!A351,".","N")</f>
        <v>.</v>
      </c>
      <c r="E351" t="str">
        <f t="shared" si="5"/>
        <v>.</v>
      </c>
      <c r="H351" s="8" t="s">
        <v>329</v>
      </c>
      <c r="I351" s="8" t="s">
        <v>330</v>
      </c>
      <c r="J351" s="8" t="s">
        <v>423</v>
      </c>
    </row>
    <row r="352" spans="1:10" x14ac:dyDescent="0.45">
      <c r="A352" t="s">
        <v>38</v>
      </c>
      <c r="B352" t="s">
        <v>43</v>
      </c>
      <c r="D352" t="str">
        <f>IF(A352='Unit-logprob'!A352,".","N")</f>
        <v>.</v>
      </c>
      <c r="E352" t="str">
        <f t="shared" si="5"/>
        <v>N</v>
      </c>
      <c r="F352" s="8" t="s">
        <v>514</v>
      </c>
      <c r="H352" s="8" t="s">
        <v>182</v>
      </c>
      <c r="I352" s="8" t="s">
        <v>99</v>
      </c>
      <c r="J352" s="8" t="s">
        <v>426</v>
      </c>
    </row>
    <row r="353" spans="1:10" hidden="1" x14ac:dyDescent="0.45">
      <c r="A353" t="s">
        <v>50</v>
      </c>
      <c r="B353" t="s">
        <v>50</v>
      </c>
      <c r="D353" t="str">
        <f>IF(A353='Unit-logprob'!A353,".","N")</f>
        <v>.</v>
      </c>
      <c r="E353" t="str">
        <f t="shared" si="5"/>
        <v>.</v>
      </c>
      <c r="H353" s="8" t="s">
        <v>277</v>
      </c>
      <c r="I353" s="8" t="s">
        <v>278</v>
      </c>
      <c r="J353" s="8" t="s">
        <v>437</v>
      </c>
    </row>
    <row r="354" spans="1:10" hidden="1" x14ac:dyDescent="0.45">
      <c r="A354" t="s">
        <v>30</v>
      </c>
      <c r="B354" t="s">
        <v>30</v>
      </c>
      <c r="D354" t="str">
        <f>IF(A354='Unit-logprob'!A354,".","N")</f>
        <v>.</v>
      </c>
      <c r="E354" t="str">
        <f t="shared" si="5"/>
        <v>.</v>
      </c>
      <c r="H354" s="8" t="s">
        <v>118</v>
      </c>
      <c r="I354" s="8" t="s">
        <v>119</v>
      </c>
      <c r="J354" s="8" t="s">
        <v>421</v>
      </c>
    </row>
    <row r="355" spans="1:10" hidden="1" x14ac:dyDescent="0.45">
      <c r="A355" t="s">
        <v>32</v>
      </c>
      <c r="B355" t="s">
        <v>32</v>
      </c>
      <c r="D355" t="str">
        <f>IF(A355='Unit-logprob'!A355,".","N")</f>
        <v>.</v>
      </c>
      <c r="E355" t="str">
        <f t="shared" si="5"/>
        <v>.</v>
      </c>
      <c r="H355" s="8" t="s">
        <v>354</v>
      </c>
      <c r="I355" s="8" t="s">
        <v>355</v>
      </c>
      <c r="J355" s="8" t="s">
        <v>423</v>
      </c>
    </row>
    <row r="356" spans="1:10" hidden="1" x14ac:dyDescent="0.45">
      <c r="A356" t="s">
        <v>39</v>
      </c>
      <c r="B356" t="s">
        <v>39</v>
      </c>
      <c r="D356" t="str">
        <f>IF(A356='Unit-logprob'!A356,".","N")</f>
        <v>.</v>
      </c>
      <c r="E356" t="str">
        <f t="shared" si="5"/>
        <v>.</v>
      </c>
      <c r="H356" s="8" t="s">
        <v>316</v>
      </c>
      <c r="I356" s="8" t="s">
        <v>317</v>
      </c>
      <c r="J356" s="8" t="s">
        <v>427</v>
      </c>
    </row>
    <row r="357" spans="1:10" hidden="1" x14ac:dyDescent="0.45">
      <c r="A357" t="s">
        <v>31</v>
      </c>
      <c r="B357" t="s">
        <v>31</v>
      </c>
      <c r="D357" t="str">
        <f>IF(A357='Unit-logprob'!A357,".","N")</f>
        <v>.</v>
      </c>
      <c r="E357" t="str">
        <f t="shared" si="5"/>
        <v>.</v>
      </c>
      <c r="H357" s="8" t="s">
        <v>236</v>
      </c>
      <c r="I357" s="8" t="s">
        <v>237</v>
      </c>
      <c r="J357" s="8" t="s">
        <v>422</v>
      </c>
    </row>
    <row r="358" spans="1:10" hidden="1" x14ac:dyDescent="0.45">
      <c r="A358" t="s">
        <v>41</v>
      </c>
      <c r="B358" t="s">
        <v>41</v>
      </c>
      <c r="D358" t="str">
        <f>IF(A358='Unit-logprob'!A358,".","N")</f>
        <v>.</v>
      </c>
      <c r="E358" t="str">
        <f t="shared" si="5"/>
        <v>.</v>
      </c>
      <c r="H358" s="8" t="s">
        <v>325</v>
      </c>
      <c r="I358" s="8" t="s">
        <v>321</v>
      </c>
      <c r="J358" s="8" t="s">
        <v>429</v>
      </c>
    </row>
    <row r="359" spans="1:10" hidden="1" x14ac:dyDescent="0.45">
      <c r="A359" t="s">
        <v>26</v>
      </c>
      <c r="B359" t="s">
        <v>26</v>
      </c>
      <c r="D359" t="str">
        <f>IF(A359='Unit-logprob'!A359,".","N")</f>
        <v>.</v>
      </c>
      <c r="E359" t="str">
        <f t="shared" si="5"/>
        <v>.</v>
      </c>
      <c r="H359" s="8" t="s">
        <v>94</v>
      </c>
      <c r="I359" s="8" t="s">
        <v>95</v>
      </c>
      <c r="J359" s="8" t="s">
        <v>416</v>
      </c>
    </row>
    <row r="360" spans="1:10" hidden="1" x14ac:dyDescent="0.45">
      <c r="A360" t="s">
        <v>28</v>
      </c>
      <c r="B360" t="s">
        <v>28</v>
      </c>
      <c r="D360" t="str">
        <f>IF(A360='Unit-logprob'!A360,".","N")</f>
        <v>.</v>
      </c>
      <c r="E360" t="str">
        <f t="shared" si="5"/>
        <v>.</v>
      </c>
      <c r="H360" s="8" t="s">
        <v>199</v>
      </c>
      <c r="I360" s="8" t="s">
        <v>200</v>
      </c>
      <c r="J360" s="8" t="s">
        <v>418</v>
      </c>
    </row>
    <row r="361" spans="1:10" hidden="1" x14ac:dyDescent="0.45">
      <c r="A361" t="s">
        <v>41</v>
      </c>
      <c r="B361" t="s">
        <v>41</v>
      </c>
      <c r="D361" t="str">
        <f>IF(A361='Unit-logprob'!A361,".","N")</f>
        <v>.</v>
      </c>
      <c r="E361" t="str">
        <f t="shared" si="5"/>
        <v>.</v>
      </c>
      <c r="H361" s="8" t="s">
        <v>445</v>
      </c>
      <c r="I361" s="8" t="s">
        <v>446</v>
      </c>
      <c r="J361" s="8" t="s">
        <v>429</v>
      </c>
    </row>
    <row r="362" spans="1:10" hidden="1" x14ac:dyDescent="0.45">
      <c r="A362" t="s">
        <v>35</v>
      </c>
      <c r="B362" t="s">
        <v>35</v>
      </c>
      <c r="D362" t="str">
        <f>IF(A362='Unit-logprob'!A362,".","N")</f>
        <v>.</v>
      </c>
      <c r="E362" t="str">
        <f t="shared" si="5"/>
        <v>.</v>
      </c>
      <c r="H362" s="8" t="s">
        <v>452</v>
      </c>
      <c r="I362" s="8" t="s">
        <v>453</v>
      </c>
      <c r="J362" s="8" t="s">
        <v>420</v>
      </c>
    </row>
    <row r="363" spans="1:10" hidden="1" x14ac:dyDescent="0.45">
      <c r="A363" t="s">
        <v>35</v>
      </c>
      <c r="B363" t="s">
        <v>35</v>
      </c>
      <c r="D363" t="str">
        <f>IF(A363='Unit-logprob'!A363,".","N")</f>
        <v>.</v>
      </c>
      <c r="E363" t="str">
        <f t="shared" si="5"/>
        <v>.</v>
      </c>
      <c r="H363" s="8" t="s">
        <v>447</v>
      </c>
      <c r="I363" s="8" t="s">
        <v>448</v>
      </c>
      <c r="J363" s="8" t="s">
        <v>420</v>
      </c>
    </row>
    <row r="364" spans="1:10" hidden="1" x14ac:dyDescent="0.45">
      <c r="A364" t="s">
        <v>19</v>
      </c>
      <c r="B364" t="s">
        <v>29</v>
      </c>
      <c r="D364" t="str">
        <f>IF(A364='Unit-logprob'!A364,".","N")</f>
        <v>.</v>
      </c>
      <c r="E364" t="str">
        <f t="shared" si="5"/>
        <v>N</v>
      </c>
      <c r="H364" s="8" t="s">
        <v>204</v>
      </c>
      <c r="I364" s="8" t="s">
        <v>205</v>
      </c>
      <c r="J364" s="9" t="s">
        <v>432</v>
      </c>
    </row>
    <row r="365" spans="1:10" hidden="1" x14ac:dyDescent="0.45">
      <c r="A365" t="s">
        <v>31</v>
      </c>
      <c r="B365" t="s">
        <v>31</v>
      </c>
      <c r="D365" t="str">
        <f>IF(A365='Unit-logprob'!A365,".","N")</f>
        <v>.</v>
      </c>
      <c r="E365" t="str">
        <f t="shared" si="5"/>
        <v>.</v>
      </c>
      <c r="H365" s="8" t="s">
        <v>104</v>
      </c>
      <c r="I365" s="8" t="s">
        <v>105</v>
      </c>
      <c r="J365" s="8" t="s">
        <v>422</v>
      </c>
    </row>
    <row r="366" spans="1:10" hidden="1" x14ac:dyDescent="0.45">
      <c r="A366" t="s">
        <v>35</v>
      </c>
      <c r="B366" t="s">
        <v>35</v>
      </c>
      <c r="D366" t="str">
        <f>IF(A366='Unit-logprob'!A366,".","N")</f>
        <v>.</v>
      </c>
      <c r="E366" t="str">
        <f t="shared" si="5"/>
        <v>.</v>
      </c>
      <c r="H366" s="8" t="s">
        <v>442</v>
      </c>
      <c r="I366" s="8" t="s">
        <v>443</v>
      </c>
      <c r="J366" s="8" t="s">
        <v>420</v>
      </c>
    </row>
    <row r="367" spans="1:10" hidden="1" x14ac:dyDescent="0.45">
      <c r="A367" t="s">
        <v>56</v>
      </c>
      <c r="B367" t="s">
        <v>56</v>
      </c>
      <c r="D367" t="str">
        <f>IF(A367='Unit-logprob'!A367,".","N")</f>
        <v>.</v>
      </c>
      <c r="E367" t="str">
        <f t="shared" si="5"/>
        <v>.</v>
      </c>
      <c r="H367" s="8" t="s">
        <v>333</v>
      </c>
      <c r="I367" s="8" t="s">
        <v>334</v>
      </c>
      <c r="J367" s="8" t="s">
        <v>435</v>
      </c>
    </row>
    <row r="368" spans="1:10" hidden="1" x14ac:dyDescent="0.45">
      <c r="A368" t="s">
        <v>26</v>
      </c>
      <c r="B368" t="s">
        <v>26</v>
      </c>
      <c r="D368" t="str">
        <f>IF(A368='Unit-logprob'!A368,".","N")</f>
        <v>.</v>
      </c>
      <c r="E368" t="str">
        <f t="shared" si="5"/>
        <v>.</v>
      </c>
      <c r="H368" s="8" t="s">
        <v>247</v>
      </c>
      <c r="I368" s="8" t="s">
        <v>248</v>
      </c>
      <c r="J368" s="8" t="s">
        <v>416</v>
      </c>
    </row>
    <row r="369" spans="1:10" hidden="1" x14ac:dyDescent="0.45">
      <c r="A369" t="s">
        <v>30</v>
      </c>
      <c r="B369" t="s">
        <v>30</v>
      </c>
      <c r="D369" t="str">
        <f>IF(A369='Unit-logprob'!A369,".","N")</f>
        <v>.</v>
      </c>
      <c r="E369" t="str">
        <f t="shared" si="5"/>
        <v>.</v>
      </c>
      <c r="H369" s="8" t="s">
        <v>115</v>
      </c>
      <c r="I369" s="8" t="s">
        <v>116</v>
      </c>
      <c r="J369" s="8" t="s">
        <v>421</v>
      </c>
    </row>
    <row r="370" spans="1:10" hidden="1" x14ac:dyDescent="0.45">
      <c r="A370" t="s">
        <v>49</v>
      </c>
      <c r="B370" t="s">
        <v>49</v>
      </c>
      <c r="D370" t="str">
        <f>IF(A370='Unit-logprob'!A370,".","N")</f>
        <v>.</v>
      </c>
      <c r="E370" t="str">
        <f t="shared" si="5"/>
        <v>.</v>
      </c>
      <c r="H370" s="8" t="s">
        <v>463</v>
      </c>
      <c r="I370" s="8" t="s">
        <v>464</v>
      </c>
      <c r="J370" s="8" t="s">
        <v>436</v>
      </c>
    </row>
    <row r="371" spans="1:10" hidden="1" x14ac:dyDescent="0.45">
      <c r="A371" t="s">
        <v>51</v>
      </c>
      <c r="B371" t="s">
        <v>51</v>
      </c>
      <c r="D371" t="str">
        <f>IF(A371='Unit-logprob'!A371,".","N")</f>
        <v>.</v>
      </c>
      <c r="E371" t="str">
        <f t="shared" si="5"/>
        <v>.</v>
      </c>
      <c r="H371" s="8" t="s">
        <v>483</v>
      </c>
      <c r="I371" s="8" t="s">
        <v>484</v>
      </c>
      <c r="J371" s="8" t="s">
        <v>438</v>
      </c>
    </row>
    <row r="372" spans="1:10" hidden="1" x14ac:dyDescent="0.45">
      <c r="A372" t="s">
        <v>26</v>
      </c>
      <c r="B372" t="s">
        <v>26</v>
      </c>
      <c r="D372" t="str">
        <f>IF(A372='Unit-logprob'!A372,".","N")</f>
        <v>.</v>
      </c>
      <c r="E372" t="str">
        <f t="shared" si="5"/>
        <v>.</v>
      </c>
      <c r="H372" s="8" t="s">
        <v>269</v>
      </c>
      <c r="I372" s="8" t="s">
        <v>270</v>
      </c>
      <c r="J372" s="8" t="s">
        <v>416</v>
      </c>
    </row>
    <row r="373" spans="1:10" hidden="1" x14ac:dyDescent="0.45">
      <c r="A373" t="s">
        <v>38</v>
      </c>
      <c r="B373" t="s">
        <v>38</v>
      </c>
      <c r="D373" t="str">
        <f>IF(A373='Unit-logprob'!A373,".","N")</f>
        <v>.</v>
      </c>
      <c r="E373" t="str">
        <f t="shared" si="5"/>
        <v>.</v>
      </c>
      <c r="H373" s="8" t="s">
        <v>275</v>
      </c>
      <c r="I373" s="8" t="s">
        <v>276</v>
      </c>
      <c r="J373" s="8" t="s">
        <v>426</v>
      </c>
    </row>
    <row r="374" spans="1:10" hidden="1" x14ac:dyDescent="0.45">
      <c r="A374" t="s">
        <v>35</v>
      </c>
      <c r="B374" t="s">
        <v>35</v>
      </c>
      <c r="D374" t="str">
        <f>IF(A374='Unit-logprob'!A374,".","N")</f>
        <v>.</v>
      </c>
      <c r="E374" t="str">
        <f t="shared" si="5"/>
        <v>.</v>
      </c>
      <c r="H374" s="8" t="s">
        <v>460</v>
      </c>
      <c r="I374" s="8" t="s">
        <v>461</v>
      </c>
      <c r="J374" s="8" t="s">
        <v>420</v>
      </c>
    </row>
    <row r="375" spans="1:10" hidden="1" x14ac:dyDescent="0.45">
      <c r="A375" t="s">
        <v>41</v>
      </c>
      <c r="B375" t="s">
        <v>41</v>
      </c>
      <c r="D375" t="str">
        <f>IF(A375='Unit-logprob'!A375,".","N")</f>
        <v>.</v>
      </c>
      <c r="E375" t="str">
        <f t="shared" si="5"/>
        <v>.</v>
      </c>
      <c r="H375" s="8" t="s">
        <v>286</v>
      </c>
      <c r="I375" s="8" t="s">
        <v>287</v>
      </c>
      <c r="J375" s="8" t="s">
        <v>429</v>
      </c>
    </row>
    <row r="376" spans="1:10" hidden="1" x14ac:dyDescent="0.45">
      <c r="A376" t="s">
        <v>33</v>
      </c>
      <c r="B376" t="s">
        <v>33</v>
      </c>
      <c r="D376" t="str">
        <f>IF(A376='Unit-logprob'!A376,".","N")</f>
        <v>.</v>
      </c>
      <c r="E376" t="str">
        <f t="shared" si="5"/>
        <v>.</v>
      </c>
      <c r="H376" s="8" t="s">
        <v>469</v>
      </c>
      <c r="I376" s="8" t="s">
        <v>99</v>
      </c>
      <c r="J376" s="8" t="s">
        <v>424</v>
      </c>
    </row>
    <row r="377" spans="1:10" hidden="1" x14ac:dyDescent="0.45">
      <c r="A377" t="s">
        <v>60</v>
      </c>
      <c r="B377" t="s">
        <v>60</v>
      </c>
      <c r="D377" t="str">
        <f>IF(A377='Unit-logprob'!A377,".","N")</f>
        <v>.</v>
      </c>
      <c r="E377" t="str">
        <f t="shared" si="5"/>
        <v>.</v>
      </c>
      <c r="H377" s="8" t="s">
        <v>485</v>
      </c>
      <c r="I377" s="8" t="s">
        <v>486</v>
      </c>
      <c r="J377" s="8" t="s">
        <v>498</v>
      </c>
    </row>
    <row r="378" spans="1:10" hidden="1" x14ac:dyDescent="0.45">
      <c r="A378" t="s">
        <v>38</v>
      </c>
      <c r="B378" t="s">
        <v>38</v>
      </c>
      <c r="D378" t="str">
        <f>IF(A378='Unit-logprob'!A378,".","N")</f>
        <v>.</v>
      </c>
      <c r="E378" t="str">
        <f t="shared" si="5"/>
        <v>.</v>
      </c>
      <c r="H378" s="8" t="s">
        <v>379</v>
      </c>
      <c r="I378" s="8" t="s">
        <v>380</v>
      </c>
      <c r="J378" s="8" t="s">
        <v>426</v>
      </c>
    </row>
    <row r="379" spans="1:10" hidden="1" x14ac:dyDescent="0.45">
      <c r="A379" t="s">
        <v>40</v>
      </c>
      <c r="B379" t="s">
        <v>40</v>
      </c>
      <c r="D379" t="str">
        <f>IF(A379='Unit-logprob'!A379,".","N")</f>
        <v>.</v>
      </c>
      <c r="E379" t="str">
        <f t="shared" si="5"/>
        <v>.</v>
      </c>
      <c r="H379" s="8" t="s">
        <v>172</v>
      </c>
      <c r="I379" s="8" t="s">
        <v>173</v>
      </c>
      <c r="J379" s="8" t="s">
        <v>428</v>
      </c>
    </row>
    <row r="380" spans="1:10" hidden="1" x14ac:dyDescent="0.45">
      <c r="A380" t="s">
        <v>26</v>
      </c>
      <c r="B380" t="s">
        <v>26</v>
      </c>
      <c r="D380" t="str">
        <f>IF(A380='Unit-logprob'!A380,".","N")</f>
        <v>.</v>
      </c>
      <c r="E380" t="str">
        <f t="shared" si="5"/>
        <v>.</v>
      </c>
      <c r="H380" s="8" t="s">
        <v>213</v>
      </c>
      <c r="I380" s="8" t="s">
        <v>214</v>
      </c>
      <c r="J380" s="8" t="s">
        <v>416</v>
      </c>
    </row>
    <row r="381" spans="1:10" hidden="1" x14ac:dyDescent="0.45">
      <c r="A381" t="s">
        <v>45</v>
      </c>
      <c r="B381" t="s">
        <v>45</v>
      </c>
      <c r="D381" t="str">
        <f>IF(A381='Unit-logprob'!A381,".","N")</f>
        <v>.</v>
      </c>
      <c r="E381" t="str">
        <f t="shared" si="5"/>
        <v>.</v>
      </c>
      <c r="H381" s="8" t="s">
        <v>206</v>
      </c>
      <c r="I381" s="8" t="s">
        <v>207</v>
      </c>
      <c r="J381" s="8" t="s">
        <v>433</v>
      </c>
    </row>
    <row r="382" spans="1:10" hidden="1" x14ac:dyDescent="0.45">
      <c r="A382" t="s">
        <v>44</v>
      </c>
      <c r="B382" t="s">
        <v>44</v>
      </c>
      <c r="D382" t="str">
        <f>IF(A382='Unit-logprob'!A382,".","N")</f>
        <v>.</v>
      </c>
      <c r="E382" t="str">
        <f t="shared" si="5"/>
        <v>.</v>
      </c>
      <c r="H382" s="8" t="s">
        <v>187</v>
      </c>
      <c r="I382" s="8" t="s">
        <v>99</v>
      </c>
      <c r="J382" s="8" t="s">
        <v>431</v>
      </c>
    </row>
    <row r="383" spans="1:10" hidden="1" x14ac:dyDescent="0.45">
      <c r="A383" t="s">
        <v>19</v>
      </c>
      <c r="B383" t="s">
        <v>533</v>
      </c>
      <c r="D383" t="str">
        <f>IF(A383='Unit-logprob'!A383,".","N")</f>
        <v>.</v>
      </c>
      <c r="E383" t="str">
        <f t="shared" si="5"/>
        <v>N</v>
      </c>
      <c r="H383" s="8" t="s">
        <v>487</v>
      </c>
      <c r="I383" s="8" t="s">
        <v>488</v>
      </c>
      <c r="J383" s="8" t="s">
        <v>430</v>
      </c>
    </row>
    <row r="384" spans="1:10" hidden="1" x14ac:dyDescent="0.45">
      <c r="A384" t="s">
        <v>38</v>
      </c>
      <c r="B384" t="s">
        <v>38</v>
      </c>
      <c r="D384" t="str">
        <f>IF(A384='Unit-logprob'!A384,".","N")</f>
        <v>.</v>
      </c>
      <c r="E384" t="str">
        <f t="shared" si="5"/>
        <v>.</v>
      </c>
      <c r="H384" s="8" t="s">
        <v>138</v>
      </c>
      <c r="I384" s="8" t="s">
        <v>139</v>
      </c>
      <c r="J384" s="8" t="s">
        <v>426</v>
      </c>
    </row>
    <row r="385" spans="1:10" hidden="1" x14ac:dyDescent="0.45">
      <c r="A385" t="s">
        <v>60</v>
      </c>
      <c r="B385" t="s">
        <v>60</v>
      </c>
      <c r="D385" t="str">
        <f>IF(A385='Unit-logprob'!A385,".","N")</f>
        <v>.</v>
      </c>
      <c r="E385" t="str">
        <f t="shared" si="5"/>
        <v>.</v>
      </c>
      <c r="H385" s="8" t="s">
        <v>489</v>
      </c>
      <c r="I385" s="8" t="s">
        <v>490</v>
      </c>
      <c r="J385" s="8" t="s">
        <v>498</v>
      </c>
    </row>
    <row r="386" spans="1:10" hidden="1" x14ac:dyDescent="0.45">
      <c r="A386" t="s">
        <v>32</v>
      </c>
      <c r="B386" t="s">
        <v>32</v>
      </c>
      <c r="D386" t="str">
        <f>IF(A386='Unit-logprob'!A386,".","N")</f>
        <v>.</v>
      </c>
      <c r="E386" t="str">
        <f t="shared" si="5"/>
        <v>.</v>
      </c>
      <c r="H386" s="8" t="s">
        <v>491</v>
      </c>
      <c r="I386" s="8" t="s">
        <v>492</v>
      </c>
      <c r="J386" s="8" t="s">
        <v>423</v>
      </c>
    </row>
    <row r="387" spans="1:10" hidden="1" x14ac:dyDescent="0.45">
      <c r="A387" t="s">
        <v>35</v>
      </c>
      <c r="B387" t="s">
        <v>35</v>
      </c>
      <c r="D387" t="str">
        <f>IF(A387='Unit-logprob'!A387,".","N")</f>
        <v>.</v>
      </c>
      <c r="E387" t="str">
        <f t="shared" ref="E387:E408" si="6">IF(A387=B387,".","N")</f>
        <v>.</v>
      </c>
      <c r="H387" s="8" t="s">
        <v>357</v>
      </c>
      <c r="I387" s="8" t="s">
        <v>358</v>
      </c>
      <c r="J387" s="8" t="s">
        <v>420</v>
      </c>
    </row>
    <row r="388" spans="1:10" hidden="1" x14ac:dyDescent="0.45">
      <c r="A388" t="s">
        <v>39</v>
      </c>
      <c r="B388" t="s">
        <v>39</v>
      </c>
      <c r="D388" t="str">
        <f>IF(A388='Unit-logprob'!A388,".","N")</f>
        <v>.</v>
      </c>
      <c r="E388" t="str">
        <f t="shared" si="6"/>
        <v>.</v>
      </c>
      <c r="H388" s="8" t="s">
        <v>65</v>
      </c>
      <c r="I388" s="8" t="s">
        <v>395</v>
      </c>
      <c r="J388" s="8" t="s">
        <v>427</v>
      </c>
    </row>
    <row r="389" spans="1:10" hidden="1" x14ac:dyDescent="0.45">
      <c r="A389" t="s">
        <v>35</v>
      </c>
      <c r="B389" t="s">
        <v>35</v>
      </c>
      <c r="D389" t="str">
        <f>IF(A389='Unit-logprob'!A389,".","N")</f>
        <v>.</v>
      </c>
      <c r="E389" t="str">
        <f t="shared" si="6"/>
        <v>.</v>
      </c>
      <c r="H389" s="8" t="s">
        <v>414</v>
      </c>
      <c r="I389" s="8" t="s">
        <v>99</v>
      </c>
      <c r="J389" s="8" t="s">
        <v>420</v>
      </c>
    </row>
    <row r="390" spans="1:10" hidden="1" x14ac:dyDescent="0.45">
      <c r="A390" t="s">
        <v>35</v>
      </c>
      <c r="B390" t="s">
        <v>35</v>
      </c>
      <c r="D390" t="str">
        <f>IF(A390='Unit-logprob'!A390,".","N")</f>
        <v>.</v>
      </c>
      <c r="E390" t="str">
        <f t="shared" si="6"/>
        <v>.</v>
      </c>
      <c r="H390" s="8" t="s">
        <v>359</v>
      </c>
      <c r="I390" s="8" t="s">
        <v>99</v>
      </c>
      <c r="J390" s="8" t="s">
        <v>420</v>
      </c>
    </row>
    <row r="391" spans="1:10" hidden="1" x14ac:dyDescent="0.45">
      <c r="A391" t="s">
        <v>28</v>
      </c>
      <c r="B391" t="s">
        <v>28</v>
      </c>
      <c r="D391" t="str">
        <f>IF(A391='Unit-logprob'!A391,".","N")</f>
        <v>.</v>
      </c>
      <c r="E391" t="str">
        <f t="shared" si="6"/>
        <v>.</v>
      </c>
      <c r="H391" s="8" t="s">
        <v>462</v>
      </c>
      <c r="I391" s="8" t="s">
        <v>99</v>
      </c>
      <c r="J391" s="8" t="s">
        <v>418</v>
      </c>
    </row>
    <row r="392" spans="1:10" hidden="1" x14ac:dyDescent="0.45">
      <c r="A392" t="s">
        <v>60</v>
      </c>
      <c r="B392" t="s">
        <v>60</v>
      </c>
      <c r="D392" t="str">
        <f>IF(A392='Unit-logprob'!A392,".","N")</f>
        <v>.</v>
      </c>
      <c r="E392" t="str">
        <f t="shared" si="6"/>
        <v>.</v>
      </c>
      <c r="H392" s="8" t="s">
        <v>493</v>
      </c>
      <c r="I392" s="8" t="s">
        <v>494</v>
      </c>
      <c r="J392" s="8" t="s">
        <v>498</v>
      </c>
    </row>
    <row r="393" spans="1:10" hidden="1" x14ac:dyDescent="0.45">
      <c r="A393" t="s">
        <v>51</v>
      </c>
      <c r="B393" t="s">
        <v>51</v>
      </c>
      <c r="D393" t="str">
        <f>IF(A393='Unit-logprob'!A393,".","N")</f>
        <v>.</v>
      </c>
      <c r="E393" t="str">
        <f t="shared" si="6"/>
        <v>.</v>
      </c>
      <c r="H393" s="8" t="s">
        <v>400</v>
      </c>
      <c r="I393" s="8" t="s">
        <v>401</v>
      </c>
      <c r="J393" s="8" t="s">
        <v>438</v>
      </c>
    </row>
    <row r="394" spans="1:10" hidden="1" x14ac:dyDescent="0.45">
      <c r="A394" t="s">
        <v>35</v>
      </c>
      <c r="B394" t="s">
        <v>35</v>
      </c>
      <c r="D394" t="str">
        <f>IF(A394='Unit-logprob'!A394,".","N")</f>
        <v>.</v>
      </c>
      <c r="E394" t="str">
        <f t="shared" si="6"/>
        <v>.</v>
      </c>
      <c r="H394" s="8" t="s">
        <v>456</v>
      </c>
      <c r="I394" s="8" t="s">
        <v>457</v>
      </c>
      <c r="J394" s="8" t="s">
        <v>420</v>
      </c>
    </row>
    <row r="395" spans="1:10" x14ac:dyDescent="0.45">
      <c r="A395" t="s">
        <v>39</v>
      </c>
      <c r="B395" t="s">
        <v>538</v>
      </c>
      <c r="D395" t="str">
        <f>IF(A395='Unit-logprob'!A395,".","N")</f>
        <v>.</v>
      </c>
      <c r="E395" t="str">
        <f t="shared" si="6"/>
        <v>N</v>
      </c>
      <c r="F395" s="8" t="s">
        <v>515</v>
      </c>
      <c r="H395" s="8" t="s">
        <v>211</v>
      </c>
      <c r="I395" s="8" t="s">
        <v>212</v>
      </c>
      <c r="J395" s="8" t="s">
        <v>427</v>
      </c>
    </row>
    <row r="396" spans="1:10" hidden="1" x14ac:dyDescent="0.45">
      <c r="A396" t="s">
        <v>19</v>
      </c>
      <c r="B396" t="s">
        <v>533</v>
      </c>
      <c r="D396" t="str">
        <f>IF(A396='Unit-logprob'!A396,".","N")</f>
        <v>.</v>
      </c>
      <c r="E396" t="str">
        <f t="shared" si="6"/>
        <v>N</v>
      </c>
      <c r="H396" s="8" t="s">
        <v>495</v>
      </c>
      <c r="I396" s="8" t="s">
        <v>496</v>
      </c>
      <c r="J396" s="8" t="s">
        <v>497</v>
      </c>
    </row>
    <row r="397" spans="1:10" hidden="1" x14ac:dyDescent="0.45">
      <c r="A397" t="s">
        <v>36</v>
      </c>
      <c r="B397" t="s">
        <v>36</v>
      </c>
      <c r="D397" t="str">
        <f>IF(A397='Unit-logprob'!A397,".","N")</f>
        <v>.</v>
      </c>
      <c r="E397" t="str">
        <f t="shared" si="6"/>
        <v>.</v>
      </c>
      <c r="H397" s="8" t="s">
        <v>410</v>
      </c>
      <c r="I397" s="8" t="s">
        <v>411</v>
      </c>
      <c r="J397" s="8" t="s">
        <v>425</v>
      </c>
    </row>
    <row r="398" spans="1:10" hidden="1" x14ac:dyDescent="0.45">
      <c r="A398" t="s">
        <v>33</v>
      </c>
      <c r="B398" t="s">
        <v>33</v>
      </c>
      <c r="D398" t="str">
        <f>IF(A398='Unit-logprob'!A398,".","N")</f>
        <v>.</v>
      </c>
      <c r="E398" t="str">
        <f t="shared" si="6"/>
        <v>.</v>
      </c>
      <c r="H398" s="8" t="s">
        <v>165</v>
      </c>
      <c r="I398" s="8" t="s">
        <v>166</v>
      </c>
      <c r="J398" s="8" t="s">
        <v>424</v>
      </c>
    </row>
    <row r="399" spans="1:10" hidden="1" x14ac:dyDescent="0.45">
      <c r="A399" t="s">
        <v>38</v>
      </c>
      <c r="B399" t="s">
        <v>38</v>
      </c>
      <c r="D399" t="str">
        <f>IF(A399='Unit-logprob'!A399,".","N")</f>
        <v>.</v>
      </c>
      <c r="E399" t="str">
        <f t="shared" si="6"/>
        <v>.</v>
      </c>
      <c r="H399" s="8" t="s">
        <v>197</v>
      </c>
      <c r="I399" s="8" t="s">
        <v>198</v>
      </c>
      <c r="J399" s="8" t="s">
        <v>426</v>
      </c>
    </row>
    <row r="400" spans="1:10" hidden="1" x14ac:dyDescent="0.45">
      <c r="A400" t="s">
        <v>35</v>
      </c>
      <c r="B400" t="s">
        <v>35</v>
      </c>
      <c r="D400" t="str">
        <f>IF(A400='Unit-logprob'!A400,".","N")</f>
        <v>.</v>
      </c>
      <c r="E400" t="str">
        <f t="shared" si="6"/>
        <v>.</v>
      </c>
      <c r="H400" s="8" t="s">
        <v>465</v>
      </c>
      <c r="I400" s="8" t="s">
        <v>466</v>
      </c>
      <c r="J400" s="8" t="s">
        <v>420</v>
      </c>
    </row>
    <row r="401" spans="1:10" hidden="1" x14ac:dyDescent="0.45">
      <c r="A401" t="s">
        <v>26</v>
      </c>
      <c r="B401" t="s">
        <v>26</v>
      </c>
      <c r="D401" t="str">
        <f>IF(A401='Unit-logprob'!A401,".","N")</f>
        <v>.</v>
      </c>
      <c r="E401" t="str">
        <f t="shared" si="6"/>
        <v>.</v>
      </c>
      <c r="H401" s="8" t="s">
        <v>323</v>
      </c>
      <c r="I401" s="8" t="s">
        <v>324</v>
      </c>
      <c r="J401" s="8" t="s">
        <v>416</v>
      </c>
    </row>
    <row r="402" spans="1:10" hidden="1" x14ac:dyDescent="0.45">
      <c r="A402" t="s">
        <v>35</v>
      </c>
      <c r="B402" t="s">
        <v>35</v>
      </c>
      <c r="D402" t="str">
        <f>IF(A402='Unit-logprob'!A402,".","N")</f>
        <v>.</v>
      </c>
      <c r="E402" t="str">
        <f t="shared" si="6"/>
        <v>.</v>
      </c>
      <c r="H402" s="8" t="s">
        <v>127</v>
      </c>
      <c r="I402" s="8" t="s">
        <v>128</v>
      </c>
      <c r="J402" s="8" t="s">
        <v>420</v>
      </c>
    </row>
    <row r="403" spans="1:10" hidden="1" x14ac:dyDescent="0.45">
      <c r="A403" t="s">
        <v>35</v>
      </c>
      <c r="B403" t="s">
        <v>35</v>
      </c>
      <c r="D403" t="str">
        <f>IF(A403='Unit-logprob'!A403,".","N")</f>
        <v>.</v>
      </c>
      <c r="E403" t="str">
        <f t="shared" si="6"/>
        <v>.</v>
      </c>
      <c r="H403" s="8" t="s">
        <v>441</v>
      </c>
      <c r="I403" s="8" t="s">
        <v>99</v>
      </c>
      <c r="J403" s="8" t="s">
        <v>420</v>
      </c>
    </row>
    <row r="404" spans="1:10" hidden="1" x14ac:dyDescent="0.45">
      <c r="A404" t="s">
        <v>38</v>
      </c>
      <c r="B404" t="s">
        <v>38</v>
      </c>
      <c r="D404" t="str">
        <f>IF(A404='Unit-logprob'!A404,".","N")</f>
        <v>.</v>
      </c>
      <c r="E404" t="str">
        <f t="shared" si="6"/>
        <v>.</v>
      </c>
      <c r="H404" s="8" t="s">
        <v>129</v>
      </c>
      <c r="I404" s="8" t="s">
        <v>130</v>
      </c>
      <c r="J404" s="8" t="s">
        <v>426</v>
      </c>
    </row>
    <row r="405" spans="1:10" hidden="1" x14ac:dyDescent="0.45">
      <c r="A405" t="s">
        <v>47</v>
      </c>
      <c r="B405" t="s">
        <v>47</v>
      </c>
      <c r="D405" t="str">
        <f>IF(A405='Unit-logprob'!A405,".","N")</f>
        <v>.</v>
      </c>
      <c r="E405" t="str">
        <f t="shared" si="6"/>
        <v>.</v>
      </c>
      <c r="H405" s="8" t="s">
        <v>217</v>
      </c>
      <c r="I405" s="8" t="s">
        <v>218</v>
      </c>
      <c r="J405" s="8" t="s">
        <v>434</v>
      </c>
    </row>
    <row r="406" spans="1:10" hidden="1" x14ac:dyDescent="0.45">
      <c r="A406" t="s">
        <v>38</v>
      </c>
      <c r="B406" t="s">
        <v>38</v>
      </c>
      <c r="D406" t="str">
        <f>IF(A406='Unit-logprob'!A406,".","N")</f>
        <v>.</v>
      </c>
      <c r="E406" t="str">
        <f t="shared" si="6"/>
        <v>.</v>
      </c>
      <c r="H406" s="8" t="s">
        <v>201</v>
      </c>
      <c r="I406" s="8" t="s">
        <v>202</v>
      </c>
      <c r="J406" s="8" t="s">
        <v>426</v>
      </c>
    </row>
    <row r="407" spans="1:10" hidden="1" x14ac:dyDescent="0.45">
      <c r="A407" t="s">
        <v>19</v>
      </c>
      <c r="B407" t="s">
        <v>28</v>
      </c>
      <c r="D407" t="str">
        <f>IF(A407='Unit-logprob'!A407,".","N")</f>
        <v>.</v>
      </c>
      <c r="E407" t="str">
        <f t="shared" si="6"/>
        <v>N</v>
      </c>
      <c r="H407" s="8" t="s">
        <v>444</v>
      </c>
      <c r="I407" s="8" t="s">
        <v>99</v>
      </c>
      <c r="J407" s="8" t="s">
        <v>432</v>
      </c>
    </row>
    <row r="408" spans="1:10" hidden="1" x14ac:dyDescent="0.45">
      <c r="A408" t="s">
        <v>39</v>
      </c>
      <c r="B408" t="s">
        <v>39</v>
      </c>
      <c r="D408" t="str">
        <f>IF(A408='Unit-logprob'!A408,".","N")</f>
        <v>.</v>
      </c>
      <c r="E408" t="str">
        <f t="shared" si="6"/>
        <v>.</v>
      </c>
      <c r="H408" s="8" t="s">
        <v>191</v>
      </c>
      <c r="I408" s="8" t="s">
        <v>192</v>
      </c>
      <c r="J408" s="8" t="s">
        <v>427</v>
      </c>
    </row>
  </sheetData>
  <autoFilter ref="A1:F408" xr:uid="{01823D32-980B-42CD-A20E-49210AFB0505}">
    <filterColumn colId="0">
      <filters>
        <filter val="Celsius"/>
        <filter val="CubicMetre"/>
        <filter val="CubicMetrePerMinute"/>
        <filter val="Degree"/>
        <filter val="Dimensionless"/>
        <filter val="GramPerCubicCentimetre"/>
        <filter val="Hour"/>
        <filter val="KilonewtonMetre"/>
        <filter val="Kilopascal"/>
        <filter val="LitrePerMinute"/>
        <filter val="Metre"/>
        <filter val="MetrePerHour"/>
        <filter val="MetrePerSecond"/>
        <filter val="MetrePerSecondSquared"/>
        <filter val="Minute"/>
        <filter val="OhmMetre"/>
        <filter val="PartPerMillion"/>
        <filter val="Percent"/>
        <filter val="ReciprocalSecond"/>
        <filter val="ReciprocalSecond, Hertz"/>
        <filter val="Rpm"/>
        <filter val="Second"/>
        <filter val="ShockPerSecond"/>
        <filter val="Spm"/>
        <filter val="ThousandKilogramForce"/>
      </filters>
    </filterColumn>
    <filterColumn colId="4">
      <filters>
        <filter val="N"/>
      </filters>
    </filterColumn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83881-D611-47B9-A72F-0FE5247AA86A}">
  <sheetPr filterMode="1"/>
  <dimension ref="A1:J408"/>
  <sheetViews>
    <sheetView workbookViewId="0">
      <selection activeCell="L428" sqref="L428"/>
    </sheetView>
  </sheetViews>
  <sheetFormatPr defaultRowHeight="14.25" x14ac:dyDescent="0.45"/>
  <cols>
    <col min="1" max="1" width="23.86328125" bestFit="1" customWidth="1"/>
    <col min="2" max="2" width="20" bestFit="1" customWidth="1"/>
    <col min="8" max="8" width="14.06640625" style="8" bestFit="1" customWidth="1"/>
    <col min="9" max="9" width="32.06640625" style="8" bestFit="1" customWidth="1"/>
    <col min="10" max="10" width="7.33203125" style="8" bestFit="1" customWidth="1"/>
  </cols>
  <sheetData>
    <row r="1" spans="1:10" x14ac:dyDescent="0.45">
      <c r="A1" s="1" t="s">
        <v>0</v>
      </c>
      <c r="B1" s="1" t="s">
        <v>1</v>
      </c>
      <c r="D1" t="s">
        <v>541</v>
      </c>
      <c r="E1" t="s">
        <v>542</v>
      </c>
      <c r="F1" s="11" t="s">
        <v>512</v>
      </c>
      <c r="H1" s="7" t="s">
        <v>92</v>
      </c>
      <c r="I1" s="7" t="s">
        <v>93</v>
      </c>
      <c r="J1" s="7" t="s">
        <v>415</v>
      </c>
    </row>
    <row r="2" spans="1:10" hidden="1" x14ac:dyDescent="0.45">
      <c r="A2" t="s">
        <v>61</v>
      </c>
      <c r="B2" t="s">
        <v>61</v>
      </c>
      <c r="D2" t="str">
        <f>IF(A2='PrototypeData-logprob'!A2,".","N")</f>
        <v>.</v>
      </c>
      <c r="E2" t="str">
        <f>IF(A2=B2,".","N")</f>
        <v>.</v>
      </c>
      <c r="H2" s="8" t="s">
        <v>94</v>
      </c>
      <c r="I2" s="8" t="s">
        <v>95</v>
      </c>
      <c r="J2" s="8" t="s">
        <v>416</v>
      </c>
    </row>
    <row r="3" spans="1:10" hidden="1" x14ac:dyDescent="0.45">
      <c r="A3" t="s">
        <v>19</v>
      </c>
      <c r="B3" t="s">
        <v>62</v>
      </c>
      <c r="D3" t="str">
        <f>IF(A3='PrototypeData-logprob'!A3,".","N")</f>
        <v>.</v>
      </c>
      <c r="E3" t="str">
        <f t="shared" ref="E3:E66" si="0">IF(A3=B3,".","N")</f>
        <v>N</v>
      </c>
      <c r="H3" s="8" t="s">
        <v>96</v>
      </c>
      <c r="I3" s="8" t="s">
        <v>97</v>
      </c>
      <c r="J3" s="8" t="s">
        <v>417</v>
      </c>
    </row>
    <row r="4" spans="1:10" hidden="1" x14ac:dyDescent="0.45">
      <c r="A4" t="s">
        <v>57</v>
      </c>
      <c r="B4" t="s">
        <v>533</v>
      </c>
      <c r="D4" t="str">
        <f>IF(A4='PrototypeData-logprob'!A4,".","N")</f>
        <v>.</v>
      </c>
      <c r="E4" t="str">
        <f t="shared" si="0"/>
        <v>N</v>
      </c>
      <c r="H4" s="8" t="s">
        <v>98</v>
      </c>
      <c r="I4" s="8" t="s">
        <v>99</v>
      </c>
      <c r="J4" s="8" t="s">
        <v>418</v>
      </c>
    </row>
    <row r="5" spans="1:10" hidden="1" x14ac:dyDescent="0.45">
      <c r="A5" t="s">
        <v>64</v>
      </c>
      <c r="B5" t="s">
        <v>64</v>
      </c>
      <c r="D5" t="str">
        <f>IF(A5='PrototypeData-logprob'!A5,".","N")</f>
        <v>.</v>
      </c>
      <c r="E5" t="str">
        <f t="shared" si="0"/>
        <v>.</v>
      </c>
      <c r="H5" s="8" t="s">
        <v>100</v>
      </c>
      <c r="I5" s="8" t="s">
        <v>101</v>
      </c>
      <c r="J5" s="8" t="s">
        <v>419</v>
      </c>
    </row>
    <row r="6" spans="1:10" hidden="1" x14ac:dyDescent="0.45">
      <c r="A6" t="s">
        <v>9</v>
      </c>
      <c r="B6" t="s">
        <v>533</v>
      </c>
      <c r="D6" t="str">
        <f>IF(A6='PrototypeData-logprob'!A6,".","N")</f>
        <v>.</v>
      </c>
      <c r="E6" t="str">
        <f t="shared" si="0"/>
        <v>N</v>
      </c>
      <c r="H6" s="8" t="s">
        <v>102</v>
      </c>
      <c r="I6" s="8" t="s">
        <v>99</v>
      </c>
      <c r="J6" s="8" t="s">
        <v>420</v>
      </c>
    </row>
    <row r="7" spans="1:10" hidden="1" x14ac:dyDescent="0.45">
      <c r="A7" t="s">
        <v>19</v>
      </c>
      <c r="B7" t="s">
        <v>533</v>
      </c>
      <c r="D7" t="str">
        <f>IF(A7='PrototypeData-logprob'!A7,".","N")</f>
        <v>.</v>
      </c>
      <c r="E7" t="str">
        <f t="shared" si="0"/>
        <v>N</v>
      </c>
      <c r="H7" s="8" t="s">
        <v>103</v>
      </c>
      <c r="I7" s="8" t="s">
        <v>99</v>
      </c>
      <c r="J7" s="8" t="s">
        <v>421</v>
      </c>
    </row>
    <row r="8" spans="1:10" hidden="1" x14ac:dyDescent="0.45">
      <c r="A8" t="s">
        <v>67</v>
      </c>
      <c r="B8" t="s">
        <v>67</v>
      </c>
      <c r="D8" t="str">
        <f>IF(A8='PrototypeData-logprob'!A8,".","N")</f>
        <v>.</v>
      </c>
      <c r="E8" t="str">
        <f t="shared" si="0"/>
        <v>.</v>
      </c>
      <c r="H8" s="8" t="s">
        <v>104</v>
      </c>
      <c r="I8" s="8" t="s">
        <v>105</v>
      </c>
      <c r="J8" s="8" t="s">
        <v>422</v>
      </c>
    </row>
    <row r="9" spans="1:10" hidden="1" x14ac:dyDescent="0.45">
      <c r="A9" t="s">
        <v>68</v>
      </c>
      <c r="B9" t="s">
        <v>68</v>
      </c>
      <c r="D9" t="str">
        <f>IF(A9='PrototypeData-logprob'!A9,".","N")</f>
        <v>.</v>
      </c>
      <c r="E9" t="str">
        <f t="shared" si="0"/>
        <v>.</v>
      </c>
      <c r="H9" s="8" t="s">
        <v>106</v>
      </c>
      <c r="I9" s="8" t="s">
        <v>99</v>
      </c>
      <c r="J9" s="8" t="s">
        <v>423</v>
      </c>
    </row>
    <row r="10" spans="1:10" hidden="1" x14ac:dyDescent="0.45">
      <c r="A10" t="s">
        <v>19</v>
      </c>
      <c r="B10" t="s">
        <v>62</v>
      </c>
      <c r="D10" t="str">
        <f>IF(A10='PrototypeData-logprob'!A10,".","N")</f>
        <v>.</v>
      </c>
      <c r="E10" t="str">
        <f t="shared" si="0"/>
        <v>N</v>
      </c>
      <c r="H10" s="8" t="s">
        <v>107</v>
      </c>
      <c r="I10" s="8" t="s">
        <v>108</v>
      </c>
      <c r="J10" s="8" t="s">
        <v>417</v>
      </c>
    </row>
    <row r="11" spans="1:10" hidden="1" x14ac:dyDescent="0.45">
      <c r="A11" t="s">
        <v>19</v>
      </c>
      <c r="B11" t="s">
        <v>62</v>
      </c>
      <c r="D11" t="str">
        <f>IF(A11='PrototypeData-logprob'!A11,".","N")</f>
        <v>.</v>
      </c>
      <c r="E11" t="str">
        <f t="shared" si="0"/>
        <v>N</v>
      </c>
      <c r="H11" s="8" t="s">
        <v>109</v>
      </c>
      <c r="I11" s="8" t="s">
        <v>110</v>
      </c>
      <c r="J11" s="8" t="s">
        <v>417</v>
      </c>
    </row>
    <row r="12" spans="1:10" hidden="1" x14ac:dyDescent="0.45">
      <c r="A12" t="s">
        <v>19</v>
      </c>
      <c r="B12" t="s">
        <v>533</v>
      </c>
      <c r="D12" t="str">
        <f>IF(A12='PrototypeData-logprob'!A12,".","N")</f>
        <v>.</v>
      </c>
      <c r="E12" t="str">
        <f t="shared" si="0"/>
        <v>N</v>
      </c>
      <c r="H12" s="8" t="s">
        <v>111</v>
      </c>
      <c r="I12" s="8" t="s">
        <v>112</v>
      </c>
      <c r="J12" s="8" t="s">
        <v>421</v>
      </c>
    </row>
    <row r="13" spans="1:10" hidden="1" x14ac:dyDescent="0.45">
      <c r="A13" t="s">
        <v>19</v>
      </c>
      <c r="B13" t="s">
        <v>69</v>
      </c>
      <c r="D13" t="str">
        <f>IF(A13='PrototypeData-logprob'!A13,".","N")</f>
        <v>.</v>
      </c>
      <c r="E13" t="str">
        <f t="shared" si="0"/>
        <v>N</v>
      </c>
      <c r="H13" s="8" t="s">
        <v>113</v>
      </c>
      <c r="I13" s="8" t="s">
        <v>114</v>
      </c>
      <c r="J13" s="8" t="s">
        <v>424</v>
      </c>
    </row>
    <row r="14" spans="1:10" hidden="1" x14ac:dyDescent="0.45">
      <c r="A14" t="s">
        <v>70</v>
      </c>
      <c r="B14" t="s">
        <v>70</v>
      </c>
      <c r="D14" t="str">
        <f>IF(A14='PrototypeData-logprob'!A14,".","N")</f>
        <v>.</v>
      </c>
      <c r="E14" t="str">
        <f t="shared" si="0"/>
        <v>.</v>
      </c>
      <c r="H14" s="8" t="s">
        <v>115</v>
      </c>
      <c r="I14" s="8" t="s">
        <v>116</v>
      </c>
      <c r="J14" s="8" t="s">
        <v>421</v>
      </c>
    </row>
    <row r="15" spans="1:10" hidden="1" x14ac:dyDescent="0.45">
      <c r="A15" t="s">
        <v>57</v>
      </c>
      <c r="B15" t="s">
        <v>533</v>
      </c>
      <c r="D15" t="str">
        <f>IF(A15='PrototypeData-logprob'!A15,".","N")</f>
        <v>.</v>
      </c>
      <c r="E15" t="str">
        <f t="shared" si="0"/>
        <v>N</v>
      </c>
      <c r="H15" s="8" t="s">
        <v>117</v>
      </c>
      <c r="I15" s="8" t="s">
        <v>99</v>
      </c>
      <c r="J15" s="8" t="s">
        <v>420</v>
      </c>
    </row>
    <row r="16" spans="1:10" hidden="1" x14ac:dyDescent="0.45">
      <c r="A16" t="s">
        <v>66</v>
      </c>
      <c r="B16" t="s">
        <v>66</v>
      </c>
      <c r="D16" t="str">
        <f>IF(A16='PrototypeData-logprob'!A16,".","N")</f>
        <v>.</v>
      </c>
      <c r="E16" t="str">
        <f t="shared" si="0"/>
        <v>.</v>
      </c>
      <c r="H16" s="8" t="s">
        <v>118</v>
      </c>
      <c r="I16" s="8" t="s">
        <v>119</v>
      </c>
      <c r="J16" s="8" t="s">
        <v>421</v>
      </c>
    </row>
    <row r="17" spans="1:10" hidden="1" x14ac:dyDescent="0.45">
      <c r="A17" t="s">
        <v>19</v>
      </c>
      <c r="B17" t="s">
        <v>533</v>
      </c>
      <c r="D17" t="str">
        <f>IF(A17='PrototypeData-logprob'!A17,".","N")</f>
        <v>.</v>
      </c>
      <c r="E17" t="str">
        <f t="shared" si="0"/>
        <v>N</v>
      </c>
      <c r="H17" s="8" t="s">
        <v>120</v>
      </c>
      <c r="I17" s="8" t="s">
        <v>121</v>
      </c>
      <c r="J17" s="8" t="s">
        <v>420</v>
      </c>
    </row>
    <row r="18" spans="1:10" hidden="1" x14ac:dyDescent="0.45">
      <c r="A18" t="s">
        <v>19</v>
      </c>
      <c r="B18" t="s">
        <v>533</v>
      </c>
      <c r="D18" t="str">
        <f>IF(A18='PrototypeData-logprob'!A18,".","N")</f>
        <v>.</v>
      </c>
      <c r="E18" t="str">
        <f t="shared" si="0"/>
        <v>N</v>
      </c>
      <c r="H18" s="8" t="s">
        <v>122</v>
      </c>
      <c r="I18" s="8" t="s">
        <v>123</v>
      </c>
      <c r="J18" s="8" t="s">
        <v>425</v>
      </c>
    </row>
    <row r="19" spans="1:10" hidden="1" x14ac:dyDescent="0.45">
      <c r="A19" t="s">
        <v>57</v>
      </c>
      <c r="B19" t="s">
        <v>533</v>
      </c>
      <c r="D19" t="str">
        <f>IF(A19='PrototypeData-logprob'!A19,".","N")</f>
        <v>.</v>
      </c>
      <c r="E19" t="str">
        <f t="shared" si="0"/>
        <v>N</v>
      </c>
      <c r="H19" s="8" t="s">
        <v>124</v>
      </c>
      <c r="I19" s="8" t="s">
        <v>99</v>
      </c>
      <c r="J19" s="8" t="s">
        <v>418</v>
      </c>
    </row>
    <row r="20" spans="1:10" hidden="1" x14ac:dyDescent="0.45">
      <c r="A20" t="s">
        <v>19</v>
      </c>
      <c r="B20" t="s">
        <v>62</v>
      </c>
      <c r="D20" t="str">
        <f>IF(A20='PrototypeData-logprob'!A20,".","N")</f>
        <v>.</v>
      </c>
      <c r="E20" t="str">
        <f t="shared" si="0"/>
        <v>N</v>
      </c>
      <c r="H20" s="8" t="s">
        <v>125</v>
      </c>
      <c r="I20" s="8" t="s">
        <v>126</v>
      </c>
      <c r="J20" s="8" t="s">
        <v>417</v>
      </c>
    </row>
    <row r="21" spans="1:10" hidden="1" x14ac:dyDescent="0.45">
      <c r="A21" t="s">
        <v>19</v>
      </c>
      <c r="B21" t="s">
        <v>533</v>
      </c>
      <c r="D21" t="str">
        <f>IF(A21='PrototypeData-logprob'!A21,".","N")</f>
        <v>.</v>
      </c>
      <c r="E21" t="str">
        <f t="shared" si="0"/>
        <v>N</v>
      </c>
      <c r="H21" s="8" t="s">
        <v>127</v>
      </c>
      <c r="I21" s="8" t="s">
        <v>128</v>
      </c>
      <c r="J21" s="8" t="s">
        <v>420</v>
      </c>
    </row>
    <row r="22" spans="1:10" hidden="1" x14ac:dyDescent="0.45">
      <c r="A22" t="s">
        <v>19</v>
      </c>
      <c r="B22" t="s">
        <v>533</v>
      </c>
      <c r="D22" t="str">
        <f>IF(A22='PrototypeData-logprob'!A22,".","N")</f>
        <v>.</v>
      </c>
      <c r="E22" t="str">
        <f t="shared" si="0"/>
        <v>N</v>
      </c>
      <c r="H22" s="8" t="s">
        <v>129</v>
      </c>
      <c r="I22" s="8" t="s">
        <v>130</v>
      </c>
      <c r="J22" s="8" t="s">
        <v>426</v>
      </c>
    </row>
    <row r="23" spans="1:10" hidden="1" x14ac:dyDescent="0.45">
      <c r="A23" t="s">
        <v>65</v>
      </c>
      <c r="B23" t="s">
        <v>65</v>
      </c>
      <c r="D23" t="str">
        <f>IF(A23='PrototypeData-logprob'!A23,".","N")</f>
        <v>.</v>
      </c>
      <c r="E23" t="str">
        <f t="shared" si="0"/>
        <v>.</v>
      </c>
      <c r="H23" s="8" t="s">
        <v>131</v>
      </c>
      <c r="I23" s="8" t="s">
        <v>132</v>
      </c>
      <c r="J23" s="8" t="s">
        <v>427</v>
      </c>
    </row>
    <row r="24" spans="1:10" hidden="1" x14ac:dyDescent="0.45">
      <c r="A24" t="s">
        <v>57</v>
      </c>
      <c r="B24" t="s">
        <v>76</v>
      </c>
      <c r="D24" t="str">
        <f>IF(A24='PrototypeData-logprob'!A24,".","N")</f>
        <v>.</v>
      </c>
      <c r="E24" t="str">
        <f t="shared" si="0"/>
        <v>N</v>
      </c>
      <c r="H24" s="8" t="s">
        <v>133</v>
      </c>
      <c r="I24" s="8" t="s">
        <v>134</v>
      </c>
      <c r="J24" s="8" t="s">
        <v>428</v>
      </c>
    </row>
    <row r="25" spans="1:10" hidden="1" x14ac:dyDescent="0.45">
      <c r="A25" t="s">
        <v>57</v>
      </c>
      <c r="B25" t="s">
        <v>533</v>
      </c>
      <c r="D25" t="str">
        <f>IF(A25='PrototypeData-logprob'!A25,".","N")</f>
        <v>.</v>
      </c>
      <c r="E25" t="str">
        <f t="shared" si="0"/>
        <v>N</v>
      </c>
      <c r="H25" s="8" t="s">
        <v>135</v>
      </c>
      <c r="I25" s="8" t="s">
        <v>99</v>
      </c>
      <c r="J25" s="8" t="s">
        <v>420</v>
      </c>
    </row>
    <row r="26" spans="1:10" hidden="1" x14ac:dyDescent="0.45">
      <c r="A26" t="s">
        <v>57</v>
      </c>
      <c r="B26" t="s">
        <v>533</v>
      </c>
      <c r="D26" t="str">
        <f>IF(A26='PrototypeData-logprob'!A26,".","N")</f>
        <v>.</v>
      </c>
      <c r="E26" t="str">
        <f t="shared" si="0"/>
        <v>N</v>
      </c>
      <c r="H26" s="8" t="s">
        <v>136</v>
      </c>
      <c r="I26" s="8" t="s">
        <v>99</v>
      </c>
      <c r="J26" s="8" t="s">
        <v>420</v>
      </c>
    </row>
    <row r="27" spans="1:10" hidden="1" x14ac:dyDescent="0.45">
      <c r="A27" t="s">
        <v>9</v>
      </c>
      <c r="B27" t="s">
        <v>73</v>
      </c>
      <c r="D27" t="str">
        <f>IF(A27='PrototypeData-logprob'!A27,".","N")</f>
        <v>.</v>
      </c>
      <c r="E27" t="str">
        <f t="shared" si="0"/>
        <v>N</v>
      </c>
      <c r="H27" s="8" t="s">
        <v>137</v>
      </c>
      <c r="I27" s="8" t="s">
        <v>99</v>
      </c>
      <c r="J27" s="8" t="s">
        <v>424</v>
      </c>
    </row>
    <row r="28" spans="1:10" hidden="1" x14ac:dyDescent="0.45">
      <c r="A28" t="s">
        <v>74</v>
      </c>
      <c r="B28" t="s">
        <v>74</v>
      </c>
      <c r="D28" t="str">
        <f>IF(A28='PrototypeData-logprob'!A28,".","N")</f>
        <v>.</v>
      </c>
      <c r="E28" t="str">
        <f t="shared" si="0"/>
        <v>.</v>
      </c>
      <c r="H28" s="8" t="s">
        <v>138</v>
      </c>
      <c r="I28" s="8" t="s">
        <v>139</v>
      </c>
      <c r="J28" s="8" t="s">
        <v>426</v>
      </c>
    </row>
    <row r="29" spans="1:10" hidden="1" x14ac:dyDescent="0.45">
      <c r="A29" t="s">
        <v>19</v>
      </c>
      <c r="B29" t="s">
        <v>533</v>
      </c>
      <c r="D29" t="str">
        <f>IF(A29='PrototypeData-logprob'!A29,".","N")</f>
        <v>.</v>
      </c>
      <c r="E29" t="str">
        <f t="shared" si="0"/>
        <v>N</v>
      </c>
      <c r="H29" s="8" t="s">
        <v>140</v>
      </c>
      <c r="I29" s="8" t="s">
        <v>141</v>
      </c>
      <c r="J29" s="8" t="s">
        <v>420</v>
      </c>
    </row>
    <row r="30" spans="1:10" hidden="1" x14ac:dyDescent="0.45">
      <c r="A30" t="s">
        <v>74</v>
      </c>
      <c r="B30" t="s">
        <v>74</v>
      </c>
      <c r="D30" t="str">
        <f>IF(A30='PrototypeData-logprob'!A30,".","N")</f>
        <v>.</v>
      </c>
      <c r="E30" t="str">
        <f t="shared" si="0"/>
        <v>.</v>
      </c>
      <c r="H30" s="8" t="s">
        <v>142</v>
      </c>
      <c r="I30" s="8" t="s">
        <v>99</v>
      </c>
      <c r="J30" s="8" t="s">
        <v>426</v>
      </c>
    </row>
    <row r="31" spans="1:10" hidden="1" x14ac:dyDescent="0.45">
      <c r="A31" t="s">
        <v>19</v>
      </c>
      <c r="B31" t="s">
        <v>62</v>
      </c>
      <c r="D31" t="str">
        <f>IF(A31='PrototypeData-logprob'!A31,".","N")</f>
        <v>.</v>
      </c>
      <c r="E31" t="str">
        <f t="shared" si="0"/>
        <v>N</v>
      </c>
      <c r="H31" s="8" t="s">
        <v>143</v>
      </c>
      <c r="I31" s="8" t="s">
        <v>144</v>
      </c>
      <c r="J31" s="8" t="s">
        <v>417</v>
      </c>
    </row>
    <row r="32" spans="1:10" hidden="1" x14ac:dyDescent="0.45">
      <c r="A32" t="s">
        <v>19</v>
      </c>
      <c r="B32" t="s">
        <v>62</v>
      </c>
      <c r="D32" t="str">
        <f>IF(A32='PrototypeData-logprob'!A32,".","N")</f>
        <v>.</v>
      </c>
      <c r="E32" t="str">
        <f t="shared" si="0"/>
        <v>N</v>
      </c>
      <c r="H32" s="8" t="s">
        <v>145</v>
      </c>
      <c r="I32" s="8" t="s">
        <v>146</v>
      </c>
      <c r="J32" s="8" t="s">
        <v>417</v>
      </c>
    </row>
    <row r="33" spans="1:10" hidden="1" x14ac:dyDescent="0.45">
      <c r="A33" t="s">
        <v>19</v>
      </c>
      <c r="B33" t="s">
        <v>62</v>
      </c>
      <c r="D33" t="str">
        <f>IF(A33='PrototypeData-logprob'!A33,".","N")</f>
        <v>.</v>
      </c>
      <c r="E33" t="str">
        <f t="shared" si="0"/>
        <v>N</v>
      </c>
      <c r="H33" s="8" t="s">
        <v>147</v>
      </c>
      <c r="I33" s="8" t="s">
        <v>148</v>
      </c>
      <c r="J33" s="8" t="s">
        <v>417</v>
      </c>
    </row>
    <row r="34" spans="1:10" hidden="1" x14ac:dyDescent="0.45">
      <c r="A34" t="s">
        <v>57</v>
      </c>
      <c r="B34" t="s">
        <v>533</v>
      </c>
      <c r="D34" t="str">
        <f>IF(A34='PrototypeData-logprob'!A34,".","N")</f>
        <v>.</v>
      </c>
      <c r="E34" t="str">
        <f t="shared" si="0"/>
        <v>N</v>
      </c>
      <c r="H34" s="8" t="s">
        <v>149</v>
      </c>
      <c r="I34" s="8" t="s">
        <v>99</v>
      </c>
      <c r="J34" s="8" t="s">
        <v>420</v>
      </c>
    </row>
    <row r="35" spans="1:10" hidden="1" x14ac:dyDescent="0.45">
      <c r="A35" t="s">
        <v>19</v>
      </c>
      <c r="B35" t="s">
        <v>533</v>
      </c>
      <c r="D35" t="str">
        <f>IF(A35='PrototypeData-logprob'!A35,".","N")</f>
        <v>.</v>
      </c>
      <c r="E35" t="str">
        <f t="shared" si="0"/>
        <v>N</v>
      </c>
      <c r="H35" s="8" t="s">
        <v>150</v>
      </c>
      <c r="I35" s="8" t="s">
        <v>151</v>
      </c>
      <c r="J35" s="8" t="s">
        <v>420</v>
      </c>
    </row>
    <row r="36" spans="1:10" hidden="1" x14ac:dyDescent="0.45">
      <c r="A36" t="s">
        <v>68</v>
      </c>
      <c r="B36" t="s">
        <v>68</v>
      </c>
      <c r="D36" t="str">
        <f>IF(A36='PrototypeData-logprob'!A36,".","N")</f>
        <v>.</v>
      </c>
      <c r="E36" t="str">
        <f t="shared" si="0"/>
        <v>.</v>
      </c>
      <c r="H36" s="8" t="s">
        <v>152</v>
      </c>
      <c r="I36" s="8" t="s">
        <v>153</v>
      </c>
      <c r="J36" s="8" t="s">
        <v>423</v>
      </c>
    </row>
    <row r="37" spans="1:10" hidden="1" x14ac:dyDescent="0.45">
      <c r="A37" t="s">
        <v>57</v>
      </c>
      <c r="B37" t="s">
        <v>533</v>
      </c>
      <c r="D37" t="str">
        <f>IF(A37='PrototypeData-logprob'!A37,".","N")</f>
        <v>.</v>
      </c>
      <c r="E37" t="str">
        <f t="shared" si="0"/>
        <v>N</v>
      </c>
      <c r="H37" s="8" t="s">
        <v>154</v>
      </c>
      <c r="I37" s="8" t="s">
        <v>99</v>
      </c>
      <c r="J37" s="8" t="s">
        <v>420</v>
      </c>
    </row>
    <row r="38" spans="1:10" hidden="1" x14ac:dyDescent="0.45">
      <c r="A38" t="s">
        <v>75</v>
      </c>
      <c r="B38" t="s">
        <v>75</v>
      </c>
      <c r="D38" t="str">
        <f>IF(A38='PrototypeData-logprob'!A38,".","N")</f>
        <v>.</v>
      </c>
      <c r="E38" t="str">
        <f t="shared" si="0"/>
        <v>.</v>
      </c>
      <c r="H38" s="8" t="s">
        <v>155</v>
      </c>
      <c r="I38" s="8" t="s">
        <v>156</v>
      </c>
      <c r="J38" s="8" t="s">
        <v>429</v>
      </c>
    </row>
    <row r="39" spans="1:10" hidden="1" x14ac:dyDescent="0.45">
      <c r="A39" t="s">
        <v>19</v>
      </c>
      <c r="B39" t="s">
        <v>533</v>
      </c>
      <c r="D39" t="str">
        <f>IF(A39='PrototypeData-logprob'!A39,".","N")</f>
        <v>.</v>
      </c>
      <c r="E39" t="str">
        <f t="shared" si="0"/>
        <v>N</v>
      </c>
      <c r="H39" s="9" t="s">
        <v>157</v>
      </c>
      <c r="I39" s="8" t="s">
        <v>158</v>
      </c>
      <c r="J39" s="8" t="s">
        <v>430</v>
      </c>
    </row>
    <row r="40" spans="1:10" hidden="1" x14ac:dyDescent="0.45">
      <c r="A40" t="s">
        <v>57</v>
      </c>
      <c r="B40" t="s">
        <v>533</v>
      </c>
      <c r="D40" t="str">
        <f>IF(A40='PrototypeData-logprob'!A40,".","N")</f>
        <v>.</v>
      </c>
      <c r="E40" t="str">
        <f t="shared" si="0"/>
        <v>N</v>
      </c>
      <c r="H40" s="8" t="s">
        <v>159</v>
      </c>
      <c r="I40" s="8" t="s">
        <v>99</v>
      </c>
      <c r="J40" s="8" t="s">
        <v>420</v>
      </c>
    </row>
    <row r="41" spans="1:10" hidden="1" x14ac:dyDescent="0.45">
      <c r="A41" t="s">
        <v>57</v>
      </c>
      <c r="B41" t="s">
        <v>533</v>
      </c>
      <c r="D41" t="str">
        <f>IF(A41='PrototypeData-logprob'!A41,".","N")</f>
        <v>.</v>
      </c>
      <c r="E41" t="str">
        <f t="shared" si="0"/>
        <v>N</v>
      </c>
      <c r="H41" s="9" t="s">
        <v>160</v>
      </c>
      <c r="I41" s="8" t="s">
        <v>161</v>
      </c>
      <c r="J41" s="8" t="s">
        <v>420</v>
      </c>
    </row>
    <row r="42" spans="1:10" hidden="1" x14ac:dyDescent="0.45">
      <c r="A42" t="s">
        <v>19</v>
      </c>
      <c r="B42" t="s">
        <v>533</v>
      </c>
      <c r="D42" t="str">
        <f>IF(A42='PrototypeData-logprob'!A42,".","N")</f>
        <v>.</v>
      </c>
      <c r="E42" t="str">
        <f t="shared" si="0"/>
        <v>N</v>
      </c>
      <c r="H42" s="8" t="s">
        <v>162</v>
      </c>
      <c r="I42" s="8" t="s">
        <v>163</v>
      </c>
      <c r="J42" s="8" t="s">
        <v>425</v>
      </c>
    </row>
    <row r="43" spans="1:10" hidden="1" x14ac:dyDescent="0.45">
      <c r="A43" t="s">
        <v>66</v>
      </c>
      <c r="B43" t="s">
        <v>66</v>
      </c>
      <c r="D43" t="str">
        <f>IF(A43='PrototypeData-logprob'!A43,".","N")</f>
        <v>.</v>
      </c>
      <c r="E43" t="str">
        <f t="shared" si="0"/>
        <v>.</v>
      </c>
      <c r="H43" s="8" t="s">
        <v>164</v>
      </c>
      <c r="I43" s="8" t="s">
        <v>99</v>
      </c>
      <c r="J43" s="8" t="s">
        <v>421</v>
      </c>
    </row>
    <row r="44" spans="1:10" hidden="1" x14ac:dyDescent="0.45">
      <c r="A44" t="s">
        <v>73</v>
      </c>
      <c r="B44" t="s">
        <v>73</v>
      </c>
      <c r="D44" t="str">
        <f>IF(A44='PrototypeData-logprob'!A44,".","N")</f>
        <v>.</v>
      </c>
      <c r="E44" t="str">
        <f t="shared" si="0"/>
        <v>.</v>
      </c>
      <c r="H44" s="8" t="s">
        <v>165</v>
      </c>
      <c r="I44" s="8" t="s">
        <v>166</v>
      </c>
      <c r="J44" s="8" t="s">
        <v>424</v>
      </c>
    </row>
    <row r="45" spans="1:10" hidden="1" x14ac:dyDescent="0.45">
      <c r="A45" t="s">
        <v>19</v>
      </c>
      <c r="B45" t="s">
        <v>533</v>
      </c>
      <c r="D45" t="str">
        <f>IF(A45='PrototypeData-logprob'!A45,".","N")</f>
        <v>.</v>
      </c>
      <c r="E45" t="str">
        <f t="shared" si="0"/>
        <v>N</v>
      </c>
      <c r="H45" s="8" t="s">
        <v>167</v>
      </c>
      <c r="I45" s="8" t="s">
        <v>168</v>
      </c>
      <c r="J45" s="8" t="s">
        <v>420</v>
      </c>
    </row>
    <row r="46" spans="1:10" hidden="1" x14ac:dyDescent="0.45">
      <c r="A46" t="s">
        <v>57</v>
      </c>
      <c r="B46" t="s">
        <v>533</v>
      </c>
      <c r="D46" t="str">
        <f>IF(A46='PrototypeData-logprob'!A46,".","N")</f>
        <v>.</v>
      </c>
      <c r="E46" t="str">
        <f t="shared" si="0"/>
        <v>N</v>
      </c>
      <c r="H46" s="8" t="s">
        <v>169</v>
      </c>
      <c r="I46" s="8" t="s">
        <v>99</v>
      </c>
      <c r="J46" s="8" t="s">
        <v>421</v>
      </c>
    </row>
    <row r="47" spans="1:10" hidden="1" x14ac:dyDescent="0.45">
      <c r="A47" t="s">
        <v>19</v>
      </c>
      <c r="B47" t="s">
        <v>533</v>
      </c>
      <c r="D47" t="str">
        <f>IF(A47='PrototypeData-logprob'!A47,".","N")</f>
        <v>.</v>
      </c>
      <c r="E47" t="str">
        <f t="shared" si="0"/>
        <v>N</v>
      </c>
      <c r="H47" s="8" t="s">
        <v>170</v>
      </c>
      <c r="I47" s="8" t="s">
        <v>171</v>
      </c>
      <c r="J47" s="8" t="s">
        <v>420</v>
      </c>
    </row>
    <row r="48" spans="1:10" hidden="1" x14ac:dyDescent="0.45">
      <c r="A48" t="s">
        <v>76</v>
      </c>
      <c r="B48" t="s">
        <v>76</v>
      </c>
      <c r="D48" t="str">
        <f>IF(A48='PrototypeData-logprob'!A48,".","N")</f>
        <v>.</v>
      </c>
      <c r="E48" t="str">
        <f t="shared" si="0"/>
        <v>.</v>
      </c>
      <c r="H48" s="8" t="s">
        <v>172</v>
      </c>
      <c r="I48" s="8" t="s">
        <v>173</v>
      </c>
      <c r="J48" s="8" t="s">
        <v>428</v>
      </c>
    </row>
    <row r="49" spans="1:10" hidden="1" x14ac:dyDescent="0.45">
      <c r="A49" t="s">
        <v>57</v>
      </c>
      <c r="B49" t="s">
        <v>533</v>
      </c>
      <c r="D49" t="str">
        <f>IF(A49='PrototypeData-logprob'!A49,".","N")</f>
        <v>.</v>
      </c>
      <c r="E49" t="str">
        <f t="shared" si="0"/>
        <v>N</v>
      </c>
      <c r="H49" s="8" t="s">
        <v>174</v>
      </c>
      <c r="I49" s="8" t="s">
        <v>99</v>
      </c>
      <c r="J49" s="8" t="s">
        <v>418</v>
      </c>
    </row>
    <row r="50" spans="1:10" hidden="1" x14ac:dyDescent="0.45">
      <c r="A50" t="s">
        <v>57</v>
      </c>
      <c r="B50" t="s">
        <v>533</v>
      </c>
      <c r="D50" t="str">
        <f>IF(A50='PrototypeData-logprob'!A50,".","N")</f>
        <v>.</v>
      </c>
      <c r="E50" t="str">
        <f t="shared" si="0"/>
        <v>N</v>
      </c>
      <c r="H50" s="8" t="s">
        <v>175</v>
      </c>
      <c r="I50" s="8" t="s">
        <v>99</v>
      </c>
      <c r="J50" s="8" t="s">
        <v>420</v>
      </c>
    </row>
    <row r="51" spans="1:10" hidden="1" x14ac:dyDescent="0.45">
      <c r="A51" t="s">
        <v>68</v>
      </c>
      <c r="B51" t="s">
        <v>68</v>
      </c>
      <c r="D51" t="str">
        <f>IF(A51='PrototypeData-logprob'!A51,".","N")</f>
        <v>.</v>
      </c>
      <c r="E51" t="str">
        <f t="shared" si="0"/>
        <v>.</v>
      </c>
      <c r="H51" s="8" t="s">
        <v>176</v>
      </c>
      <c r="I51" s="8" t="s">
        <v>177</v>
      </c>
      <c r="J51" s="8" t="s">
        <v>423</v>
      </c>
    </row>
    <row r="52" spans="1:10" hidden="1" x14ac:dyDescent="0.45">
      <c r="A52" t="s">
        <v>74</v>
      </c>
      <c r="B52" t="s">
        <v>74</v>
      </c>
      <c r="D52" t="str">
        <f>IF(A52='PrototypeData-logprob'!A52,".","N")</f>
        <v>.</v>
      </c>
      <c r="E52" t="str">
        <f t="shared" si="0"/>
        <v>.</v>
      </c>
      <c r="H52" s="8" t="s">
        <v>178</v>
      </c>
      <c r="I52" s="8" t="s">
        <v>179</v>
      </c>
      <c r="J52" s="8" t="s">
        <v>426</v>
      </c>
    </row>
    <row r="53" spans="1:10" hidden="1" x14ac:dyDescent="0.45">
      <c r="A53" t="s">
        <v>19</v>
      </c>
      <c r="B53" t="s">
        <v>62</v>
      </c>
      <c r="D53" t="str">
        <f>IF(A53='PrototypeData-logprob'!A53,".","N")</f>
        <v>.</v>
      </c>
      <c r="E53" t="str">
        <f t="shared" si="0"/>
        <v>N</v>
      </c>
      <c r="H53" s="8" t="s">
        <v>180</v>
      </c>
      <c r="I53" s="8" t="s">
        <v>181</v>
      </c>
      <c r="J53" s="8" t="s">
        <v>417</v>
      </c>
    </row>
    <row r="54" spans="1:10" x14ac:dyDescent="0.45">
      <c r="A54" t="s">
        <v>74</v>
      </c>
      <c r="B54" t="s">
        <v>71</v>
      </c>
      <c r="D54" t="str">
        <f>IF(A54='PrototypeData-logprob'!A54,".","N")</f>
        <v>.</v>
      </c>
      <c r="E54" t="str">
        <f t="shared" si="0"/>
        <v>N</v>
      </c>
      <c r="F54" s="8" t="s">
        <v>514</v>
      </c>
      <c r="H54" s="8" t="s">
        <v>182</v>
      </c>
      <c r="I54" s="8" t="s">
        <v>99</v>
      </c>
      <c r="J54" s="8" t="s">
        <v>426</v>
      </c>
    </row>
    <row r="55" spans="1:10" hidden="1" x14ac:dyDescent="0.45">
      <c r="A55" t="s">
        <v>61</v>
      </c>
      <c r="B55" t="s">
        <v>61</v>
      </c>
      <c r="D55" t="str">
        <f>IF(A55='PrototypeData-logprob'!A55,".","N")</f>
        <v>.</v>
      </c>
      <c r="E55" t="str">
        <f t="shared" si="0"/>
        <v>.</v>
      </c>
      <c r="H55" s="8" t="s">
        <v>183</v>
      </c>
      <c r="I55" s="8" t="s">
        <v>184</v>
      </c>
      <c r="J55" s="8" t="s">
        <v>416</v>
      </c>
    </row>
    <row r="56" spans="1:10" hidden="1" x14ac:dyDescent="0.45">
      <c r="A56" t="s">
        <v>19</v>
      </c>
      <c r="B56" t="s">
        <v>533</v>
      </c>
      <c r="D56" t="str">
        <f>IF(A56='PrototypeData-logprob'!A56,".","N")</f>
        <v>.</v>
      </c>
      <c r="E56" t="str">
        <f t="shared" si="0"/>
        <v>N</v>
      </c>
      <c r="H56" s="8" t="s">
        <v>185</v>
      </c>
      <c r="I56" s="8" t="s">
        <v>186</v>
      </c>
      <c r="J56" s="8" t="s">
        <v>425</v>
      </c>
    </row>
    <row r="57" spans="1:10" hidden="1" x14ac:dyDescent="0.45">
      <c r="A57" t="s">
        <v>57</v>
      </c>
      <c r="B57" t="s">
        <v>533</v>
      </c>
      <c r="D57" t="str">
        <f>IF(A57='PrototypeData-logprob'!A57,".","N")</f>
        <v>.</v>
      </c>
      <c r="E57" t="str">
        <f t="shared" si="0"/>
        <v>N</v>
      </c>
      <c r="H57" s="8" t="s">
        <v>187</v>
      </c>
      <c r="I57" s="8" t="s">
        <v>99</v>
      </c>
      <c r="J57" s="8" t="s">
        <v>431</v>
      </c>
    </row>
    <row r="58" spans="1:10" x14ac:dyDescent="0.45">
      <c r="A58" t="s">
        <v>77</v>
      </c>
      <c r="B58" t="s">
        <v>539</v>
      </c>
      <c r="D58" t="str">
        <f>IF(A58='PrototypeData-logprob'!A58,".","N")</f>
        <v>.</v>
      </c>
      <c r="E58" t="str">
        <f t="shared" si="0"/>
        <v>N</v>
      </c>
      <c r="F58" s="8" t="s">
        <v>514</v>
      </c>
      <c r="H58" s="8" t="s">
        <v>188</v>
      </c>
      <c r="I58" s="8" t="s">
        <v>99</v>
      </c>
      <c r="J58" s="8" t="s">
        <v>422</v>
      </c>
    </row>
    <row r="59" spans="1:10" hidden="1" x14ac:dyDescent="0.45">
      <c r="A59" t="s">
        <v>19</v>
      </c>
      <c r="B59" t="s">
        <v>62</v>
      </c>
      <c r="D59" t="str">
        <f>IF(A59='PrototypeData-logprob'!A59,".","N")</f>
        <v>.</v>
      </c>
      <c r="E59" t="str">
        <f t="shared" si="0"/>
        <v>N</v>
      </c>
      <c r="H59" s="8" t="s">
        <v>189</v>
      </c>
      <c r="I59" s="8" t="s">
        <v>190</v>
      </c>
      <c r="J59" s="8" t="s">
        <v>417</v>
      </c>
    </row>
    <row r="60" spans="1:10" hidden="1" x14ac:dyDescent="0.45">
      <c r="A60" t="s">
        <v>65</v>
      </c>
      <c r="B60" t="s">
        <v>65</v>
      </c>
      <c r="D60" t="str">
        <f>IF(A60='PrototypeData-logprob'!A60,".","N")</f>
        <v>.</v>
      </c>
      <c r="E60" t="str">
        <f t="shared" si="0"/>
        <v>.</v>
      </c>
      <c r="H60" s="8" t="s">
        <v>191</v>
      </c>
      <c r="I60" s="8" t="s">
        <v>192</v>
      </c>
      <c r="J60" s="8" t="s">
        <v>427</v>
      </c>
    </row>
    <row r="61" spans="1:10" hidden="1" x14ac:dyDescent="0.45">
      <c r="A61" t="s">
        <v>57</v>
      </c>
      <c r="B61" t="s">
        <v>78</v>
      </c>
      <c r="D61" t="str">
        <f>IF(A61='PrototypeData-logprob'!A61,".","N")</f>
        <v>.</v>
      </c>
      <c r="E61" t="str">
        <f t="shared" si="0"/>
        <v>N</v>
      </c>
      <c r="H61" s="8" t="s">
        <v>193</v>
      </c>
      <c r="I61" s="8" t="s">
        <v>99</v>
      </c>
      <c r="J61" s="8" t="s">
        <v>429</v>
      </c>
    </row>
    <row r="62" spans="1:10" hidden="1" x14ac:dyDescent="0.45">
      <c r="A62" t="s">
        <v>75</v>
      </c>
      <c r="B62" t="s">
        <v>75</v>
      </c>
      <c r="D62" t="str">
        <f>IF(A62='PrototypeData-logprob'!A62,".","N")</f>
        <v>.</v>
      </c>
      <c r="E62" t="str">
        <f t="shared" si="0"/>
        <v>.</v>
      </c>
      <c r="H62" s="8" t="s">
        <v>194</v>
      </c>
      <c r="I62" s="8" t="s">
        <v>99</v>
      </c>
      <c r="J62" s="8" t="s">
        <v>429</v>
      </c>
    </row>
    <row r="63" spans="1:10" hidden="1" x14ac:dyDescent="0.45">
      <c r="A63" t="s">
        <v>64</v>
      </c>
      <c r="B63" t="s">
        <v>64</v>
      </c>
      <c r="D63" t="str">
        <f>IF(A63='PrototypeData-logprob'!A63,".","N")</f>
        <v>.</v>
      </c>
      <c r="E63" t="str">
        <f t="shared" si="0"/>
        <v>.</v>
      </c>
      <c r="H63" s="8" t="s">
        <v>195</v>
      </c>
      <c r="I63" s="8" t="s">
        <v>196</v>
      </c>
      <c r="J63" s="8" t="s">
        <v>419</v>
      </c>
    </row>
    <row r="64" spans="1:10" hidden="1" x14ac:dyDescent="0.45">
      <c r="A64" t="s">
        <v>71</v>
      </c>
      <c r="B64" t="s">
        <v>71</v>
      </c>
      <c r="D64" t="str">
        <f>IF(A64='PrototypeData-logprob'!A64,".","N")</f>
        <v>.</v>
      </c>
      <c r="E64" t="str">
        <f t="shared" si="0"/>
        <v>.</v>
      </c>
      <c r="H64" s="8" t="s">
        <v>197</v>
      </c>
      <c r="I64" s="8" t="s">
        <v>198</v>
      </c>
      <c r="J64" s="8" t="s">
        <v>426</v>
      </c>
    </row>
    <row r="65" spans="1:10" hidden="1" x14ac:dyDescent="0.45">
      <c r="A65" t="s">
        <v>19</v>
      </c>
      <c r="B65" t="s">
        <v>533</v>
      </c>
      <c r="D65" t="str">
        <f>IF(A65='PrototypeData-logprob'!A65,".","N")</f>
        <v>.</v>
      </c>
      <c r="E65" t="str">
        <f t="shared" si="0"/>
        <v>N</v>
      </c>
      <c r="H65" s="8" t="s">
        <v>199</v>
      </c>
      <c r="I65" s="8" t="s">
        <v>200</v>
      </c>
      <c r="J65" s="8" t="s">
        <v>418</v>
      </c>
    </row>
    <row r="66" spans="1:10" hidden="1" x14ac:dyDescent="0.45">
      <c r="A66" t="s">
        <v>71</v>
      </c>
      <c r="B66" t="s">
        <v>71</v>
      </c>
      <c r="D66" t="str">
        <f>IF(A66='PrototypeData-logprob'!A66,".","N")</f>
        <v>.</v>
      </c>
      <c r="E66" t="str">
        <f t="shared" si="0"/>
        <v>.</v>
      </c>
      <c r="H66" s="8" t="s">
        <v>201</v>
      </c>
      <c r="I66" s="8" t="s">
        <v>202</v>
      </c>
      <c r="J66" s="8" t="s">
        <v>426</v>
      </c>
    </row>
    <row r="67" spans="1:10" hidden="1" x14ac:dyDescent="0.45">
      <c r="A67" t="s">
        <v>71</v>
      </c>
      <c r="B67" t="s">
        <v>71</v>
      </c>
      <c r="D67" t="str">
        <f>IF(A67='PrototypeData-logprob'!A67,".","N")</f>
        <v>.</v>
      </c>
      <c r="E67" t="str">
        <f t="shared" ref="E67:E130" si="1">IF(A67=B67,".","N")</f>
        <v>.</v>
      </c>
      <c r="H67" s="8" t="s">
        <v>203</v>
      </c>
      <c r="I67" s="8" t="s">
        <v>99</v>
      </c>
      <c r="J67" s="8" t="s">
        <v>426</v>
      </c>
    </row>
    <row r="68" spans="1:10" hidden="1" x14ac:dyDescent="0.45">
      <c r="A68" t="s">
        <v>19</v>
      </c>
      <c r="B68" t="s">
        <v>65</v>
      </c>
      <c r="D68" t="str">
        <f>IF(A68='PrototypeData-logprob'!A68,".","N")</f>
        <v>.</v>
      </c>
      <c r="E68" t="str">
        <f t="shared" si="1"/>
        <v>N</v>
      </c>
      <c r="H68" s="8" t="s">
        <v>204</v>
      </c>
      <c r="I68" s="8" t="s">
        <v>205</v>
      </c>
      <c r="J68" s="8" t="s">
        <v>432</v>
      </c>
    </row>
    <row r="69" spans="1:10" hidden="1" x14ac:dyDescent="0.45">
      <c r="A69" t="s">
        <v>19</v>
      </c>
      <c r="B69" t="s">
        <v>533</v>
      </c>
      <c r="D69" t="str">
        <f>IF(A69='PrototypeData-logprob'!A69,".","N")</f>
        <v>.</v>
      </c>
      <c r="E69" t="str">
        <f t="shared" si="1"/>
        <v>N</v>
      </c>
      <c r="H69" s="8" t="s">
        <v>206</v>
      </c>
      <c r="I69" s="8" t="s">
        <v>207</v>
      </c>
      <c r="J69" s="8" t="s">
        <v>433</v>
      </c>
    </row>
    <row r="70" spans="1:10" hidden="1" x14ac:dyDescent="0.45">
      <c r="A70" t="s">
        <v>19</v>
      </c>
      <c r="B70" t="s">
        <v>533</v>
      </c>
      <c r="D70" t="str">
        <f>IF(A70='PrototypeData-logprob'!A70,".","N")</f>
        <v>.</v>
      </c>
      <c r="E70" t="str">
        <f t="shared" si="1"/>
        <v>N</v>
      </c>
      <c r="H70" s="8" t="s">
        <v>208</v>
      </c>
      <c r="I70" s="8" t="s">
        <v>99</v>
      </c>
      <c r="J70" s="8" t="s">
        <v>420</v>
      </c>
    </row>
    <row r="71" spans="1:10" hidden="1" x14ac:dyDescent="0.45">
      <c r="A71" t="s">
        <v>19</v>
      </c>
      <c r="B71" t="s">
        <v>62</v>
      </c>
      <c r="D71" t="str">
        <f>IF(A71='PrototypeData-logprob'!A71,".","N")</f>
        <v>.</v>
      </c>
      <c r="E71" t="str">
        <f t="shared" si="1"/>
        <v>N</v>
      </c>
      <c r="H71" s="8" t="s">
        <v>209</v>
      </c>
      <c r="I71" s="8" t="s">
        <v>210</v>
      </c>
      <c r="J71" s="8" t="s">
        <v>417</v>
      </c>
    </row>
    <row r="72" spans="1:10" hidden="1" x14ac:dyDescent="0.45">
      <c r="A72" t="s">
        <v>65</v>
      </c>
      <c r="B72" t="s">
        <v>65</v>
      </c>
      <c r="D72" t="str">
        <f>IF(A72='PrototypeData-logprob'!A72,".","N")</f>
        <v>.</v>
      </c>
      <c r="E72" t="str">
        <f t="shared" si="1"/>
        <v>.</v>
      </c>
      <c r="H72" s="8" t="s">
        <v>211</v>
      </c>
      <c r="I72" s="8" t="s">
        <v>212</v>
      </c>
      <c r="J72" s="8" t="s">
        <v>427</v>
      </c>
    </row>
    <row r="73" spans="1:10" hidden="1" x14ac:dyDescent="0.45">
      <c r="A73" t="s">
        <v>61</v>
      </c>
      <c r="B73" t="s">
        <v>61</v>
      </c>
      <c r="D73" t="str">
        <f>IF(A73='PrototypeData-logprob'!A73,".","N")</f>
        <v>.</v>
      </c>
      <c r="E73" t="str">
        <f t="shared" si="1"/>
        <v>.</v>
      </c>
      <c r="H73" s="8" t="s">
        <v>213</v>
      </c>
      <c r="I73" s="8" t="s">
        <v>214</v>
      </c>
      <c r="J73" s="8" t="s">
        <v>416</v>
      </c>
    </row>
    <row r="74" spans="1:10" hidden="1" x14ac:dyDescent="0.45">
      <c r="A74" t="s">
        <v>57</v>
      </c>
      <c r="B74" t="s">
        <v>78</v>
      </c>
      <c r="D74" t="str">
        <f>IF(A74='PrototypeData-logprob'!A74,".","N")</f>
        <v>.</v>
      </c>
      <c r="E74" t="str">
        <f t="shared" si="1"/>
        <v>N</v>
      </c>
      <c r="H74" s="8" t="s">
        <v>215</v>
      </c>
      <c r="I74" s="8" t="s">
        <v>99</v>
      </c>
      <c r="J74" s="8" t="s">
        <v>429</v>
      </c>
    </row>
    <row r="75" spans="1:10" hidden="1" x14ac:dyDescent="0.45">
      <c r="A75" t="s">
        <v>57</v>
      </c>
      <c r="B75" t="s">
        <v>533</v>
      </c>
      <c r="D75" t="str">
        <f>IF(A75='PrototypeData-logprob'!A75,".","N")</f>
        <v>.</v>
      </c>
      <c r="E75" t="str">
        <f t="shared" si="1"/>
        <v>N</v>
      </c>
      <c r="H75" s="8" t="s">
        <v>216</v>
      </c>
      <c r="I75" s="8" t="s">
        <v>99</v>
      </c>
      <c r="J75" s="8" t="s">
        <v>420</v>
      </c>
    </row>
    <row r="76" spans="1:10" hidden="1" x14ac:dyDescent="0.45">
      <c r="A76" t="s">
        <v>79</v>
      </c>
      <c r="B76" t="s">
        <v>79</v>
      </c>
      <c r="D76" t="str">
        <f>IF(A76='PrototypeData-logprob'!A76,".","N")</f>
        <v>.</v>
      </c>
      <c r="E76" t="str">
        <f t="shared" si="1"/>
        <v>.</v>
      </c>
      <c r="H76" s="8" t="s">
        <v>217</v>
      </c>
      <c r="I76" s="8" t="s">
        <v>218</v>
      </c>
      <c r="J76" s="8" t="s">
        <v>434</v>
      </c>
    </row>
    <row r="77" spans="1:10" hidden="1" x14ac:dyDescent="0.45">
      <c r="A77" t="s">
        <v>71</v>
      </c>
      <c r="B77" t="s">
        <v>71</v>
      </c>
      <c r="D77" t="str">
        <f>IF(A77='PrototypeData-logprob'!A77,".","N")</f>
        <v>.</v>
      </c>
      <c r="E77" t="str">
        <f t="shared" si="1"/>
        <v>.</v>
      </c>
      <c r="H77" s="8" t="s">
        <v>219</v>
      </c>
      <c r="I77" s="8" t="s">
        <v>220</v>
      </c>
      <c r="J77" s="8" t="s">
        <v>426</v>
      </c>
    </row>
    <row r="78" spans="1:10" hidden="1" x14ac:dyDescent="0.45">
      <c r="A78" t="s">
        <v>80</v>
      </c>
      <c r="B78" t="s">
        <v>80</v>
      </c>
      <c r="D78" t="str">
        <f>IF(A78='PrototypeData-logprob'!A78,".","N")</f>
        <v>.</v>
      </c>
      <c r="E78" t="str">
        <f t="shared" si="1"/>
        <v>.</v>
      </c>
      <c r="H78" s="8" t="s">
        <v>221</v>
      </c>
      <c r="I78" s="8" t="s">
        <v>222</v>
      </c>
      <c r="J78" s="8" t="s">
        <v>429</v>
      </c>
    </row>
    <row r="79" spans="1:10" hidden="1" x14ac:dyDescent="0.45">
      <c r="A79" t="s">
        <v>78</v>
      </c>
      <c r="B79" t="s">
        <v>78</v>
      </c>
      <c r="D79" t="str">
        <f>IF(A79='PrototypeData-logprob'!A79,".","N")</f>
        <v>N</v>
      </c>
      <c r="E79" t="str">
        <f t="shared" si="1"/>
        <v>.</v>
      </c>
      <c r="H79" s="8" t="s">
        <v>223</v>
      </c>
      <c r="I79" s="8" t="s">
        <v>224</v>
      </c>
      <c r="J79" s="8" t="s">
        <v>429</v>
      </c>
    </row>
    <row r="80" spans="1:10" hidden="1" x14ac:dyDescent="0.45">
      <c r="A80" t="s">
        <v>81</v>
      </c>
      <c r="B80" t="s">
        <v>81</v>
      </c>
      <c r="D80" t="str">
        <f>IF(A80='PrototypeData-logprob'!A80,".","N")</f>
        <v>N</v>
      </c>
      <c r="E80" t="str">
        <f t="shared" si="1"/>
        <v>.</v>
      </c>
      <c r="H80" s="8" t="s">
        <v>225</v>
      </c>
      <c r="I80" s="8" t="s">
        <v>226</v>
      </c>
      <c r="J80" s="8" t="s">
        <v>429</v>
      </c>
    </row>
    <row r="81" spans="1:10" hidden="1" x14ac:dyDescent="0.45">
      <c r="A81" t="s">
        <v>19</v>
      </c>
      <c r="B81" t="s">
        <v>62</v>
      </c>
      <c r="D81" t="str">
        <f>IF(A81='PrototypeData-logprob'!A81,".","N")</f>
        <v>.</v>
      </c>
      <c r="E81" t="str">
        <f t="shared" si="1"/>
        <v>N</v>
      </c>
      <c r="H81" s="8" t="s">
        <v>227</v>
      </c>
      <c r="I81" s="8" t="s">
        <v>228</v>
      </c>
      <c r="J81" s="8" t="s">
        <v>417</v>
      </c>
    </row>
    <row r="82" spans="1:10" hidden="1" x14ac:dyDescent="0.45">
      <c r="A82" t="s">
        <v>19</v>
      </c>
      <c r="B82" t="s">
        <v>87</v>
      </c>
      <c r="D82" t="str">
        <f>IF(A82='PrototypeData-logprob'!A82,".","N")</f>
        <v>.</v>
      </c>
      <c r="E82" t="str">
        <f t="shared" si="1"/>
        <v>N</v>
      </c>
      <c r="H82" s="8" t="s">
        <v>229</v>
      </c>
      <c r="I82" s="8" t="s">
        <v>230</v>
      </c>
      <c r="J82" s="8" t="s">
        <v>420</v>
      </c>
    </row>
    <row r="83" spans="1:10" hidden="1" x14ac:dyDescent="0.45">
      <c r="A83" t="s">
        <v>19</v>
      </c>
      <c r="B83" t="s">
        <v>64</v>
      </c>
      <c r="D83" t="str">
        <f>IF(A83='PrototypeData-logprob'!A83,".","N")</f>
        <v>.</v>
      </c>
      <c r="E83" t="str">
        <f t="shared" si="1"/>
        <v>N</v>
      </c>
      <c r="H83" s="8" t="s">
        <v>231</v>
      </c>
      <c r="I83" s="8" t="s">
        <v>232</v>
      </c>
      <c r="J83" s="8" t="s">
        <v>419</v>
      </c>
    </row>
    <row r="84" spans="1:10" hidden="1" x14ac:dyDescent="0.45">
      <c r="A84" t="s">
        <v>19</v>
      </c>
      <c r="B84" t="s">
        <v>533</v>
      </c>
      <c r="D84" t="str">
        <f>IF(A84='PrototypeData-logprob'!A84,".","N")</f>
        <v>.</v>
      </c>
      <c r="E84" t="str">
        <f t="shared" si="1"/>
        <v>N</v>
      </c>
      <c r="H84" s="8" t="s">
        <v>233</v>
      </c>
      <c r="I84" s="8" t="s">
        <v>234</v>
      </c>
      <c r="J84" s="8" t="s">
        <v>425</v>
      </c>
    </row>
    <row r="85" spans="1:10" hidden="1" x14ac:dyDescent="0.45">
      <c r="A85" t="s">
        <v>57</v>
      </c>
      <c r="B85" t="s">
        <v>76</v>
      </c>
      <c r="D85" t="str">
        <f>IF(A85='PrototypeData-logprob'!A85,".","N")</f>
        <v>.</v>
      </c>
      <c r="E85" t="str">
        <f t="shared" si="1"/>
        <v>N</v>
      </c>
      <c r="H85" s="8" t="s">
        <v>235</v>
      </c>
      <c r="I85" s="8" t="s">
        <v>99</v>
      </c>
      <c r="J85" s="8" t="s">
        <v>428</v>
      </c>
    </row>
    <row r="86" spans="1:10" hidden="1" x14ac:dyDescent="0.45">
      <c r="A86" t="s">
        <v>77</v>
      </c>
      <c r="B86" t="s">
        <v>77</v>
      </c>
      <c r="D86" t="str">
        <f>IF(A86='PrototypeData-logprob'!A86,".","N")</f>
        <v>.</v>
      </c>
      <c r="E86" t="str">
        <f t="shared" si="1"/>
        <v>.</v>
      </c>
      <c r="H86" s="8" t="s">
        <v>236</v>
      </c>
      <c r="I86" s="8" t="s">
        <v>237</v>
      </c>
      <c r="J86" s="8" t="s">
        <v>422</v>
      </c>
    </row>
    <row r="87" spans="1:10" hidden="1" x14ac:dyDescent="0.45">
      <c r="A87" t="s">
        <v>19</v>
      </c>
      <c r="B87" t="s">
        <v>533</v>
      </c>
      <c r="D87" t="str">
        <f>IF(A87='PrototypeData-logprob'!A87,".","N")</f>
        <v>.</v>
      </c>
      <c r="E87" t="str">
        <f t="shared" si="1"/>
        <v>N</v>
      </c>
      <c r="H87" s="8" t="s">
        <v>238</v>
      </c>
      <c r="I87" s="8" t="s">
        <v>239</v>
      </c>
      <c r="J87" s="8" t="s">
        <v>435</v>
      </c>
    </row>
    <row r="88" spans="1:10" hidden="1" x14ac:dyDescent="0.45">
      <c r="A88" t="s">
        <v>57</v>
      </c>
      <c r="B88" t="s">
        <v>533</v>
      </c>
      <c r="D88" t="str">
        <f>IF(A88='PrototypeData-logprob'!A88,".","N")</f>
        <v>.</v>
      </c>
      <c r="E88" t="str">
        <f t="shared" si="1"/>
        <v>N</v>
      </c>
      <c r="H88" s="8" t="s">
        <v>240</v>
      </c>
      <c r="I88" s="8" t="s">
        <v>99</v>
      </c>
      <c r="J88" s="8" t="s">
        <v>421</v>
      </c>
    </row>
    <row r="89" spans="1:10" hidden="1" x14ac:dyDescent="0.45">
      <c r="A89" t="s">
        <v>19</v>
      </c>
      <c r="B89" t="s">
        <v>533</v>
      </c>
      <c r="D89" t="str">
        <f>IF(A89='PrototypeData-logprob'!A89,".","N")</f>
        <v>.</v>
      </c>
      <c r="E89" t="str">
        <f t="shared" si="1"/>
        <v>N</v>
      </c>
      <c r="H89" s="8" t="s">
        <v>241</v>
      </c>
      <c r="I89" s="8" t="s">
        <v>242</v>
      </c>
      <c r="J89" s="8" t="s">
        <v>418</v>
      </c>
    </row>
    <row r="90" spans="1:10" hidden="1" x14ac:dyDescent="0.45">
      <c r="A90" t="s">
        <v>19</v>
      </c>
      <c r="B90" t="s">
        <v>533</v>
      </c>
      <c r="D90" t="str">
        <f>IF(A90='PrototypeData-logprob'!A90,".","N")</f>
        <v>.</v>
      </c>
      <c r="E90" t="str">
        <f t="shared" si="1"/>
        <v>N</v>
      </c>
      <c r="H90" s="8" t="s">
        <v>243</v>
      </c>
      <c r="I90" s="8" t="s">
        <v>244</v>
      </c>
      <c r="J90" s="8" t="s">
        <v>433</v>
      </c>
    </row>
    <row r="91" spans="1:10" hidden="1" x14ac:dyDescent="0.45">
      <c r="A91" t="s">
        <v>19</v>
      </c>
      <c r="B91" t="s">
        <v>533</v>
      </c>
      <c r="D91" t="str">
        <f>IF(A91='PrototypeData-logprob'!A91,".","N")</f>
        <v>.</v>
      </c>
      <c r="E91" t="str">
        <f t="shared" si="1"/>
        <v>N</v>
      </c>
      <c r="H91" s="8" t="s">
        <v>245</v>
      </c>
      <c r="I91" s="8" t="s">
        <v>246</v>
      </c>
      <c r="J91" s="8" t="s">
        <v>420</v>
      </c>
    </row>
    <row r="92" spans="1:10" hidden="1" x14ac:dyDescent="0.45">
      <c r="A92" t="s">
        <v>61</v>
      </c>
      <c r="B92" t="s">
        <v>61</v>
      </c>
      <c r="D92" t="str">
        <f>IF(A92='PrototypeData-logprob'!A92,".","N")</f>
        <v>.</v>
      </c>
      <c r="E92" t="str">
        <f t="shared" si="1"/>
        <v>.</v>
      </c>
      <c r="H92" s="8" t="s">
        <v>247</v>
      </c>
      <c r="I92" s="8" t="s">
        <v>248</v>
      </c>
      <c r="J92" s="8" t="s">
        <v>416</v>
      </c>
    </row>
    <row r="93" spans="1:10" hidden="1" x14ac:dyDescent="0.45">
      <c r="A93" t="s">
        <v>19</v>
      </c>
      <c r="B93" t="s">
        <v>533</v>
      </c>
      <c r="D93" t="str">
        <f>IF(A93='PrototypeData-logprob'!A93,".","N")</f>
        <v>.</v>
      </c>
      <c r="E93" t="str">
        <f t="shared" si="1"/>
        <v>N</v>
      </c>
      <c r="H93" s="8" t="s">
        <v>249</v>
      </c>
      <c r="I93" s="8" t="s">
        <v>250</v>
      </c>
      <c r="J93" s="8" t="s">
        <v>420</v>
      </c>
    </row>
    <row r="94" spans="1:10" hidden="1" x14ac:dyDescent="0.45">
      <c r="A94" t="s">
        <v>61</v>
      </c>
      <c r="B94" t="s">
        <v>61</v>
      </c>
      <c r="D94" t="str">
        <f>IF(A94='PrototypeData-logprob'!A94,".","N")</f>
        <v>.</v>
      </c>
      <c r="E94" t="str">
        <f t="shared" si="1"/>
        <v>.</v>
      </c>
      <c r="H94" s="8" t="s">
        <v>251</v>
      </c>
      <c r="I94" s="8" t="s">
        <v>252</v>
      </c>
      <c r="J94" s="8" t="s">
        <v>416</v>
      </c>
    </row>
    <row r="95" spans="1:10" hidden="1" x14ac:dyDescent="0.45">
      <c r="A95" t="s">
        <v>57</v>
      </c>
      <c r="B95" t="s">
        <v>533</v>
      </c>
      <c r="D95" t="str">
        <f>IF(A95='PrototypeData-logprob'!A95,".","N")</f>
        <v>.</v>
      </c>
      <c r="E95" t="str">
        <f t="shared" si="1"/>
        <v>N</v>
      </c>
      <c r="H95" s="8" t="s">
        <v>253</v>
      </c>
      <c r="I95" s="8" t="s">
        <v>254</v>
      </c>
      <c r="J95" s="8" t="s">
        <v>420</v>
      </c>
    </row>
    <row r="96" spans="1:10" hidden="1" x14ac:dyDescent="0.45">
      <c r="A96" t="s">
        <v>19</v>
      </c>
      <c r="B96" t="s">
        <v>62</v>
      </c>
      <c r="D96" t="str">
        <f>IF(A96='PrototypeData-logprob'!A96,".","N")</f>
        <v>.</v>
      </c>
      <c r="E96" t="str">
        <f t="shared" si="1"/>
        <v>N</v>
      </c>
      <c r="H96" s="8" t="s">
        <v>255</v>
      </c>
      <c r="I96" s="8" t="s">
        <v>256</v>
      </c>
      <c r="J96" s="8" t="s">
        <v>417</v>
      </c>
    </row>
    <row r="97" spans="1:10" hidden="1" x14ac:dyDescent="0.45">
      <c r="A97" t="s">
        <v>19</v>
      </c>
      <c r="B97" t="s">
        <v>62</v>
      </c>
      <c r="D97" t="str">
        <f>IF(A97='PrototypeData-logprob'!A97,".","N")</f>
        <v>.</v>
      </c>
      <c r="E97" t="str">
        <f t="shared" si="1"/>
        <v>N</v>
      </c>
      <c r="H97" s="8" t="s">
        <v>257</v>
      </c>
      <c r="I97" s="8" t="s">
        <v>258</v>
      </c>
      <c r="J97" s="8" t="s">
        <v>417</v>
      </c>
    </row>
    <row r="98" spans="1:10" hidden="1" x14ac:dyDescent="0.45">
      <c r="A98" t="s">
        <v>57</v>
      </c>
      <c r="B98" t="s">
        <v>533</v>
      </c>
      <c r="D98" t="str">
        <f>IF(A98='PrototypeData-logprob'!A98,".","N")</f>
        <v>.</v>
      </c>
      <c r="E98" t="str">
        <f t="shared" si="1"/>
        <v>N</v>
      </c>
      <c r="H98" s="8" t="s">
        <v>259</v>
      </c>
      <c r="I98" s="8" t="s">
        <v>99</v>
      </c>
      <c r="J98" s="8" t="s">
        <v>420</v>
      </c>
    </row>
    <row r="99" spans="1:10" hidden="1" x14ac:dyDescent="0.45">
      <c r="A99" t="s">
        <v>57</v>
      </c>
      <c r="B99" t="s">
        <v>533</v>
      </c>
      <c r="D99" t="str">
        <f>IF(A99='PrototypeData-logprob'!A99,".","N")</f>
        <v>.</v>
      </c>
      <c r="E99" t="str">
        <f t="shared" si="1"/>
        <v>N</v>
      </c>
      <c r="H99" s="8" t="s">
        <v>260</v>
      </c>
      <c r="I99" s="8" t="s">
        <v>99</v>
      </c>
      <c r="J99" s="8" t="s">
        <v>420</v>
      </c>
    </row>
    <row r="100" spans="1:10" hidden="1" x14ac:dyDescent="0.45">
      <c r="A100" t="s">
        <v>19</v>
      </c>
      <c r="B100" t="s">
        <v>533</v>
      </c>
      <c r="D100" t="str">
        <f>IF(A100='PrototypeData-logprob'!A100,".","N")</f>
        <v>.</v>
      </c>
      <c r="E100" t="str">
        <f t="shared" si="1"/>
        <v>N</v>
      </c>
      <c r="H100" s="8" t="s">
        <v>261</v>
      </c>
      <c r="I100" s="8" t="s">
        <v>262</v>
      </c>
      <c r="J100" s="8" t="s">
        <v>436</v>
      </c>
    </row>
    <row r="101" spans="1:10" hidden="1" x14ac:dyDescent="0.45">
      <c r="A101" t="s">
        <v>19</v>
      </c>
      <c r="B101" t="s">
        <v>533</v>
      </c>
      <c r="D101" t="str">
        <f>IF(A101='PrototypeData-logprob'!A101,".","N")</f>
        <v>.</v>
      </c>
      <c r="E101" t="str">
        <f t="shared" si="1"/>
        <v>N</v>
      </c>
      <c r="H101" s="8" t="s">
        <v>263</v>
      </c>
      <c r="I101" s="8" t="s">
        <v>264</v>
      </c>
      <c r="J101" s="8" t="s">
        <v>420</v>
      </c>
    </row>
    <row r="102" spans="1:10" hidden="1" x14ac:dyDescent="0.45">
      <c r="A102" t="s">
        <v>75</v>
      </c>
      <c r="B102" t="s">
        <v>75</v>
      </c>
      <c r="D102" t="str">
        <f>IF(A102='PrototypeData-logprob'!A102,".","N")</f>
        <v>.</v>
      </c>
      <c r="E102" t="str">
        <f t="shared" si="1"/>
        <v>.</v>
      </c>
      <c r="H102" s="8" t="s">
        <v>265</v>
      </c>
      <c r="I102" s="8" t="s">
        <v>266</v>
      </c>
      <c r="J102" s="8" t="s">
        <v>429</v>
      </c>
    </row>
    <row r="103" spans="1:10" hidden="1" x14ac:dyDescent="0.45">
      <c r="A103" t="s">
        <v>57</v>
      </c>
      <c r="B103" t="s">
        <v>533</v>
      </c>
      <c r="D103" t="str">
        <f>IF(A103='PrototypeData-logprob'!A103,".","N")</f>
        <v>.</v>
      </c>
      <c r="E103" t="str">
        <f t="shared" si="1"/>
        <v>N</v>
      </c>
      <c r="H103" s="8" t="s">
        <v>267</v>
      </c>
      <c r="I103" s="8" t="s">
        <v>99</v>
      </c>
      <c r="J103" s="8" t="s">
        <v>420</v>
      </c>
    </row>
    <row r="104" spans="1:10" hidden="1" x14ac:dyDescent="0.45">
      <c r="A104" t="s">
        <v>57</v>
      </c>
      <c r="B104" t="s">
        <v>533</v>
      </c>
      <c r="D104" t="str">
        <f>IF(A104='PrototypeData-logprob'!A104,".","N")</f>
        <v>.</v>
      </c>
      <c r="E104" t="str">
        <f t="shared" si="1"/>
        <v>N</v>
      </c>
      <c r="H104" s="8" t="s">
        <v>268</v>
      </c>
      <c r="I104" s="8" t="s">
        <v>99</v>
      </c>
      <c r="J104" s="8" t="s">
        <v>420</v>
      </c>
    </row>
    <row r="105" spans="1:10" hidden="1" x14ac:dyDescent="0.45">
      <c r="A105" t="s">
        <v>61</v>
      </c>
      <c r="B105" t="s">
        <v>61</v>
      </c>
      <c r="D105" t="str">
        <f>IF(A105='PrototypeData-logprob'!A105,".","N")</f>
        <v>.</v>
      </c>
      <c r="E105" t="str">
        <f t="shared" si="1"/>
        <v>.</v>
      </c>
      <c r="H105" s="8" t="s">
        <v>269</v>
      </c>
      <c r="I105" s="8" t="s">
        <v>270</v>
      </c>
      <c r="J105" s="8" t="s">
        <v>416</v>
      </c>
    </row>
    <row r="106" spans="1:10" hidden="1" x14ac:dyDescent="0.45">
      <c r="A106" t="s">
        <v>57</v>
      </c>
      <c r="B106" t="s">
        <v>533</v>
      </c>
      <c r="D106" t="str">
        <f>IF(A106='PrototypeData-logprob'!A106,".","N")</f>
        <v>.</v>
      </c>
      <c r="E106" t="str">
        <f t="shared" si="1"/>
        <v>N</v>
      </c>
      <c r="H106" s="8" t="s">
        <v>271</v>
      </c>
      <c r="I106" s="8" t="s">
        <v>99</v>
      </c>
      <c r="J106" s="8" t="s">
        <v>420</v>
      </c>
    </row>
    <row r="107" spans="1:10" hidden="1" x14ac:dyDescent="0.45">
      <c r="A107" t="s">
        <v>74</v>
      </c>
      <c r="B107" t="s">
        <v>74</v>
      </c>
      <c r="D107" t="str">
        <f>IF(A107='PrototypeData-logprob'!A107,".","N")</f>
        <v>.</v>
      </c>
      <c r="E107" t="str">
        <f t="shared" si="1"/>
        <v>.</v>
      </c>
      <c r="H107" s="8" t="s">
        <v>272</v>
      </c>
      <c r="I107" s="8" t="s">
        <v>273</v>
      </c>
      <c r="J107" s="8" t="s">
        <v>426</v>
      </c>
    </row>
    <row r="108" spans="1:10" hidden="1" x14ac:dyDescent="0.45">
      <c r="A108" t="s">
        <v>19</v>
      </c>
      <c r="B108" t="s">
        <v>533</v>
      </c>
      <c r="D108" t="str">
        <f>IF(A108='PrototypeData-logprob'!A108,".","N")</f>
        <v>.</v>
      </c>
      <c r="E108" t="str">
        <f t="shared" si="1"/>
        <v>N</v>
      </c>
      <c r="H108" s="8" t="s">
        <v>274</v>
      </c>
      <c r="I108" s="8" t="s">
        <v>99</v>
      </c>
      <c r="J108" s="8" t="s">
        <v>421</v>
      </c>
    </row>
    <row r="109" spans="1:10" hidden="1" x14ac:dyDescent="0.45">
      <c r="A109" t="s">
        <v>74</v>
      </c>
      <c r="B109" t="s">
        <v>74</v>
      </c>
      <c r="D109" t="str">
        <f>IF(A109='PrototypeData-logprob'!A109,".","N")</f>
        <v>.</v>
      </c>
      <c r="E109" t="str">
        <f t="shared" si="1"/>
        <v>.</v>
      </c>
      <c r="H109" s="8" t="s">
        <v>275</v>
      </c>
      <c r="I109" s="8" t="s">
        <v>276</v>
      </c>
      <c r="J109" s="8" t="s">
        <v>426</v>
      </c>
    </row>
    <row r="110" spans="1:10" hidden="1" x14ac:dyDescent="0.45">
      <c r="A110" t="s">
        <v>19</v>
      </c>
      <c r="B110" t="s">
        <v>533</v>
      </c>
      <c r="D110" t="str">
        <f>IF(A110='PrototypeData-logprob'!A110,".","N")</f>
        <v>.</v>
      </c>
      <c r="E110" t="str">
        <f t="shared" si="1"/>
        <v>N</v>
      </c>
      <c r="H110" s="8" t="s">
        <v>277</v>
      </c>
      <c r="I110" s="8" t="s">
        <v>278</v>
      </c>
      <c r="J110" s="8" t="s">
        <v>437</v>
      </c>
    </row>
    <row r="111" spans="1:10" x14ac:dyDescent="0.45">
      <c r="A111" t="s">
        <v>78</v>
      </c>
      <c r="B111" t="s">
        <v>81</v>
      </c>
      <c r="D111" t="str">
        <f>IF(A111='PrototypeData-logprob'!A111,".","N")</f>
        <v>.</v>
      </c>
      <c r="E111" t="str">
        <f t="shared" si="1"/>
        <v>N</v>
      </c>
      <c r="F111" s="8" t="s">
        <v>514</v>
      </c>
      <c r="H111" s="8" t="s">
        <v>279</v>
      </c>
      <c r="I111" s="8" t="s">
        <v>99</v>
      </c>
      <c r="J111" s="8" t="s">
        <v>429</v>
      </c>
    </row>
    <row r="112" spans="1:10" hidden="1" x14ac:dyDescent="0.45">
      <c r="A112" t="s">
        <v>19</v>
      </c>
      <c r="B112" t="s">
        <v>533</v>
      </c>
      <c r="D112" t="str">
        <f>IF(A112='PrototypeData-logprob'!A112,".","N")</f>
        <v>.</v>
      </c>
      <c r="E112" t="str">
        <f t="shared" si="1"/>
        <v>N</v>
      </c>
      <c r="H112" s="8" t="s">
        <v>280</v>
      </c>
      <c r="I112" s="8" t="s">
        <v>281</v>
      </c>
      <c r="J112" s="8" t="s">
        <v>418</v>
      </c>
    </row>
    <row r="113" spans="1:10" hidden="1" x14ac:dyDescent="0.45">
      <c r="A113" t="s">
        <v>9</v>
      </c>
      <c r="B113" t="s">
        <v>68</v>
      </c>
      <c r="D113" t="str">
        <f>IF(A113='PrototypeData-logprob'!A113,".","N")</f>
        <v>.</v>
      </c>
      <c r="E113" t="str">
        <f t="shared" si="1"/>
        <v>N</v>
      </c>
      <c r="H113" s="8" t="s">
        <v>282</v>
      </c>
      <c r="I113" s="8" t="s">
        <v>99</v>
      </c>
      <c r="J113" s="8" t="s">
        <v>420</v>
      </c>
    </row>
    <row r="114" spans="1:10" hidden="1" x14ac:dyDescent="0.45">
      <c r="A114" t="s">
        <v>57</v>
      </c>
      <c r="B114" t="s">
        <v>533</v>
      </c>
      <c r="D114" t="str">
        <f>IF(A114='PrototypeData-logprob'!A114,".","N")</f>
        <v>.</v>
      </c>
      <c r="E114" t="str">
        <f t="shared" si="1"/>
        <v>N</v>
      </c>
      <c r="H114" s="8" t="s">
        <v>283</v>
      </c>
      <c r="I114" s="8" t="s">
        <v>99</v>
      </c>
      <c r="J114" s="8" t="s">
        <v>420</v>
      </c>
    </row>
    <row r="115" spans="1:10" hidden="1" x14ac:dyDescent="0.45">
      <c r="A115" t="s">
        <v>57</v>
      </c>
      <c r="B115" t="s">
        <v>79</v>
      </c>
      <c r="D115" t="str">
        <f>IF(A115='PrototypeData-logprob'!A115,".","N")</f>
        <v>.</v>
      </c>
      <c r="E115" t="str">
        <f t="shared" si="1"/>
        <v>N</v>
      </c>
      <c r="H115" s="8" t="s">
        <v>284</v>
      </c>
      <c r="I115" s="8" t="s">
        <v>99</v>
      </c>
      <c r="J115" s="8" t="s">
        <v>434</v>
      </c>
    </row>
    <row r="116" spans="1:10" hidden="1" x14ac:dyDescent="0.45">
      <c r="A116" t="s">
        <v>57</v>
      </c>
      <c r="B116" t="s">
        <v>533</v>
      </c>
      <c r="D116" t="str">
        <f>IF(A116='PrototypeData-logprob'!A116,".","N")</f>
        <v>.</v>
      </c>
      <c r="E116" t="str">
        <f t="shared" si="1"/>
        <v>N</v>
      </c>
      <c r="H116" s="8" t="s">
        <v>285</v>
      </c>
      <c r="I116" s="8" t="s">
        <v>99</v>
      </c>
      <c r="J116" s="8" t="s">
        <v>418</v>
      </c>
    </row>
    <row r="117" spans="1:10" hidden="1" x14ac:dyDescent="0.45">
      <c r="A117" t="s">
        <v>75</v>
      </c>
      <c r="B117" t="s">
        <v>75</v>
      </c>
      <c r="D117" t="str">
        <f>IF(A117='PrototypeData-logprob'!A117,".","N")</f>
        <v>.</v>
      </c>
      <c r="E117" t="str">
        <f t="shared" si="1"/>
        <v>.</v>
      </c>
      <c r="H117" s="8" t="s">
        <v>286</v>
      </c>
      <c r="I117" s="8" t="s">
        <v>287</v>
      </c>
      <c r="J117" s="8" t="s">
        <v>429</v>
      </c>
    </row>
    <row r="118" spans="1:10" hidden="1" x14ac:dyDescent="0.45">
      <c r="A118" t="s">
        <v>9</v>
      </c>
      <c r="B118" t="s">
        <v>533</v>
      </c>
      <c r="D118" t="str">
        <f>IF(A118='PrototypeData-logprob'!A118,".","N")</f>
        <v>.</v>
      </c>
      <c r="E118" t="str">
        <f t="shared" si="1"/>
        <v>N</v>
      </c>
      <c r="H118" s="8" t="s">
        <v>288</v>
      </c>
      <c r="I118" s="8" t="s">
        <v>289</v>
      </c>
      <c r="J118" s="8" t="s">
        <v>420</v>
      </c>
    </row>
    <row r="119" spans="1:10" hidden="1" x14ac:dyDescent="0.45">
      <c r="A119" t="s">
        <v>57</v>
      </c>
      <c r="B119" t="s">
        <v>533</v>
      </c>
      <c r="D119" t="str">
        <f>IF(A119='PrototypeData-logprob'!A119,".","N")</f>
        <v>.</v>
      </c>
      <c r="E119" t="str">
        <f t="shared" si="1"/>
        <v>N</v>
      </c>
      <c r="H119" s="8" t="s">
        <v>290</v>
      </c>
      <c r="I119" s="8" t="s">
        <v>99</v>
      </c>
      <c r="J119" s="8" t="s">
        <v>420</v>
      </c>
    </row>
    <row r="120" spans="1:10" hidden="1" x14ac:dyDescent="0.45">
      <c r="A120" t="s">
        <v>19</v>
      </c>
      <c r="B120" t="s">
        <v>533</v>
      </c>
      <c r="D120" t="str">
        <f>IF(A120='PrototypeData-logprob'!A120,".","N")</f>
        <v>.</v>
      </c>
      <c r="E120" t="str">
        <f t="shared" si="1"/>
        <v>N</v>
      </c>
      <c r="H120" s="8" t="s">
        <v>291</v>
      </c>
      <c r="I120" s="8" t="s">
        <v>292</v>
      </c>
      <c r="J120" s="8" t="s">
        <v>436</v>
      </c>
    </row>
    <row r="121" spans="1:10" hidden="1" x14ac:dyDescent="0.45">
      <c r="A121" t="s">
        <v>57</v>
      </c>
      <c r="B121" t="s">
        <v>533</v>
      </c>
      <c r="D121" t="str">
        <f>IF(A121='PrototypeData-logprob'!A121,".","N")</f>
        <v>.</v>
      </c>
      <c r="E121" t="str">
        <f t="shared" si="1"/>
        <v>N</v>
      </c>
      <c r="H121" s="8" t="s">
        <v>293</v>
      </c>
      <c r="I121" s="8" t="s">
        <v>99</v>
      </c>
      <c r="J121" s="8" t="s">
        <v>420</v>
      </c>
    </row>
    <row r="122" spans="1:10" hidden="1" x14ac:dyDescent="0.45">
      <c r="A122" t="s">
        <v>84</v>
      </c>
      <c r="B122" t="s">
        <v>84</v>
      </c>
      <c r="D122" t="str">
        <f>IF(A122='PrototypeData-logprob'!A122,".","N")</f>
        <v>.</v>
      </c>
      <c r="E122" t="str">
        <f t="shared" si="1"/>
        <v>.</v>
      </c>
      <c r="H122" s="8" t="s">
        <v>294</v>
      </c>
      <c r="I122" s="8" t="s">
        <v>295</v>
      </c>
      <c r="J122" s="8" t="s">
        <v>438</v>
      </c>
    </row>
    <row r="123" spans="1:10" hidden="1" x14ac:dyDescent="0.45">
      <c r="A123" t="s">
        <v>76</v>
      </c>
      <c r="B123" t="s">
        <v>76</v>
      </c>
      <c r="D123" t="str">
        <f>IF(A123='PrototypeData-logprob'!A123,".","N")</f>
        <v>.</v>
      </c>
      <c r="E123" t="str">
        <f t="shared" si="1"/>
        <v>.</v>
      </c>
      <c r="H123" s="8" t="s">
        <v>296</v>
      </c>
      <c r="I123" s="8" t="s">
        <v>297</v>
      </c>
      <c r="J123" s="8" t="s">
        <v>439</v>
      </c>
    </row>
    <row r="124" spans="1:10" hidden="1" x14ac:dyDescent="0.45">
      <c r="A124" t="s">
        <v>74</v>
      </c>
      <c r="B124" t="s">
        <v>74</v>
      </c>
      <c r="D124" t="str">
        <f>IF(A124='PrototypeData-logprob'!A124,".","N")</f>
        <v>.</v>
      </c>
      <c r="E124" t="str">
        <f t="shared" si="1"/>
        <v>.</v>
      </c>
      <c r="H124" s="8" t="s">
        <v>298</v>
      </c>
      <c r="I124" s="8" t="s">
        <v>299</v>
      </c>
      <c r="J124" s="8" t="s">
        <v>426</v>
      </c>
    </row>
    <row r="125" spans="1:10" hidden="1" x14ac:dyDescent="0.45">
      <c r="A125" t="s">
        <v>57</v>
      </c>
      <c r="B125" t="s">
        <v>533</v>
      </c>
      <c r="D125" t="str">
        <f>IF(A125='PrototypeData-logprob'!A125,".","N")</f>
        <v>.</v>
      </c>
      <c r="E125" t="str">
        <f t="shared" si="1"/>
        <v>N</v>
      </c>
      <c r="H125" s="8" t="s">
        <v>300</v>
      </c>
      <c r="I125" s="8" t="s">
        <v>99</v>
      </c>
      <c r="J125" s="8" t="s">
        <v>420</v>
      </c>
    </row>
    <row r="126" spans="1:10" hidden="1" x14ac:dyDescent="0.45">
      <c r="A126" t="s">
        <v>19</v>
      </c>
      <c r="B126" t="s">
        <v>87</v>
      </c>
      <c r="D126" t="str">
        <f>IF(A126='PrototypeData-logprob'!A126,".","N")</f>
        <v>.</v>
      </c>
      <c r="E126" t="str">
        <f t="shared" si="1"/>
        <v>N</v>
      </c>
      <c r="H126" s="8" t="s">
        <v>301</v>
      </c>
      <c r="I126" s="8" t="s">
        <v>302</v>
      </c>
      <c r="J126" s="8" t="s">
        <v>420</v>
      </c>
    </row>
    <row r="127" spans="1:10" hidden="1" x14ac:dyDescent="0.45">
      <c r="A127" t="s">
        <v>19</v>
      </c>
      <c r="B127" t="s">
        <v>66</v>
      </c>
      <c r="D127" t="str">
        <f>IF(A127='PrototypeData-logprob'!A127,".","N")</f>
        <v>.</v>
      </c>
      <c r="E127" t="str">
        <f t="shared" si="1"/>
        <v>N</v>
      </c>
      <c r="H127" s="8" t="s">
        <v>303</v>
      </c>
      <c r="I127" s="8" t="s">
        <v>304</v>
      </c>
      <c r="J127" s="8" t="s">
        <v>421</v>
      </c>
    </row>
    <row r="128" spans="1:10" hidden="1" x14ac:dyDescent="0.45">
      <c r="A128" t="s">
        <v>19</v>
      </c>
      <c r="B128" t="s">
        <v>79</v>
      </c>
      <c r="D128" t="str">
        <f>IF(A128='PrototypeData-logprob'!A128,".","N")</f>
        <v>.</v>
      </c>
      <c r="E128" t="str">
        <f t="shared" si="1"/>
        <v>N</v>
      </c>
      <c r="H128" s="8" t="s">
        <v>305</v>
      </c>
      <c r="I128" s="8" t="s">
        <v>306</v>
      </c>
      <c r="J128" s="8" t="s">
        <v>434</v>
      </c>
    </row>
    <row r="129" spans="1:10" hidden="1" x14ac:dyDescent="0.45">
      <c r="A129" t="s">
        <v>61</v>
      </c>
      <c r="B129" t="s">
        <v>61</v>
      </c>
      <c r="D129" t="str">
        <f>IF(A129='PrototypeData-logprob'!A129,".","N")</f>
        <v>.</v>
      </c>
      <c r="E129" t="str">
        <f t="shared" si="1"/>
        <v>.</v>
      </c>
      <c r="H129" s="8" t="s">
        <v>307</v>
      </c>
      <c r="I129" s="8" t="s">
        <v>308</v>
      </c>
      <c r="J129" s="8" t="s">
        <v>416</v>
      </c>
    </row>
    <row r="130" spans="1:10" hidden="1" x14ac:dyDescent="0.45">
      <c r="A130" t="s">
        <v>65</v>
      </c>
      <c r="B130" t="s">
        <v>65</v>
      </c>
      <c r="D130" t="str">
        <f>IF(A130='PrototypeData-logprob'!A130,".","N")</f>
        <v>.</v>
      </c>
      <c r="E130" t="str">
        <f t="shared" si="1"/>
        <v>.</v>
      </c>
      <c r="H130" s="8" t="s">
        <v>309</v>
      </c>
      <c r="I130" s="8" t="s">
        <v>99</v>
      </c>
      <c r="J130" s="8" t="s">
        <v>427</v>
      </c>
    </row>
    <row r="131" spans="1:10" hidden="1" x14ac:dyDescent="0.45">
      <c r="A131" t="s">
        <v>19</v>
      </c>
      <c r="B131" t="s">
        <v>62</v>
      </c>
      <c r="D131" t="str">
        <f>IF(A131='PrototypeData-logprob'!A131,".","N")</f>
        <v>.</v>
      </c>
      <c r="E131" t="str">
        <f t="shared" ref="E131:E194" si="2">IF(A131=B131,".","N")</f>
        <v>N</v>
      </c>
      <c r="H131" s="8" t="s">
        <v>310</v>
      </c>
      <c r="I131" s="8" t="s">
        <v>311</v>
      </c>
      <c r="J131" s="8" t="s">
        <v>417</v>
      </c>
    </row>
    <row r="132" spans="1:10" hidden="1" x14ac:dyDescent="0.45">
      <c r="A132" t="s">
        <v>57</v>
      </c>
      <c r="B132" t="s">
        <v>533</v>
      </c>
      <c r="D132" t="str">
        <f>IF(A132='PrototypeData-logprob'!A132,".","N")</f>
        <v>.</v>
      </c>
      <c r="E132" t="str">
        <f t="shared" si="2"/>
        <v>N</v>
      </c>
      <c r="H132" s="8" t="s">
        <v>312</v>
      </c>
      <c r="I132" s="8" t="s">
        <v>99</v>
      </c>
      <c r="J132" s="8" t="s">
        <v>420</v>
      </c>
    </row>
    <row r="133" spans="1:10" hidden="1" x14ac:dyDescent="0.45">
      <c r="A133" t="s">
        <v>57</v>
      </c>
      <c r="B133" t="s">
        <v>533</v>
      </c>
      <c r="D133" t="str">
        <f>IF(A133='PrototypeData-logprob'!A133,".","N")</f>
        <v>.</v>
      </c>
      <c r="E133" t="str">
        <f t="shared" si="2"/>
        <v>N</v>
      </c>
      <c r="H133" s="8" t="s">
        <v>313</v>
      </c>
      <c r="I133" s="8" t="s">
        <v>99</v>
      </c>
      <c r="J133" s="8" t="s">
        <v>420</v>
      </c>
    </row>
    <row r="134" spans="1:10" hidden="1" x14ac:dyDescent="0.45">
      <c r="A134" t="s">
        <v>9</v>
      </c>
      <c r="B134" t="s">
        <v>71</v>
      </c>
      <c r="D134" t="str">
        <f>IF(A134='PrototypeData-logprob'!A134,".","N")</f>
        <v>.</v>
      </c>
      <c r="E134" t="str">
        <f t="shared" si="2"/>
        <v>N</v>
      </c>
      <c r="H134" s="8" t="s">
        <v>314</v>
      </c>
      <c r="I134" s="8" t="s">
        <v>99</v>
      </c>
      <c r="J134" s="8" t="s">
        <v>434</v>
      </c>
    </row>
    <row r="135" spans="1:10" hidden="1" x14ac:dyDescent="0.45">
      <c r="A135" t="s">
        <v>9</v>
      </c>
      <c r="B135" t="s">
        <v>76</v>
      </c>
      <c r="D135" t="str">
        <f>IF(A135='PrototypeData-logprob'!A135,".","N")</f>
        <v>.</v>
      </c>
      <c r="E135" t="str">
        <f t="shared" si="2"/>
        <v>N</v>
      </c>
      <c r="H135" s="8" t="s">
        <v>315</v>
      </c>
      <c r="I135" s="8" t="s">
        <v>99</v>
      </c>
      <c r="J135" s="8" t="s">
        <v>428</v>
      </c>
    </row>
    <row r="136" spans="1:10" hidden="1" x14ac:dyDescent="0.45">
      <c r="A136" t="s">
        <v>65</v>
      </c>
      <c r="B136" t="s">
        <v>65</v>
      </c>
      <c r="D136" t="str">
        <f>IF(A136='PrototypeData-logprob'!A136,".","N")</f>
        <v>.</v>
      </c>
      <c r="E136" t="str">
        <f t="shared" si="2"/>
        <v>.</v>
      </c>
      <c r="H136" s="8" t="s">
        <v>316</v>
      </c>
      <c r="I136" s="8" t="s">
        <v>317</v>
      </c>
      <c r="J136" s="8" t="s">
        <v>427</v>
      </c>
    </row>
    <row r="137" spans="1:10" hidden="1" x14ac:dyDescent="0.45">
      <c r="A137" t="s">
        <v>19</v>
      </c>
      <c r="B137" t="s">
        <v>62</v>
      </c>
      <c r="D137" t="str">
        <f>IF(A137='PrototypeData-logprob'!A137,".","N")</f>
        <v>.</v>
      </c>
      <c r="E137" t="str">
        <f t="shared" si="2"/>
        <v>N</v>
      </c>
      <c r="H137" s="8" t="s">
        <v>318</v>
      </c>
      <c r="I137" s="8" t="s">
        <v>319</v>
      </c>
      <c r="J137" s="8" t="s">
        <v>417</v>
      </c>
    </row>
    <row r="138" spans="1:10" hidden="1" x14ac:dyDescent="0.45">
      <c r="A138" t="s">
        <v>80</v>
      </c>
      <c r="B138" t="s">
        <v>80</v>
      </c>
      <c r="D138" t="str">
        <f>IF(A138='PrototypeData-logprob'!A138,".","N")</f>
        <v>.</v>
      </c>
      <c r="E138" t="str">
        <f t="shared" si="2"/>
        <v>.</v>
      </c>
      <c r="H138" s="8" t="s">
        <v>320</v>
      </c>
      <c r="I138" s="8" t="s">
        <v>321</v>
      </c>
      <c r="J138" s="8" t="s">
        <v>429</v>
      </c>
    </row>
    <row r="139" spans="1:10" hidden="1" x14ac:dyDescent="0.45">
      <c r="A139" t="s">
        <v>73</v>
      </c>
      <c r="B139" t="s">
        <v>73</v>
      </c>
      <c r="D139" t="str">
        <f>IF(A139='PrototypeData-logprob'!A139,".","N")</f>
        <v>.</v>
      </c>
      <c r="E139" t="str">
        <f t="shared" si="2"/>
        <v>.</v>
      </c>
      <c r="H139" s="8" t="s">
        <v>322</v>
      </c>
      <c r="I139" s="8" t="s">
        <v>99</v>
      </c>
      <c r="J139" s="8" t="s">
        <v>424</v>
      </c>
    </row>
    <row r="140" spans="1:10" hidden="1" x14ac:dyDescent="0.45">
      <c r="A140" t="s">
        <v>61</v>
      </c>
      <c r="B140" t="s">
        <v>61</v>
      </c>
      <c r="D140" t="str">
        <f>IF(A140='PrototypeData-logprob'!A140,".","N")</f>
        <v>.</v>
      </c>
      <c r="E140" t="str">
        <f t="shared" si="2"/>
        <v>.</v>
      </c>
      <c r="H140" s="8" t="s">
        <v>323</v>
      </c>
      <c r="I140" s="8" t="s">
        <v>324</v>
      </c>
      <c r="J140" s="8" t="s">
        <v>416</v>
      </c>
    </row>
    <row r="141" spans="1:10" hidden="1" x14ac:dyDescent="0.45">
      <c r="A141" t="s">
        <v>80</v>
      </c>
      <c r="B141" t="s">
        <v>80</v>
      </c>
      <c r="D141" t="str">
        <f>IF(A141='PrototypeData-logprob'!A141,".","N")</f>
        <v>.</v>
      </c>
      <c r="E141" t="str">
        <f t="shared" si="2"/>
        <v>.</v>
      </c>
      <c r="H141" s="8" t="s">
        <v>325</v>
      </c>
      <c r="I141" s="8" t="s">
        <v>321</v>
      </c>
      <c r="J141" s="8" t="s">
        <v>429</v>
      </c>
    </row>
    <row r="142" spans="1:10" hidden="1" x14ac:dyDescent="0.45">
      <c r="A142" t="s">
        <v>57</v>
      </c>
      <c r="B142" t="s">
        <v>533</v>
      </c>
      <c r="D142" t="str">
        <f>IF(A142='PrototypeData-logprob'!A142,".","N")</f>
        <v>.</v>
      </c>
      <c r="E142" t="str">
        <f t="shared" si="2"/>
        <v>N</v>
      </c>
      <c r="H142" s="8" t="s">
        <v>326</v>
      </c>
      <c r="I142" s="8" t="s">
        <v>99</v>
      </c>
      <c r="J142" s="8" t="s">
        <v>420</v>
      </c>
    </row>
    <row r="143" spans="1:10" hidden="1" x14ac:dyDescent="0.45">
      <c r="A143" t="s">
        <v>19</v>
      </c>
      <c r="B143" t="s">
        <v>62</v>
      </c>
      <c r="D143" t="str">
        <f>IF(A143='PrototypeData-logprob'!A143,".","N")</f>
        <v>.</v>
      </c>
      <c r="E143" t="str">
        <f t="shared" si="2"/>
        <v>N</v>
      </c>
      <c r="H143" s="8" t="s">
        <v>327</v>
      </c>
      <c r="I143" s="8" t="s">
        <v>328</v>
      </c>
      <c r="J143" s="8" t="s">
        <v>417</v>
      </c>
    </row>
    <row r="144" spans="1:10" hidden="1" x14ac:dyDescent="0.45">
      <c r="A144" t="s">
        <v>85</v>
      </c>
      <c r="B144" t="s">
        <v>85</v>
      </c>
      <c r="D144" t="str">
        <f>IF(A144='PrototypeData-logprob'!A144,".","N")</f>
        <v>.</v>
      </c>
      <c r="E144" t="str">
        <f t="shared" si="2"/>
        <v>.</v>
      </c>
      <c r="H144" s="8" t="s">
        <v>329</v>
      </c>
      <c r="I144" s="8" t="s">
        <v>330</v>
      </c>
      <c r="J144" s="8" t="s">
        <v>423</v>
      </c>
    </row>
    <row r="145" spans="1:10" hidden="1" x14ac:dyDescent="0.45">
      <c r="A145" t="s">
        <v>19</v>
      </c>
      <c r="B145" t="s">
        <v>533</v>
      </c>
      <c r="D145" t="str">
        <f>IF(A145='PrototypeData-logprob'!A145,".","N")</f>
        <v>.</v>
      </c>
      <c r="E145" t="str">
        <f t="shared" si="2"/>
        <v>N</v>
      </c>
      <c r="H145" s="8" t="s">
        <v>331</v>
      </c>
      <c r="I145" s="8" t="s">
        <v>332</v>
      </c>
      <c r="J145" s="8" t="s">
        <v>420</v>
      </c>
    </row>
    <row r="146" spans="1:10" hidden="1" x14ac:dyDescent="0.45">
      <c r="A146" t="s">
        <v>19</v>
      </c>
      <c r="B146" t="s">
        <v>540</v>
      </c>
      <c r="D146" t="str">
        <f>IF(A146='PrototypeData-logprob'!A146,".","N")</f>
        <v>.</v>
      </c>
      <c r="E146" t="str">
        <f t="shared" si="2"/>
        <v>N</v>
      </c>
      <c r="H146" s="8" t="s">
        <v>333</v>
      </c>
      <c r="I146" s="8" t="s">
        <v>334</v>
      </c>
      <c r="J146" s="8" t="s">
        <v>435</v>
      </c>
    </row>
    <row r="147" spans="1:10" hidden="1" x14ac:dyDescent="0.45">
      <c r="A147" t="s">
        <v>9</v>
      </c>
      <c r="B147" t="s">
        <v>71</v>
      </c>
      <c r="D147" t="str">
        <f>IF(A147='PrototypeData-logprob'!A147,".","N")</f>
        <v>.</v>
      </c>
      <c r="E147" t="str">
        <f t="shared" si="2"/>
        <v>N</v>
      </c>
      <c r="H147" s="8" t="s">
        <v>335</v>
      </c>
      <c r="I147" s="8" t="s">
        <v>99</v>
      </c>
      <c r="J147" s="8" t="s">
        <v>426</v>
      </c>
    </row>
    <row r="148" spans="1:10" hidden="1" x14ac:dyDescent="0.45">
      <c r="A148" t="s">
        <v>19</v>
      </c>
      <c r="B148" t="s">
        <v>533</v>
      </c>
      <c r="D148" t="str">
        <f>IF(A148='PrototypeData-logprob'!A148,".","N")</f>
        <v>.</v>
      </c>
      <c r="E148" t="str">
        <f t="shared" si="2"/>
        <v>N</v>
      </c>
      <c r="H148" s="8" t="s">
        <v>336</v>
      </c>
      <c r="I148" s="8" t="s">
        <v>337</v>
      </c>
      <c r="J148" s="8" t="s">
        <v>420</v>
      </c>
    </row>
    <row r="149" spans="1:10" hidden="1" x14ac:dyDescent="0.45">
      <c r="A149" t="s">
        <v>57</v>
      </c>
      <c r="B149" t="s">
        <v>533</v>
      </c>
      <c r="D149" t="str">
        <f>IF(A149='PrototypeData-logprob'!A149,".","N")</f>
        <v>.</v>
      </c>
      <c r="E149" t="str">
        <f t="shared" si="2"/>
        <v>N</v>
      </c>
      <c r="H149" s="8" t="s">
        <v>338</v>
      </c>
      <c r="I149" s="8" t="s">
        <v>99</v>
      </c>
      <c r="J149" s="8" t="s">
        <v>437</v>
      </c>
    </row>
    <row r="150" spans="1:10" hidden="1" x14ac:dyDescent="0.45">
      <c r="A150" t="s">
        <v>19</v>
      </c>
      <c r="B150" t="s">
        <v>78</v>
      </c>
      <c r="D150" t="str">
        <f>IF(A150='PrototypeData-logprob'!A150,".","N")</f>
        <v>.</v>
      </c>
      <c r="E150" t="str">
        <f t="shared" si="2"/>
        <v>N</v>
      </c>
      <c r="H150" s="8" t="s">
        <v>339</v>
      </c>
      <c r="I150" s="8" t="s">
        <v>340</v>
      </c>
      <c r="J150" s="8" t="s">
        <v>429</v>
      </c>
    </row>
    <row r="151" spans="1:10" hidden="1" x14ac:dyDescent="0.45">
      <c r="A151" t="s">
        <v>57</v>
      </c>
      <c r="B151" t="s">
        <v>533</v>
      </c>
      <c r="D151" t="str">
        <f>IF(A151='PrototypeData-logprob'!A151,".","N")</f>
        <v>.</v>
      </c>
      <c r="E151" t="str">
        <f t="shared" si="2"/>
        <v>N</v>
      </c>
      <c r="H151" s="8" t="s">
        <v>341</v>
      </c>
      <c r="I151" s="8" t="s">
        <v>99</v>
      </c>
      <c r="J151" s="8" t="s">
        <v>420</v>
      </c>
    </row>
    <row r="152" spans="1:10" hidden="1" x14ac:dyDescent="0.45">
      <c r="A152" t="s">
        <v>57</v>
      </c>
      <c r="B152" t="s">
        <v>61</v>
      </c>
      <c r="D152" t="str">
        <f>IF(A152='PrototypeData-logprob'!A152,".","N")</f>
        <v>.</v>
      </c>
      <c r="E152" t="str">
        <f t="shared" si="2"/>
        <v>N</v>
      </c>
      <c r="H152" s="8" t="s">
        <v>342</v>
      </c>
      <c r="I152" s="8" t="s">
        <v>99</v>
      </c>
      <c r="J152" s="8" t="s">
        <v>421</v>
      </c>
    </row>
    <row r="153" spans="1:10" hidden="1" x14ac:dyDescent="0.45">
      <c r="A153" t="s">
        <v>57</v>
      </c>
      <c r="B153" t="s">
        <v>91</v>
      </c>
      <c r="D153" t="str">
        <f>IF(A153='PrototypeData-logprob'!A153,".","N")</f>
        <v>.</v>
      </c>
      <c r="E153" t="str">
        <f t="shared" si="2"/>
        <v>N</v>
      </c>
      <c r="H153" s="8" t="s">
        <v>343</v>
      </c>
      <c r="I153" s="8" t="s">
        <v>344</v>
      </c>
      <c r="J153" s="8" t="s">
        <v>438</v>
      </c>
    </row>
    <row r="154" spans="1:10" hidden="1" x14ac:dyDescent="0.45">
      <c r="A154" t="s">
        <v>79</v>
      </c>
      <c r="B154" t="s">
        <v>79</v>
      </c>
      <c r="D154" t="str">
        <f>IF(A154='PrototypeData-logprob'!A154,".","N")</f>
        <v>.</v>
      </c>
      <c r="E154" t="str">
        <f t="shared" si="2"/>
        <v>.</v>
      </c>
      <c r="H154" s="8" t="s">
        <v>345</v>
      </c>
      <c r="I154" s="8" t="s">
        <v>99</v>
      </c>
      <c r="J154" s="8" t="s">
        <v>434</v>
      </c>
    </row>
    <row r="155" spans="1:10" hidden="1" x14ac:dyDescent="0.45">
      <c r="A155" t="s">
        <v>19</v>
      </c>
      <c r="B155" t="s">
        <v>62</v>
      </c>
      <c r="D155" t="str">
        <f>IF(A155='PrototypeData-logprob'!A155,".","N")</f>
        <v>.</v>
      </c>
      <c r="E155" t="str">
        <f t="shared" si="2"/>
        <v>N</v>
      </c>
      <c r="H155" s="8" t="s">
        <v>346</v>
      </c>
      <c r="I155" s="8" t="s">
        <v>347</v>
      </c>
      <c r="J155" s="8" t="s">
        <v>417</v>
      </c>
    </row>
    <row r="156" spans="1:10" hidden="1" x14ac:dyDescent="0.45">
      <c r="A156" t="s">
        <v>57</v>
      </c>
      <c r="B156" t="s">
        <v>533</v>
      </c>
      <c r="D156" t="str">
        <f>IF(A156='PrototypeData-logprob'!A156,".","N")</f>
        <v>.</v>
      </c>
      <c r="E156" t="str">
        <f t="shared" si="2"/>
        <v>N</v>
      </c>
      <c r="H156" s="8" t="s">
        <v>348</v>
      </c>
      <c r="I156" s="8" t="s">
        <v>99</v>
      </c>
      <c r="J156" s="8" t="s">
        <v>420</v>
      </c>
    </row>
    <row r="157" spans="1:10" hidden="1" x14ac:dyDescent="0.45">
      <c r="A157" t="s">
        <v>75</v>
      </c>
      <c r="B157" t="s">
        <v>75</v>
      </c>
      <c r="D157" t="str">
        <f>IF(A157='PrototypeData-logprob'!A157,".","N")</f>
        <v>.</v>
      </c>
      <c r="E157" t="str">
        <f t="shared" si="2"/>
        <v>.</v>
      </c>
      <c r="H157" s="8" t="s">
        <v>349</v>
      </c>
      <c r="I157" s="8" t="s">
        <v>99</v>
      </c>
      <c r="J157" s="8" t="s">
        <v>429</v>
      </c>
    </row>
    <row r="158" spans="1:10" hidden="1" x14ac:dyDescent="0.45">
      <c r="A158" t="s">
        <v>79</v>
      </c>
      <c r="B158" t="s">
        <v>79</v>
      </c>
      <c r="D158" t="str">
        <f>IF(A158='PrototypeData-logprob'!A158,".","N")</f>
        <v>.</v>
      </c>
      <c r="E158" t="str">
        <f t="shared" si="2"/>
        <v>.</v>
      </c>
      <c r="H158" s="8" t="s">
        <v>350</v>
      </c>
      <c r="I158" s="8" t="s">
        <v>351</v>
      </c>
      <c r="J158" s="8" t="s">
        <v>434</v>
      </c>
    </row>
    <row r="159" spans="1:10" hidden="1" x14ac:dyDescent="0.45">
      <c r="A159" t="s">
        <v>86</v>
      </c>
      <c r="B159" t="s">
        <v>86</v>
      </c>
      <c r="D159" t="str">
        <f>IF(A159='PrototypeData-logprob'!A159,".","N")</f>
        <v>.</v>
      </c>
      <c r="E159" t="str">
        <f t="shared" si="2"/>
        <v>.</v>
      </c>
      <c r="H159" s="8" t="s">
        <v>352</v>
      </c>
      <c r="I159" s="8" t="s">
        <v>353</v>
      </c>
      <c r="J159" s="8" t="s">
        <v>429</v>
      </c>
    </row>
    <row r="160" spans="1:10" hidden="1" x14ac:dyDescent="0.45">
      <c r="A160" t="s">
        <v>85</v>
      </c>
      <c r="B160" t="s">
        <v>85</v>
      </c>
      <c r="D160" t="str">
        <f>IF(A160='PrototypeData-logprob'!A160,".","N")</f>
        <v>.</v>
      </c>
      <c r="E160" t="str">
        <f t="shared" si="2"/>
        <v>.</v>
      </c>
      <c r="H160" s="8" t="s">
        <v>354</v>
      </c>
      <c r="I160" s="8" t="s">
        <v>355</v>
      </c>
      <c r="J160" s="8" t="s">
        <v>423</v>
      </c>
    </row>
    <row r="161" spans="1:10" hidden="1" x14ac:dyDescent="0.45">
      <c r="A161" t="s">
        <v>9</v>
      </c>
      <c r="B161" t="s">
        <v>73</v>
      </c>
      <c r="D161" t="str">
        <f>IF(A161='PrototypeData-logprob'!A161,".","N")</f>
        <v>.</v>
      </c>
      <c r="E161" t="str">
        <f t="shared" si="2"/>
        <v>N</v>
      </c>
      <c r="H161" s="8" t="s">
        <v>356</v>
      </c>
      <c r="I161" s="8" t="s">
        <v>99</v>
      </c>
      <c r="J161" s="8" t="s">
        <v>424</v>
      </c>
    </row>
    <row r="162" spans="1:10" hidden="1" x14ac:dyDescent="0.45">
      <c r="A162" t="s">
        <v>19</v>
      </c>
      <c r="B162" t="s">
        <v>533</v>
      </c>
      <c r="D162" t="str">
        <f>IF(A162='PrototypeData-logprob'!A162,".","N")</f>
        <v>.</v>
      </c>
      <c r="E162" t="str">
        <f t="shared" si="2"/>
        <v>N</v>
      </c>
      <c r="H162" s="8" t="s">
        <v>357</v>
      </c>
      <c r="I162" s="8" t="s">
        <v>358</v>
      </c>
      <c r="J162" s="8" t="s">
        <v>420</v>
      </c>
    </row>
    <row r="163" spans="1:10" hidden="1" x14ac:dyDescent="0.45">
      <c r="A163" t="s">
        <v>57</v>
      </c>
      <c r="B163" t="s">
        <v>533</v>
      </c>
      <c r="D163" t="str">
        <f>IF(A163='PrototypeData-logprob'!A163,".","N")</f>
        <v>.</v>
      </c>
      <c r="E163" t="str">
        <f t="shared" si="2"/>
        <v>N</v>
      </c>
      <c r="H163" s="8" t="s">
        <v>359</v>
      </c>
      <c r="I163" s="8" t="s">
        <v>99</v>
      </c>
      <c r="J163" s="8" t="s">
        <v>420</v>
      </c>
    </row>
    <row r="164" spans="1:10" hidden="1" x14ac:dyDescent="0.45">
      <c r="A164" t="s">
        <v>19</v>
      </c>
      <c r="B164" t="s">
        <v>533</v>
      </c>
      <c r="D164" t="str">
        <f>IF(A164='PrototypeData-logprob'!A164,".","N")</f>
        <v>.</v>
      </c>
      <c r="E164" t="str">
        <f t="shared" si="2"/>
        <v>N</v>
      </c>
      <c r="H164" s="8" t="s">
        <v>360</v>
      </c>
      <c r="I164" s="8" t="s">
        <v>361</v>
      </c>
      <c r="J164" s="8" t="s">
        <v>420</v>
      </c>
    </row>
    <row r="165" spans="1:10" hidden="1" x14ac:dyDescent="0.45">
      <c r="A165" t="s">
        <v>57</v>
      </c>
      <c r="B165" t="s">
        <v>533</v>
      </c>
      <c r="D165" t="str">
        <f>IF(A165='PrototypeData-logprob'!A165,".","N")</f>
        <v>.</v>
      </c>
      <c r="E165" t="str">
        <f t="shared" si="2"/>
        <v>N</v>
      </c>
      <c r="H165" s="8" t="s">
        <v>362</v>
      </c>
      <c r="I165" s="8" t="s">
        <v>99</v>
      </c>
      <c r="J165" s="8" t="s">
        <v>420</v>
      </c>
    </row>
    <row r="166" spans="1:10" hidden="1" x14ac:dyDescent="0.45">
      <c r="A166" t="s">
        <v>9</v>
      </c>
      <c r="B166" t="s">
        <v>68</v>
      </c>
      <c r="D166" t="str">
        <f>IF(A166='PrototypeData-logprob'!A166,".","N")</f>
        <v>.</v>
      </c>
      <c r="E166" t="str">
        <f t="shared" si="2"/>
        <v>N</v>
      </c>
      <c r="H166" s="8" t="s">
        <v>363</v>
      </c>
      <c r="I166" s="8" t="s">
        <v>99</v>
      </c>
      <c r="J166" s="8" t="s">
        <v>420</v>
      </c>
    </row>
    <row r="167" spans="1:10" hidden="1" x14ac:dyDescent="0.45">
      <c r="A167" t="s">
        <v>57</v>
      </c>
      <c r="B167" t="s">
        <v>533</v>
      </c>
      <c r="D167" t="str">
        <f>IF(A167='PrototypeData-logprob'!A167,".","N")</f>
        <v>.</v>
      </c>
      <c r="E167" t="str">
        <f t="shared" si="2"/>
        <v>N</v>
      </c>
      <c r="H167" s="8" t="s">
        <v>364</v>
      </c>
      <c r="I167" s="8" t="s">
        <v>99</v>
      </c>
      <c r="J167" s="8" t="s">
        <v>420</v>
      </c>
    </row>
    <row r="168" spans="1:10" hidden="1" x14ac:dyDescent="0.45">
      <c r="A168" t="s">
        <v>86</v>
      </c>
      <c r="B168" t="s">
        <v>86</v>
      </c>
      <c r="D168" t="str">
        <f>IF(A168='PrototypeData-logprob'!A168,".","N")</f>
        <v>.</v>
      </c>
      <c r="E168" t="str">
        <f t="shared" si="2"/>
        <v>.</v>
      </c>
      <c r="H168" s="8" t="s">
        <v>365</v>
      </c>
      <c r="I168" s="8" t="s">
        <v>366</v>
      </c>
      <c r="J168" s="8" t="s">
        <v>429</v>
      </c>
    </row>
    <row r="169" spans="1:10" hidden="1" x14ac:dyDescent="0.45">
      <c r="A169" t="s">
        <v>19</v>
      </c>
      <c r="B169" t="s">
        <v>533</v>
      </c>
      <c r="D169" t="str">
        <f>IF(A169='PrototypeData-logprob'!A169,".","N")</f>
        <v>.</v>
      </c>
      <c r="E169" t="str">
        <f t="shared" si="2"/>
        <v>N</v>
      </c>
      <c r="H169" s="8" t="s">
        <v>367</v>
      </c>
      <c r="I169" s="8" t="s">
        <v>368</v>
      </c>
      <c r="J169" s="8" t="s">
        <v>420</v>
      </c>
    </row>
    <row r="170" spans="1:10" hidden="1" x14ac:dyDescent="0.45">
      <c r="A170" t="s">
        <v>73</v>
      </c>
      <c r="B170" t="s">
        <v>73</v>
      </c>
      <c r="D170" t="str">
        <f>IF(A170='PrototypeData-logprob'!A170,".","N")</f>
        <v>.</v>
      </c>
      <c r="E170" t="str">
        <f t="shared" si="2"/>
        <v>.</v>
      </c>
      <c r="H170" s="8" t="s">
        <v>369</v>
      </c>
      <c r="I170" s="8" t="s">
        <v>99</v>
      </c>
      <c r="J170" s="8" t="s">
        <v>424</v>
      </c>
    </row>
    <row r="171" spans="1:10" hidden="1" x14ac:dyDescent="0.45">
      <c r="A171" t="s">
        <v>73</v>
      </c>
      <c r="B171" t="s">
        <v>73</v>
      </c>
      <c r="D171" t="str">
        <f>IF(A171='PrototypeData-logprob'!A171,".","N")</f>
        <v>.</v>
      </c>
      <c r="E171" t="str">
        <f t="shared" si="2"/>
        <v>.</v>
      </c>
      <c r="H171" s="8" t="s">
        <v>370</v>
      </c>
      <c r="I171" s="8" t="s">
        <v>371</v>
      </c>
      <c r="J171" s="8" t="s">
        <v>424</v>
      </c>
    </row>
    <row r="172" spans="1:10" hidden="1" x14ac:dyDescent="0.45">
      <c r="A172" t="s">
        <v>74</v>
      </c>
      <c r="B172" t="s">
        <v>74</v>
      </c>
      <c r="D172" t="str">
        <f>IF(A172='PrototypeData-logprob'!A172,".","N")</f>
        <v>.</v>
      </c>
      <c r="E172" t="str">
        <f t="shared" si="2"/>
        <v>.</v>
      </c>
      <c r="H172" s="8" t="s">
        <v>372</v>
      </c>
      <c r="I172" s="8" t="s">
        <v>99</v>
      </c>
      <c r="J172" s="8" t="s">
        <v>426</v>
      </c>
    </row>
    <row r="173" spans="1:10" hidden="1" x14ac:dyDescent="0.45">
      <c r="A173" t="s">
        <v>57</v>
      </c>
      <c r="B173" t="s">
        <v>533</v>
      </c>
      <c r="D173" t="str">
        <f>IF(A173='PrototypeData-logprob'!A173,".","N")</f>
        <v>.</v>
      </c>
      <c r="E173" t="str">
        <f t="shared" si="2"/>
        <v>N</v>
      </c>
      <c r="H173" s="8" t="s">
        <v>373</v>
      </c>
      <c r="I173" s="8" t="s">
        <v>99</v>
      </c>
      <c r="J173" s="8" t="s">
        <v>420</v>
      </c>
    </row>
    <row r="174" spans="1:10" hidden="1" x14ac:dyDescent="0.45">
      <c r="A174" t="s">
        <v>57</v>
      </c>
      <c r="B174" t="s">
        <v>533</v>
      </c>
      <c r="D174" t="str">
        <f>IF(A174='PrototypeData-logprob'!A174,".","N")</f>
        <v>.</v>
      </c>
      <c r="E174" t="str">
        <f t="shared" si="2"/>
        <v>N</v>
      </c>
      <c r="H174" s="8" t="s">
        <v>374</v>
      </c>
      <c r="I174" s="8" t="s">
        <v>99</v>
      </c>
      <c r="J174" s="8" t="s">
        <v>420</v>
      </c>
    </row>
    <row r="175" spans="1:10" hidden="1" x14ac:dyDescent="0.45">
      <c r="A175" t="s">
        <v>19</v>
      </c>
      <c r="B175" t="s">
        <v>533</v>
      </c>
      <c r="D175" t="str">
        <f>IF(A175='PrototypeData-logprob'!A175,".","N")</f>
        <v>.</v>
      </c>
      <c r="E175" t="str">
        <f t="shared" si="2"/>
        <v>N</v>
      </c>
      <c r="H175" s="8" t="s">
        <v>375</v>
      </c>
      <c r="I175" s="8" t="s">
        <v>376</v>
      </c>
      <c r="J175" s="8" t="s">
        <v>425</v>
      </c>
    </row>
    <row r="176" spans="1:10" hidden="1" x14ac:dyDescent="0.45">
      <c r="A176" t="s">
        <v>74</v>
      </c>
      <c r="B176" t="s">
        <v>74</v>
      </c>
      <c r="D176" t="str">
        <f>IF(A176='PrototypeData-logprob'!A176,".","N")</f>
        <v>.</v>
      </c>
      <c r="E176" t="str">
        <f t="shared" si="2"/>
        <v>.</v>
      </c>
      <c r="H176" s="8" t="s">
        <v>377</v>
      </c>
      <c r="I176" s="8" t="s">
        <v>378</v>
      </c>
      <c r="J176" s="8" t="s">
        <v>426</v>
      </c>
    </row>
    <row r="177" spans="1:10" x14ac:dyDescent="0.45">
      <c r="A177" t="s">
        <v>74</v>
      </c>
      <c r="B177" t="s">
        <v>533</v>
      </c>
      <c r="D177" t="str">
        <f>IF(A177='PrototypeData-logprob'!A177,".","N")</f>
        <v>.</v>
      </c>
      <c r="E177" t="str">
        <f t="shared" si="2"/>
        <v>N</v>
      </c>
      <c r="F177" s="8" t="s">
        <v>515</v>
      </c>
      <c r="H177" s="8" t="s">
        <v>379</v>
      </c>
      <c r="I177" s="8" t="s">
        <v>380</v>
      </c>
      <c r="J177" s="8" t="s">
        <v>426</v>
      </c>
    </row>
    <row r="178" spans="1:10" hidden="1" x14ac:dyDescent="0.45">
      <c r="A178" t="s">
        <v>19</v>
      </c>
      <c r="B178" t="s">
        <v>533</v>
      </c>
      <c r="D178" t="str">
        <f>IF(A178='PrototypeData-logprob'!A178,".","N")</f>
        <v>.</v>
      </c>
      <c r="E178" t="str">
        <f t="shared" si="2"/>
        <v>N</v>
      </c>
      <c r="H178" s="8" t="s">
        <v>381</v>
      </c>
      <c r="I178" s="8" t="s">
        <v>382</v>
      </c>
      <c r="J178" s="8" t="s">
        <v>420</v>
      </c>
    </row>
    <row r="179" spans="1:10" hidden="1" x14ac:dyDescent="0.45">
      <c r="A179" t="s">
        <v>19</v>
      </c>
      <c r="B179" t="s">
        <v>62</v>
      </c>
      <c r="D179" t="str">
        <f>IF(A179='PrototypeData-logprob'!A179,".","N")</f>
        <v>.</v>
      </c>
      <c r="E179" t="str">
        <f t="shared" si="2"/>
        <v>N</v>
      </c>
      <c r="H179" s="8" t="s">
        <v>383</v>
      </c>
      <c r="I179" s="8" t="s">
        <v>384</v>
      </c>
      <c r="J179" s="8" t="s">
        <v>417</v>
      </c>
    </row>
    <row r="180" spans="1:10" hidden="1" x14ac:dyDescent="0.45">
      <c r="A180" t="s">
        <v>85</v>
      </c>
      <c r="B180" t="s">
        <v>85</v>
      </c>
      <c r="D180" t="str">
        <f>IF(A180='PrototypeData-logprob'!A180,".","N")</f>
        <v>.</v>
      </c>
      <c r="E180" t="str">
        <f t="shared" si="2"/>
        <v>.</v>
      </c>
      <c r="H180" s="8" t="s">
        <v>385</v>
      </c>
      <c r="I180" s="8" t="s">
        <v>99</v>
      </c>
      <c r="J180" s="8" t="s">
        <v>423</v>
      </c>
    </row>
    <row r="181" spans="1:10" hidden="1" x14ac:dyDescent="0.45">
      <c r="A181" t="s">
        <v>19</v>
      </c>
      <c r="B181" t="s">
        <v>533</v>
      </c>
      <c r="D181" t="str">
        <f>IF(A181='PrototypeData-logprob'!A181,".","N")</f>
        <v>.</v>
      </c>
      <c r="E181" t="str">
        <f t="shared" si="2"/>
        <v>N</v>
      </c>
      <c r="H181" s="8" t="s">
        <v>386</v>
      </c>
      <c r="I181" s="8" t="s">
        <v>387</v>
      </c>
      <c r="J181" s="8" t="s">
        <v>425</v>
      </c>
    </row>
    <row r="182" spans="1:10" hidden="1" x14ac:dyDescent="0.45">
      <c r="A182" t="s">
        <v>57</v>
      </c>
      <c r="B182" t="s">
        <v>533</v>
      </c>
      <c r="D182" t="str">
        <f>IF(A182='PrototypeData-logprob'!A182,".","N")</f>
        <v>.</v>
      </c>
      <c r="E182" t="str">
        <f t="shared" si="2"/>
        <v>N</v>
      </c>
      <c r="H182" s="8" t="s">
        <v>388</v>
      </c>
      <c r="I182" s="8" t="s">
        <v>99</v>
      </c>
      <c r="J182" s="8" t="s">
        <v>420</v>
      </c>
    </row>
    <row r="183" spans="1:10" hidden="1" x14ac:dyDescent="0.45">
      <c r="A183" t="s">
        <v>57</v>
      </c>
      <c r="B183" t="s">
        <v>533</v>
      </c>
      <c r="D183" t="str">
        <f>IF(A183='PrototypeData-logprob'!A183,".","N")</f>
        <v>.</v>
      </c>
      <c r="E183" t="str">
        <f t="shared" si="2"/>
        <v>N</v>
      </c>
      <c r="H183" s="8" t="s">
        <v>389</v>
      </c>
      <c r="I183" s="8" t="s">
        <v>390</v>
      </c>
      <c r="J183" s="8" t="s">
        <v>420</v>
      </c>
    </row>
    <row r="184" spans="1:10" hidden="1" x14ac:dyDescent="0.45">
      <c r="A184" t="s">
        <v>78</v>
      </c>
      <c r="B184" t="s">
        <v>78</v>
      </c>
      <c r="D184" t="str">
        <f>IF(A184='PrototypeData-logprob'!A184,".","N")</f>
        <v>.</v>
      </c>
      <c r="E184" t="str">
        <f t="shared" si="2"/>
        <v>.</v>
      </c>
      <c r="H184" s="8" t="s">
        <v>391</v>
      </c>
      <c r="I184" s="8" t="s">
        <v>392</v>
      </c>
      <c r="J184" s="8" t="s">
        <v>429</v>
      </c>
    </row>
    <row r="185" spans="1:10" hidden="1" x14ac:dyDescent="0.45">
      <c r="A185" t="s">
        <v>19</v>
      </c>
      <c r="B185" t="s">
        <v>533</v>
      </c>
      <c r="D185" t="str">
        <f>IF(A185='PrototypeData-logprob'!A185,".","N")</f>
        <v>.</v>
      </c>
      <c r="E185" t="str">
        <f t="shared" si="2"/>
        <v>N</v>
      </c>
      <c r="H185" s="8" t="s">
        <v>393</v>
      </c>
      <c r="I185" s="8" t="s">
        <v>99</v>
      </c>
      <c r="J185" s="8" t="s">
        <v>420</v>
      </c>
    </row>
    <row r="186" spans="1:10" hidden="1" x14ac:dyDescent="0.45">
      <c r="A186" t="s">
        <v>57</v>
      </c>
      <c r="B186" t="s">
        <v>78</v>
      </c>
      <c r="D186" t="str">
        <f>IF(A186='PrototypeData-logprob'!A186,".","N")</f>
        <v>.</v>
      </c>
      <c r="E186" t="str">
        <f t="shared" si="2"/>
        <v>N</v>
      </c>
      <c r="H186" s="8" t="s">
        <v>394</v>
      </c>
      <c r="I186" s="8" t="s">
        <v>99</v>
      </c>
      <c r="J186" s="8" t="s">
        <v>429</v>
      </c>
    </row>
    <row r="187" spans="1:10" hidden="1" x14ac:dyDescent="0.45">
      <c r="A187" t="s">
        <v>65</v>
      </c>
      <c r="B187" t="s">
        <v>65</v>
      </c>
      <c r="D187" t="str">
        <f>IF(A187='PrototypeData-logprob'!A187,".","N")</f>
        <v>.</v>
      </c>
      <c r="E187" t="str">
        <f t="shared" si="2"/>
        <v>.</v>
      </c>
      <c r="H187" s="8" t="s">
        <v>65</v>
      </c>
      <c r="I187" s="8" t="s">
        <v>395</v>
      </c>
      <c r="J187" s="8" t="s">
        <v>427</v>
      </c>
    </row>
    <row r="188" spans="1:10" hidden="1" x14ac:dyDescent="0.45">
      <c r="A188" t="s">
        <v>19</v>
      </c>
      <c r="B188" t="s">
        <v>533</v>
      </c>
      <c r="D188" t="str">
        <f>IF(A188='PrototypeData-logprob'!A188,".","N")</f>
        <v>.</v>
      </c>
      <c r="E188" t="str">
        <f t="shared" si="2"/>
        <v>N</v>
      </c>
      <c r="H188" s="8" t="s">
        <v>396</v>
      </c>
      <c r="I188" s="8" t="s">
        <v>397</v>
      </c>
      <c r="J188" s="8" t="s">
        <v>418</v>
      </c>
    </row>
    <row r="189" spans="1:10" hidden="1" x14ac:dyDescent="0.45">
      <c r="A189" t="s">
        <v>57</v>
      </c>
      <c r="B189" t="s">
        <v>533</v>
      </c>
      <c r="D189" t="str">
        <f>IF(A189='PrototypeData-logprob'!A189,".","N")</f>
        <v>.</v>
      </c>
      <c r="E189" t="str">
        <f t="shared" si="2"/>
        <v>N</v>
      </c>
      <c r="H189" s="8" t="s">
        <v>398</v>
      </c>
      <c r="I189" s="8" t="s">
        <v>399</v>
      </c>
      <c r="J189" s="8" t="s">
        <v>433</v>
      </c>
    </row>
    <row r="190" spans="1:10" hidden="1" x14ac:dyDescent="0.45">
      <c r="A190" t="s">
        <v>88</v>
      </c>
      <c r="B190" t="s">
        <v>88</v>
      </c>
      <c r="D190" t="str">
        <f>IF(A190='PrototypeData-logprob'!A190,".","N")</f>
        <v>.</v>
      </c>
      <c r="E190" t="str">
        <f t="shared" si="2"/>
        <v>.</v>
      </c>
      <c r="H190" s="8" t="s">
        <v>400</v>
      </c>
      <c r="I190" s="8" t="s">
        <v>401</v>
      </c>
      <c r="J190" s="8" t="s">
        <v>438</v>
      </c>
    </row>
    <row r="191" spans="1:10" hidden="1" x14ac:dyDescent="0.45">
      <c r="A191" t="s">
        <v>70</v>
      </c>
      <c r="B191" t="s">
        <v>70</v>
      </c>
      <c r="D191" t="str">
        <f>IF(A191='PrototypeData-logprob'!A191,".","N")</f>
        <v>.</v>
      </c>
      <c r="E191" t="str">
        <f t="shared" si="2"/>
        <v>.</v>
      </c>
      <c r="H191" s="8" t="s">
        <v>402</v>
      </c>
      <c r="I191" s="8" t="s">
        <v>99</v>
      </c>
      <c r="J191" s="8" t="s">
        <v>421</v>
      </c>
    </row>
    <row r="192" spans="1:10" hidden="1" x14ac:dyDescent="0.45">
      <c r="A192" t="s">
        <v>57</v>
      </c>
      <c r="B192" t="s">
        <v>533</v>
      </c>
      <c r="D192" t="str">
        <f>IF(A192='PrototypeData-logprob'!A192,".","N")</f>
        <v>.</v>
      </c>
      <c r="E192" t="str">
        <f t="shared" si="2"/>
        <v>N</v>
      </c>
      <c r="H192" s="8" t="s">
        <v>403</v>
      </c>
      <c r="I192" s="8" t="s">
        <v>99</v>
      </c>
      <c r="J192" s="8" t="s">
        <v>420</v>
      </c>
    </row>
    <row r="193" spans="1:10" hidden="1" x14ac:dyDescent="0.45">
      <c r="A193" t="s">
        <v>19</v>
      </c>
      <c r="B193" t="s">
        <v>62</v>
      </c>
      <c r="D193" t="str">
        <f>IF(A193='PrototypeData-logprob'!A193,".","N")</f>
        <v>.</v>
      </c>
      <c r="E193" t="str">
        <f t="shared" si="2"/>
        <v>N</v>
      </c>
      <c r="H193" s="8" t="s">
        <v>404</v>
      </c>
      <c r="I193" s="8" t="s">
        <v>405</v>
      </c>
      <c r="J193" s="8" t="s">
        <v>417</v>
      </c>
    </row>
    <row r="194" spans="1:10" hidden="1" x14ac:dyDescent="0.45">
      <c r="A194" t="s">
        <v>78</v>
      </c>
      <c r="B194" t="s">
        <v>78</v>
      </c>
      <c r="D194" t="str">
        <f>IF(A194='PrototypeData-logprob'!A194,".","N")</f>
        <v>.</v>
      </c>
      <c r="E194" t="str">
        <f t="shared" si="2"/>
        <v>.</v>
      </c>
      <c r="H194" s="8" t="s">
        <v>406</v>
      </c>
      <c r="I194" s="8" t="s">
        <v>407</v>
      </c>
      <c r="J194" s="8" t="s">
        <v>429</v>
      </c>
    </row>
    <row r="195" spans="1:10" hidden="1" x14ac:dyDescent="0.45">
      <c r="A195" t="s">
        <v>57</v>
      </c>
      <c r="B195" t="s">
        <v>533</v>
      </c>
      <c r="D195" t="str">
        <f>IF(A195='PrototypeData-logprob'!A195,".","N")</f>
        <v>.</v>
      </c>
      <c r="E195" t="str">
        <f t="shared" ref="E195:E258" si="3">IF(A195=B195,".","N")</f>
        <v>N</v>
      </c>
      <c r="H195" s="8" t="s">
        <v>408</v>
      </c>
      <c r="I195" s="8" t="s">
        <v>99</v>
      </c>
      <c r="J195" s="8" t="s">
        <v>420</v>
      </c>
    </row>
    <row r="196" spans="1:10" hidden="1" x14ac:dyDescent="0.45">
      <c r="A196" t="s">
        <v>57</v>
      </c>
      <c r="B196" t="s">
        <v>533</v>
      </c>
      <c r="D196" t="str">
        <f>IF(A196='PrototypeData-logprob'!A196,".","N")</f>
        <v>.</v>
      </c>
      <c r="E196" t="str">
        <f t="shared" si="3"/>
        <v>N</v>
      </c>
      <c r="H196" s="8" t="s">
        <v>409</v>
      </c>
      <c r="I196" s="8" t="s">
        <v>390</v>
      </c>
      <c r="J196" s="8" t="s">
        <v>420</v>
      </c>
    </row>
    <row r="197" spans="1:10" hidden="1" x14ac:dyDescent="0.45">
      <c r="A197" t="s">
        <v>19</v>
      </c>
      <c r="B197" t="s">
        <v>533</v>
      </c>
      <c r="D197" t="str">
        <f>IF(A197='PrototypeData-logprob'!A197,".","N")</f>
        <v>.</v>
      </c>
      <c r="E197" t="str">
        <f t="shared" si="3"/>
        <v>N</v>
      </c>
      <c r="H197" s="8" t="s">
        <v>410</v>
      </c>
      <c r="I197" s="8" t="s">
        <v>411</v>
      </c>
      <c r="J197" s="8" t="s">
        <v>425</v>
      </c>
    </row>
    <row r="198" spans="1:10" hidden="1" x14ac:dyDescent="0.45">
      <c r="A198" t="s">
        <v>75</v>
      </c>
      <c r="B198" t="s">
        <v>75</v>
      </c>
      <c r="D198" t="str">
        <f>IF(A198='PrototypeData-logprob'!A198,".","N")</f>
        <v>.</v>
      </c>
      <c r="E198" t="str">
        <f t="shared" si="3"/>
        <v>.</v>
      </c>
      <c r="H198" s="8" t="s">
        <v>412</v>
      </c>
      <c r="I198" s="8" t="s">
        <v>413</v>
      </c>
      <c r="J198" s="8" t="s">
        <v>429</v>
      </c>
    </row>
    <row r="199" spans="1:10" hidden="1" x14ac:dyDescent="0.45">
      <c r="A199" t="s">
        <v>57</v>
      </c>
      <c r="B199" t="s">
        <v>533</v>
      </c>
      <c r="D199" t="str">
        <f>IF(A199='PrototypeData-logprob'!A199,".","N")</f>
        <v>.</v>
      </c>
      <c r="E199" t="str">
        <f t="shared" si="3"/>
        <v>N</v>
      </c>
      <c r="H199" s="8" t="s">
        <v>414</v>
      </c>
      <c r="I199" s="8" t="s">
        <v>99</v>
      </c>
      <c r="J199" s="8" t="s">
        <v>420</v>
      </c>
    </row>
    <row r="200" spans="1:10" hidden="1" x14ac:dyDescent="0.45">
      <c r="A200" t="s">
        <v>57</v>
      </c>
      <c r="B200" t="s">
        <v>533</v>
      </c>
      <c r="D200" t="str">
        <f>IF(A200='PrototypeData-logprob'!A200,".","N")</f>
        <v>.</v>
      </c>
      <c r="E200" t="str">
        <f t="shared" si="3"/>
        <v>N</v>
      </c>
      <c r="H200" s="8" t="s">
        <v>98</v>
      </c>
      <c r="I200" s="8" t="s">
        <v>99</v>
      </c>
      <c r="J200" s="8" t="s">
        <v>418</v>
      </c>
    </row>
    <row r="201" spans="1:10" hidden="1" x14ac:dyDescent="0.45">
      <c r="A201" t="s">
        <v>57</v>
      </c>
      <c r="B201" t="s">
        <v>533</v>
      </c>
      <c r="D201" t="str">
        <f>IF(A201='PrototypeData-logprob'!A201,".","N")</f>
        <v>.</v>
      </c>
      <c r="E201" t="str">
        <f t="shared" si="3"/>
        <v>N</v>
      </c>
      <c r="H201" s="8" t="s">
        <v>440</v>
      </c>
      <c r="I201" s="8" t="s">
        <v>99</v>
      </c>
      <c r="J201" s="8" t="s">
        <v>420</v>
      </c>
    </row>
    <row r="202" spans="1:10" hidden="1" x14ac:dyDescent="0.45">
      <c r="A202" t="s">
        <v>57</v>
      </c>
      <c r="B202" t="s">
        <v>533</v>
      </c>
      <c r="D202" t="str">
        <f>IF(A202='PrototypeData-logprob'!A202,".","N")</f>
        <v>.</v>
      </c>
      <c r="E202" t="str">
        <f t="shared" si="3"/>
        <v>N</v>
      </c>
      <c r="H202" s="8" t="s">
        <v>441</v>
      </c>
      <c r="I202" s="8" t="s">
        <v>99</v>
      </c>
      <c r="J202" s="8" t="s">
        <v>420</v>
      </c>
    </row>
    <row r="203" spans="1:10" hidden="1" x14ac:dyDescent="0.45">
      <c r="A203" t="s">
        <v>68</v>
      </c>
      <c r="B203" t="s">
        <v>68</v>
      </c>
      <c r="D203" t="str">
        <f>IF(A203='PrototypeData-logprob'!A203,".","N")</f>
        <v>.</v>
      </c>
      <c r="E203" t="str">
        <f t="shared" si="3"/>
        <v>.</v>
      </c>
      <c r="H203" s="8" t="s">
        <v>176</v>
      </c>
      <c r="I203" s="8" t="s">
        <v>177</v>
      </c>
      <c r="J203" s="8" t="s">
        <v>423</v>
      </c>
    </row>
    <row r="204" spans="1:10" hidden="1" x14ac:dyDescent="0.45">
      <c r="A204" t="s">
        <v>57</v>
      </c>
      <c r="B204" t="s">
        <v>533</v>
      </c>
      <c r="D204" t="str">
        <f>IF(A204='PrototypeData-logprob'!A204,".","N")</f>
        <v>.</v>
      </c>
      <c r="E204" t="str">
        <f t="shared" si="3"/>
        <v>N</v>
      </c>
      <c r="H204" s="8" t="s">
        <v>271</v>
      </c>
      <c r="I204" s="8" t="s">
        <v>99</v>
      </c>
      <c r="J204" s="8" t="s">
        <v>420</v>
      </c>
    </row>
    <row r="205" spans="1:10" hidden="1" x14ac:dyDescent="0.45">
      <c r="A205" t="s">
        <v>71</v>
      </c>
      <c r="B205" t="s">
        <v>71</v>
      </c>
      <c r="D205" t="str">
        <f>IF(A205='PrototypeData-logprob'!A205,".","N")</f>
        <v>.</v>
      </c>
      <c r="E205" t="str">
        <f t="shared" si="3"/>
        <v>.</v>
      </c>
      <c r="H205" s="8" t="s">
        <v>219</v>
      </c>
      <c r="I205" s="8" t="s">
        <v>220</v>
      </c>
      <c r="J205" s="8" t="s">
        <v>426</v>
      </c>
    </row>
    <row r="206" spans="1:10" x14ac:dyDescent="0.45">
      <c r="A206" t="s">
        <v>74</v>
      </c>
      <c r="B206" t="s">
        <v>533</v>
      </c>
      <c r="D206" t="str">
        <f>IF(A206='PrototypeData-logprob'!A206,".","N")</f>
        <v>.</v>
      </c>
      <c r="E206" t="str">
        <f t="shared" si="3"/>
        <v>N</v>
      </c>
      <c r="F206" s="8" t="s">
        <v>515</v>
      </c>
      <c r="H206" s="8" t="s">
        <v>379</v>
      </c>
      <c r="I206" s="8" t="s">
        <v>380</v>
      </c>
      <c r="J206" s="8" t="s">
        <v>426</v>
      </c>
    </row>
    <row r="207" spans="1:10" hidden="1" x14ac:dyDescent="0.45">
      <c r="A207" t="s">
        <v>19</v>
      </c>
      <c r="B207" t="s">
        <v>85</v>
      </c>
      <c r="D207" t="str">
        <f>IF(A207='PrototypeData-logprob'!A207,".","N")</f>
        <v>.</v>
      </c>
      <c r="E207" t="str">
        <f t="shared" si="3"/>
        <v>N</v>
      </c>
      <c r="H207" s="8" t="s">
        <v>354</v>
      </c>
      <c r="I207" s="8" t="s">
        <v>355</v>
      </c>
      <c r="J207" s="8" t="s">
        <v>423</v>
      </c>
    </row>
    <row r="208" spans="1:10" hidden="1" x14ac:dyDescent="0.45">
      <c r="A208" t="s">
        <v>19</v>
      </c>
      <c r="B208" t="s">
        <v>533</v>
      </c>
      <c r="D208" t="str">
        <f>IF(A208='PrototypeData-logprob'!A208,".","N")</f>
        <v>.</v>
      </c>
      <c r="E208" t="str">
        <f t="shared" si="3"/>
        <v>N</v>
      </c>
      <c r="H208" s="8" t="s">
        <v>238</v>
      </c>
      <c r="I208" s="8" t="s">
        <v>239</v>
      </c>
      <c r="J208" s="8" t="s">
        <v>435</v>
      </c>
    </row>
    <row r="209" spans="1:10" hidden="1" x14ac:dyDescent="0.45">
      <c r="A209" t="s">
        <v>70</v>
      </c>
      <c r="B209" t="s">
        <v>70</v>
      </c>
      <c r="D209" t="str">
        <f>IF(A209='PrototypeData-logprob'!A209,".","N")</f>
        <v>.</v>
      </c>
      <c r="E209" t="str">
        <f t="shared" si="3"/>
        <v>.</v>
      </c>
      <c r="H209" s="8" t="s">
        <v>115</v>
      </c>
      <c r="I209" s="8" t="s">
        <v>116</v>
      </c>
      <c r="J209" s="8" t="s">
        <v>421</v>
      </c>
    </row>
    <row r="210" spans="1:10" hidden="1" x14ac:dyDescent="0.45">
      <c r="A210" t="s">
        <v>61</v>
      </c>
      <c r="B210" t="s">
        <v>61</v>
      </c>
      <c r="D210" t="str">
        <f>IF(A210='PrototypeData-logprob'!A210,".","N")</f>
        <v>.</v>
      </c>
      <c r="E210" t="str">
        <f t="shared" si="3"/>
        <v>.</v>
      </c>
      <c r="H210" s="8" t="s">
        <v>94</v>
      </c>
      <c r="I210" s="8" t="s">
        <v>95</v>
      </c>
      <c r="J210" s="8" t="s">
        <v>416</v>
      </c>
    </row>
    <row r="211" spans="1:10" hidden="1" x14ac:dyDescent="0.45">
      <c r="A211" t="s">
        <v>65</v>
      </c>
      <c r="B211" t="s">
        <v>65</v>
      </c>
      <c r="D211" t="str">
        <f>IF(A211='PrototypeData-logprob'!A211,".","N")</f>
        <v>.</v>
      </c>
      <c r="E211" t="str">
        <f t="shared" si="3"/>
        <v>.</v>
      </c>
      <c r="H211" s="8" t="s">
        <v>65</v>
      </c>
      <c r="I211" s="8" t="s">
        <v>395</v>
      </c>
      <c r="J211" s="8" t="s">
        <v>427</v>
      </c>
    </row>
    <row r="212" spans="1:10" hidden="1" x14ac:dyDescent="0.45">
      <c r="A212" t="s">
        <v>57</v>
      </c>
      <c r="B212" t="s">
        <v>533</v>
      </c>
      <c r="D212" t="str">
        <f>IF(A212='PrototypeData-logprob'!A212,".","N")</f>
        <v>.</v>
      </c>
      <c r="E212" t="str">
        <f t="shared" si="3"/>
        <v>N</v>
      </c>
      <c r="H212" s="8" t="s">
        <v>291</v>
      </c>
      <c r="I212" s="8" t="s">
        <v>292</v>
      </c>
      <c r="J212" s="8" t="s">
        <v>436</v>
      </c>
    </row>
    <row r="213" spans="1:10" hidden="1" x14ac:dyDescent="0.45">
      <c r="A213" t="s">
        <v>74</v>
      </c>
      <c r="B213" t="s">
        <v>74</v>
      </c>
      <c r="D213" t="str">
        <f>IF(A213='PrototypeData-logprob'!A213,".","N")</f>
        <v>.</v>
      </c>
      <c r="E213" t="str">
        <f t="shared" si="3"/>
        <v>.</v>
      </c>
      <c r="H213" s="8" t="s">
        <v>275</v>
      </c>
      <c r="I213" s="8" t="s">
        <v>276</v>
      </c>
      <c r="J213" s="8" t="s">
        <v>426</v>
      </c>
    </row>
    <row r="214" spans="1:10" hidden="1" x14ac:dyDescent="0.45">
      <c r="A214" t="s">
        <v>19</v>
      </c>
      <c r="B214" t="s">
        <v>533</v>
      </c>
      <c r="D214" t="str">
        <f>IF(A214='PrototypeData-logprob'!A214,".","N")</f>
        <v>.</v>
      </c>
      <c r="E214" t="str">
        <f t="shared" si="3"/>
        <v>N</v>
      </c>
      <c r="H214" s="8" t="s">
        <v>111</v>
      </c>
      <c r="I214" s="8" t="s">
        <v>112</v>
      </c>
      <c r="J214" s="8" t="s">
        <v>421</v>
      </c>
    </row>
    <row r="215" spans="1:10" hidden="1" x14ac:dyDescent="0.45">
      <c r="A215" t="s">
        <v>67</v>
      </c>
      <c r="B215" t="s">
        <v>67</v>
      </c>
      <c r="D215" t="str">
        <f>IF(A215='PrototypeData-logprob'!A215,".","N")</f>
        <v>.</v>
      </c>
      <c r="E215" t="str">
        <f t="shared" si="3"/>
        <v>.</v>
      </c>
      <c r="H215" s="8" t="s">
        <v>104</v>
      </c>
      <c r="I215" s="8" t="s">
        <v>105</v>
      </c>
      <c r="J215" s="8" t="s">
        <v>422</v>
      </c>
    </row>
    <row r="216" spans="1:10" hidden="1" x14ac:dyDescent="0.45">
      <c r="A216" t="s">
        <v>57</v>
      </c>
      <c r="B216" t="s">
        <v>533</v>
      </c>
      <c r="D216" t="str">
        <f>IF(A216='PrototypeData-logprob'!A216,".","N")</f>
        <v>.</v>
      </c>
      <c r="E216" t="str">
        <f t="shared" si="3"/>
        <v>N</v>
      </c>
      <c r="H216" s="9" t="s">
        <v>398</v>
      </c>
      <c r="I216" s="8" t="s">
        <v>399</v>
      </c>
      <c r="J216" s="8" t="s">
        <v>433</v>
      </c>
    </row>
    <row r="217" spans="1:10" hidden="1" x14ac:dyDescent="0.45">
      <c r="A217" t="s">
        <v>57</v>
      </c>
      <c r="B217" t="s">
        <v>533</v>
      </c>
      <c r="D217" t="str">
        <f>IF(A217='PrototypeData-logprob'!A217,".","N")</f>
        <v>.</v>
      </c>
      <c r="E217" t="str">
        <f t="shared" si="3"/>
        <v>N</v>
      </c>
      <c r="H217" s="8" t="s">
        <v>261</v>
      </c>
      <c r="I217" s="8" t="s">
        <v>262</v>
      </c>
      <c r="J217" s="8" t="s">
        <v>436</v>
      </c>
    </row>
    <row r="218" spans="1:10" hidden="1" x14ac:dyDescent="0.45">
      <c r="A218" t="s">
        <v>57</v>
      </c>
      <c r="B218" t="s">
        <v>540</v>
      </c>
      <c r="D218" t="str">
        <f>IF(A218='PrototypeData-logprob'!A218,".","N")</f>
        <v>.</v>
      </c>
      <c r="E218" t="str">
        <f t="shared" si="3"/>
        <v>N</v>
      </c>
      <c r="H218" s="8" t="s">
        <v>333</v>
      </c>
      <c r="I218" s="8" t="s">
        <v>334</v>
      </c>
      <c r="J218" s="8" t="s">
        <v>435</v>
      </c>
    </row>
    <row r="219" spans="1:10" hidden="1" x14ac:dyDescent="0.45">
      <c r="A219" t="s">
        <v>61</v>
      </c>
      <c r="B219" t="s">
        <v>61</v>
      </c>
      <c r="D219" t="str">
        <f>IF(A219='PrototypeData-logprob'!A219,".","N")</f>
        <v>.</v>
      </c>
      <c r="E219" t="str">
        <f t="shared" si="3"/>
        <v>.</v>
      </c>
      <c r="H219" s="8" t="s">
        <v>269</v>
      </c>
      <c r="I219" s="8" t="s">
        <v>270</v>
      </c>
      <c r="J219" s="8" t="s">
        <v>416</v>
      </c>
    </row>
    <row r="220" spans="1:10" x14ac:dyDescent="0.45">
      <c r="A220" t="s">
        <v>74</v>
      </c>
      <c r="B220" t="s">
        <v>533</v>
      </c>
      <c r="D220" t="str">
        <f>IF(A220='PrototypeData-logprob'!A220,".","N")</f>
        <v>.</v>
      </c>
      <c r="E220" t="str">
        <f t="shared" si="3"/>
        <v>N</v>
      </c>
      <c r="F220" s="8" t="s">
        <v>514</v>
      </c>
      <c r="H220" s="8" t="s">
        <v>372</v>
      </c>
      <c r="I220" s="8" t="s">
        <v>99</v>
      </c>
      <c r="J220" s="8" t="s">
        <v>426</v>
      </c>
    </row>
    <row r="221" spans="1:10" hidden="1" x14ac:dyDescent="0.45">
      <c r="A221" t="s">
        <v>74</v>
      </c>
      <c r="B221" t="s">
        <v>74</v>
      </c>
      <c r="D221" t="str">
        <f>IF(A221='PrototypeData-logprob'!A221,".","N")</f>
        <v>.</v>
      </c>
      <c r="E221" t="str">
        <f t="shared" si="3"/>
        <v>.</v>
      </c>
      <c r="H221" s="8" t="s">
        <v>178</v>
      </c>
      <c r="I221" s="8" t="s">
        <v>179</v>
      </c>
      <c r="J221" s="8" t="s">
        <v>426</v>
      </c>
    </row>
    <row r="222" spans="1:10" hidden="1" x14ac:dyDescent="0.45">
      <c r="A222" t="s">
        <v>74</v>
      </c>
      <c r="B222" t="s">
        <v>74</v>
      </c>
      <c r="D222" t="str">
        <f>IF(A222='PrototypeData-logprob'!A222,".","N")</f>
        <v>.</v>
      </c>
      <c r="E222" t="str">
        <f t="shared" si="3"/>
        <v>.</v>
      </c>
      <c r="H222" s="8" t="s">
        <v>138</v>
      </c>
      <c r="I222" s="8" t="s">
        <v>139</v>
      </c>
      <c r="J222" s="8" t="s">
        <v>426</v>
      </c>
    </row>
    <row r="223" spans="1:10" hidden="1" x14ac:dyDescent="0.45">
      <c r="A223" t="s">
        <v>57</v>
      </c>
      <c r="B223" t="s">
        <v>533</v>
      </c>
      <c r="D223" t="str">
        <f>IF(A223='PrototypeData-logprob'!A223,".","N")</f>
        <v>.</v>
      </c>
      <c r="E223" t="str">
        <f t="shared" si="3"/>
        <v>N</v>
      </c>
      <c r="H223" s="8" t="s">
        <v>159</v>
      </c>
      <c r="I223" s="8" t="s">
        <v>99</v>
      </c>
      <c r="J223" s="8" t="s">
        <v>420</v>
      </c>
    </row>
    <row r="224" spans="1:10" hidden="1" x14ac:dyDescent="0.45">
      <c r="A224" t="s">
        <v>75</v>
      </c>
      <c r="B224" t="s">
        <v>75</v>
      </c>
      <c r="D224" t="str">
        <f>IF(A224='PrototypeData-logprob'!A224,".","N")</f>
        <v>.</v>
      </c>
      <c r="E224" t="str">
        <f t="shared" si="3"/>
        <v>.</v>
      </c>
      <c r="H224" s="8" t="s">
        <v>155</v>
      </c>
      <c r="I224" s="8" t="s">
        <v>156</v>
      </c>
      <c r="J224" s="8" t="s">
        <v>429</v>
      </c>
    </row>
    <row r="225" spans="1:10" hidden="1" x14ac:dyDescent="0.45">
      <c r="A225" t="s">
        <v>19</v>
      </c>
      <c r="B225" t="s">
        <v>533</v>
      </c>
      <c r="D225" t="str">
        <f>IF(A225='PrototypeData-logprob'!A225,".","N")</f>
        <v>.</v>
      </c>
      <c r="E225" t="str">
        <f t="shared" si="3"/>
        <v>N</v>
      </c>
      <c r="H225" s="9" t="s">
        <v>157</v>
      </c>
      <c r="I225" s="8" t="s">
        <v>158</v>
      </c>
      <c r="J225" s="8" t="s">
        <v>430</v>
      </c>
    </row>
    <row r="226" spans="1:10" hidden="1" x14ac:dyDescent="0.45">
      <c r="A226" t="s">
        <v>57</v>
      </c>
      <c r="B226" t="s">
        <v>533</v>
      </c>
      <c r="D226" t="str">
        <f>IF(A226='PrototypeData-logprob'!A226,".","N")</f>
        <v>.</v>
      </c>
      <c r="E226" t="str">
        <f t="shared" si="3"/>
        <v>N</v>
      </c>
      <c r="H226" s="8" t="s">
        <v>442</v>
      </c>
      <c r="I226" s="8" t="s">
        <v>443</v>
      </c>
      <c r="J226" s="8" t="s">
        <v>420</v>
      </c>
    </row>
    <row r="227" spans="1:10" hidden="1" x14ac:dyDescent="0.45">
      <c r="A227" t="s">
        <v>19</v>
      </c>
      <c r="B227" t="s">
        <v>65</v>
      </c>
      <c r="D227" t="str">
        <f>IF(A227='PrototypeData-logprob'!A227,".","N")</f>
        <v>.</v>
      </c>
      <c r="E227" t="str">
        <f t="shared" si="3"/>
        <v>N</v>
      </c>
      <c r="H227" s="8" t="s">
        <v>444</v>
      </c>
      <c r="I227" s="8" t="s">
        <v>99</v>
      </c>
      <c r="J227" s="8" t="s">
        <v>432</v>
      </c>
    </row>
    <row r="228" spans="1:10" hidden="1" x14ac:dyDescent="0.45">
      <c r="A228" t="s">
        <v>57</v>
      </c>
      <c r="B228" t="s">
        <v>533</v>
      </c>
      <c r="D228" t="str">
        <f>IF(A228='PrototypeData-logprob'!A228,".","N")</f>
        <v>.</v>
      </c>
      <c r="E228" t="str">
        <f t="shared" si="3"/>
        <v>N</v>
      </c>
      <c r="H228" s="8" t="s">
        <v>359</v>
      </c>
      <c r="I228" s="8" t="s">
        <v>99</v>
      </c>
      <c r="J228" s="8" t="s">
        <v>420</v>
      </c>
    </row>
    <row r="229" spans="1:10" hidden="1" x14ac:dyDescent="0.45">
      <c r="A229" t="s">
        <v>61</v>
      </c>
      <c r="B229" t="s">
        <v>61</v>
      </c>
      <c r="D229" t="str">
        <f>IF(A229='PrototypeData-logprob'!A229,".","N")</f>
        <v>.</v>
      </c>
      <c r="E229" t="str">
        <f t="shared" si="3"/>
        <v>.</v>
      </c>
      <c r="H229" s="8" t="s">
        <v>213</v>
      </c>
      <c r="I229" s="8" t="s">
        <v>214</v>
      </c>
      <c r="J229" s="8" t="s">
        <v>416</v>
      </c>
    </row>
    <row r="230" spans="1:10" hidden="1" x14ac:dyDescent="0.45">
      <c r="A230" t="s">
        <v>65</v>
      </c>
      <c r="B230" t="s">
        <v>65</v>
      </c>
      <c r="D230" t="str">
        <f>IF(A230='PrototypeData-logprob'!A230,".","N")</f>
        <v>.</v>
      </c>
      <c r="E230" t="str">
        <f t="shared" si="3"/>
        <v>.</v>
      </c>
      <c r="H230" s="8" t="s">
        <v>191</v>
      </c>
      <c r="I230" s="8" t="s">
        <v>192</v>
      </c>
      <c r="J230" s="8" t="s">
        <v>427</v>
      </c>
    </row>
    <row r="231" spans="1:10" hidden="1" x14ac:dyDescent="0.45">
      <c r="A231" t="s">
        <v>19</v>
      </c>
      <c r="B231" t="s">
        <v>533</v>
      </c>
      <c r="D231" t="str">
        <f>IF(A231='PrototypeData-logprob'!A231,".","N")</f>
        <v>.</v>
      </c>
      <c r="E231" t="str">
        <f t="shared" si="3"/>
        <v>N</v>
      </c>
      <c r="H231" s="8" t="s">
        <v>162</v>
      </c>
      <c r="I231" s="8" t="s">
        <v>163</v>
      </c>
      <c r="J231" s="8" t="s">
        <v>425</v>
      </c>
    </row>
    <row r="232" spans="1:10" hidden="1" x14ac:dyDescent="0.45">
      <c r="A232" t="s">
        <v>57</v>
      </c>
      <c r="B232" t="s">
        <v>80</v>
      </c>
      <c r="D232" t="str">
        <f>IF(A232='PrototypeData-logprob'!A232,".","N")</f>
        <v>.</v>
      </c>
      <c r="E232" t="str">
        <f t="shared" si="3"/>
        <v>N</v>
      </c>
      <c r="H232" s="8" t="s">
        <v>445</v>
      </c>
      <c r="I232" s="8" t="s">
        <v>446</v>
      </c>
      <c r="J232" s="8" t="s">
        <v>429</v>
      </c>
    </row>
    <row r="233" spans="1:10" hidden="1" x14ac:dyDescent="0.45">
      <c r="A233" t="s">
        <v>19</v>
      </c>
      <c r="B233" t="s">
        <v>533</v>
      </c>
      <c r="D233" t="str">
        <f>IF(A233='PrototypeData-logprob'!A233,".","N")</f>
        <v>.</v>
      </c>
      <c r="E233" t="str">
        <f t="shared" si="3"/>
        <v>N</v>
      </c>
      <c r="H233" s="8" t="s">
        <v>127</v>
      </c>
      <c r="I233" s="8" t="s">
        <v>128</v>
      </c>
      <c r="J233" s="8" t="s">
        <v>420</v>
      </c>
    </row>
    <row r="234" spans="1:10" hidden="1" x14ac:dyDescent="0.45">
      <c r="A234" t="s">
        <v>19</v>
      </c>
      <c r="B234" t="s">
        <v>533</v>
      </c>
      <c r="D234" t="str">
        <f>IF(A234='PrototypeData-logprob'!A234,".","N")</f>
        <v>.</v>
      </c>
      <c r="E234" t="str">
        <f t="shared" si="3"/>
        <v>N</v>
      </c>
      <c r="H234" s="8" t="s">
        <v>360</v>
      </c>
      <c r="I234" s="8" t="s">
        <v>361</v>
      </c>
      <c r="J234" s="8" t="s">
        <v>420</v>
      </c>
    </row>
    <row r="235" spans="1:10" hidden="1" x14ac:dyDescent="0.45">
      <c r="A235" t="s">
        <v>19</v>
      </c>
      <c r="B235" t="s">
        <v>533</v>
      </c>
      <c r="D235" t="str">
        <f>IF(A235='PrototypeData-logprob'!A235,".","N")</f>
        <v>.</v>
      </c>
      <c r="E235" t="str">
        <f t="shared" si="3"/>
        <v>N</v>
      </c>
      <c r="H235" s="8" t="s">
        <v>233</v>
      </c>
      <c r="I235" s="8" t="s">
        <v>234</v>
      </c>
      <c r="J235" s="8" t="s">
        <v>425</v>
      </c>
    </row>
    <row r="236" spans="1:10" hidden="1" x14ac:dyDescent="0.45">
      <c r="A236" t="s">
        <v>75</v>
      </c>
      <c r="B236" t="s">
        <v>75</v>
      </c>
      <c r="D236" t="str">
        <f>IF(A236='PrototypeData-logprob'!A236,".","N")</f>
        <v>.</v>
      </c>
      <c r="E236" t="str">
        <f t="shared" si="3"/>
        <v>.</v>
      </c>
      <c r="H236" s="8" t="s">
        <v>412</v>
      </c>
      <c r="I236" s="8" t="s">
        <v>413</v>
      </c>
      <c r="J236" s="8" t="s">
        <v>429</v>
      </c>
    </row>
    <row r="237" spans="1:10" hidden="1" x14ac:dyDescent="0.45">
      <c r="A237" t="s">
        <v>19</v>
      </c>
      <c r="B237" t="s">
        <v>533</v>
      </c>
      <c r="D237" t="str">
        <f>IF(A237='PrototypeData-logprob'!A237,".","N")</f>
        <v>.</v>
      </c>
      <c r="E237" t="str">
        <f t="shared" si="3"/>
        <v>N</v>
      </c>
      <c r="H237" s="8" t="s">
        <v>447</v>
      </c>
      <c r="I237" s="8" t="s">
        <v>448</v>
      </c>
      <c r="J237" s="8" t="s">
        <v>420</v>
      </c>
    </row>
    <row r="238" spans="1:10" hidden="1" x14ac:dyDescent="0.45">
      <c r="A238" t="s">
        <v>57</v>
      </c>
      <c r="B238" t="s">
        <v>533</v>
      </c>
      <c r="D238" t="str">
        <f>IF(A238='PrototypeData-logprob'!A238,".","N")</f>
        <v>.</v>
      </c>
      <c r="E238" t="str">
        <f t="shared" si="3"/>
        <v>N</v>
      </c>
      <c r="H238" s="8" t="s">
        <v>449</v>
      </c>
      <c r="I238" s="8" t="s">
        <v>450</v>
      </c>
      <c r="J238" s="8" t="s">
        <v>420</v>
      </c>
    </row>
    <row r="239" spans="1:10" hidden="1" x14ac:dyDescent="0.45">
      <c r="A239" t="s">
        <v>75</v>
      </c>
      <c r="B239" t="s">
        <v>75</v>
      </c>
      <c r="D239" t="str">
        <f>IF(A239='PrototypeData-logprob'!A239,".","N")</f>
        <v>.</v>
      </c>
      <c r="E239" t="str">
        <f t="shared" si="3"/>
        <v>.</v>
      </c>
      <c r="H239" s="8" t="s">
        <v>286</v>
      </c>
      <c r="I239" s="8" t="s">
        <v>287</v>
      </c>
      <c r="J239" s="8" t="s">
        <v>429</v>
      </c>
    </row>
    <row r="240" spans="1:10" hidden="1" x14ac:dyDescent="0.45">
      <c r="A240" t="s">
        <v>19</v>
      </c>
      <c r="B240" t="s">
        <v>533</v>
      </c>
      <c r="D240" t="str">
        <f>IF(A240='PrototypeData-logprob'!A240,".","N")</f>
        <v>.</v>
      </c>
      <c r="E240" t="str">
        <f t="shared" si="3"/>
        <v>N</v>
      </c>
      <c r="H240" s="8" t="s">
        <v>185</v>
      </c>
      <c r="I240" s="8" t="s">
        <v>186</v>
      </c>
      <c r="J240" s="8" t="s">
        <v>425</v>
      </c>
    </row>
    <row r="241" spans="1:10" hidden="1" x14ac:dyDescent="0.45">
      <c r="A241" t="s">
        <v>57</v>
      </c>
      <c r="B241" t="s">
        <v>91</v>
      </c>
      <c r="D241" t="str">
        <f>IF(A241='PrototypeData-logprob'!A241,".","N")</f>
        <v>.</v>
      </c>
      <c r="E241" t="str">
        <f t="shared" si="3"/>
        <v>N</v>
      </c>
      <c r="H241" s="8" t="s">
        <v>343</v>
      </c>
      <c r="I241" s="8" t="s">
        <v>344</v>
      </c>
      <c r="J241" s="8" t="s">
        <v>438</v>
      </c>
    </row>
    <row r="242" spans="1:10" hidden="1" x14ac:dyDescent="0.45">
      <c r="A242" t="s">
        <v>77</v>
      </c>
      <c r="B242" t="s">
        <v>77</v>
      </c>
      <c r="D242" t="str">
        <f>IF(A242='PrototypeData-logprob'!A242,".","N")</f>
        <v>.</v>
      </c>
      <c r="E242" t="str">
        <f t="shared" si="3"/>
        <v>.</v>
      </c>
      <c r="H242" s="8" t="s">
        <v>236</v>
      </c>
      <c r="I242" s="8" t="s">
        <v>237</v>
      </c>
      <c r="J242" s="8" t="s">
        <v>422</v>
      </c>
    </row>
    <row r="243" spans="1:10" hidden="1" x14ac:dyDescent="0.45">
      <c r="A243" t="s">
        <v>19</v>
      </c>
      <c r="B243" t="s">
        <v>533</v>
      </c>
      <c r="D243" t="str">
        <f>IF(A243='PrototypeData-logprob'!A243,".","N")</f>
        <v>.</v>
      </c>
      <c r="E243" t="str">
        <f t="shared" si="3"/>
        <v>N</v>
      </c>
      <c r="H243" s="8" t="s">
        <v>122</v>
      </c>
      <c r="I243" s="8" t="s">
        <v>123</v>
      </c>
      <c r="J243" s="8" t="s">
        <v>425</v>
      </c>
    </row>
    <row r="244" spans="1:10" hidden="1" x14ac:dyDescent="0.45">
      <c r="A244" t="s">
        <v>77</v>
      </c>
      <c r="B244" t="s">
        <v>77</v>
      </c>
      <c r="D244" t="str">
        <f>IF(A244='PrototypeData-logprob'!A244,".","N")</f>
        <v>.</v>
      </c>
      <c r="E244" t="str">
        <f t="shared" si="3"/>
        <v>.</v>
      </c>
      <c r="H244" s="8" t="s">
        <v>451</v>
      </c>
      <c r="I244" s="8" t="s">
        <v>237</v>
      </c>
      <c r="J244" s="8" t="s">
        <v>422</v>
      </c>
    </row>
    <row r="245" spans="1:10" hidden="1" x14ac:dyDescent="0.45">
      <c r="A245" t="s">
        <v>71</v>
      </c>
      <c r="B245" t="s">
        <v>71</v>
      </c>
      <c r="D245" t="str">
        <f>IF(A245='PrototypeData-logprob'!A245,".","N")</f>
        <v>.</v>
      </c>
      <c r="E245" t="str">
        <f t="shared" si="3"/>
        <v>.</v>
      </c>
      <c r="H245" s="8" t="s">
        <v>201</v>
      </c>
      <c r="I245" s="8" t="s">
        <v>202</v>
      </c>
      <c r="J245" s="8" t="s">
        <v>426</v>
      </c>
    </row>
    <row r="246" spans="1:10" hidden="1" x14ac:dyDescent="0.45">
      <c r="A246" t="s">
        <v>19</v>
      </c>
      <c r="B246" t="s">
        <v>533</v>
      </c>
      <c r="D246" t="str">
        <f>IF(A246='PrototypeData-logprob'!A246,".","N")</f>
        <v>.</v>
      </c>
      <c r="E246" t="str">
        <f t="shared" si="3"/>
        <v>N</v>
      </c>
      <c r="H246" s="8" t="s">
        <v>452</v>
      </c>
      <c r="I246" s="8" t="s">
        <v>453</v>
      </c>
      <c r="J246" s="8" t="s">
        <v>420</v>
      </c>
    </row>
    <row r="247" spans="1:10" hidden="1" x14ac:dyDescent="0.45">
      <c r="A247" t="s">
        <v>71</v>
      </c>
      <c r="B247" t="s">
        <v>71</v>
      </c>
      <c r="D247" t="str">
        <f>IF(A247='PrototypeData-logprob'!A247,".","N")</f>
        <v>.</v>
      </c>
      <c r="E247" t="str">
        <f t="shared" si="3"/>
        <v>.</v>
      </c>
      <c r="H247" s="8" t="s">
        <v>197</v>
      </c>
      <c r="I247" s="8" t="s">
        <v>198</v>
      </c>
      <c r="J247" s="8" t="s">
        <v>426</v>
      </c>
    </row>
    <row r="248" spans="1:10" hidden="1" x14ac:dyDescent="0.45">
      <c r="A248" t="s">
        <v>75</v>
      </c>
      <c r="B248" t="s">
        <v>75</v>
      </c>
      <c r="D248" t="str">
        <f>IF(A248='PrototypeData-logprob'!A248,".","N")</f>
        <v>.</v>
      </c>
      <c r="E248" t="str">
        <f t="shared" si="3"/>
        <v>.</v>
      </c>
      <c r="H248" s="8" t="s">
        <v>454</v>
      </c>
      <c r="I248" s="8" t="s">
        <v>455</v>
      </c>
      <c r="J248" s="8" t="s">
        <v>429</v>
      </c>
    </row>
    <row r="249" spans="1:10" hidden="1" x14ac:dyDescent="0.45">
      <c r="A249" t="s">
        <v>57</v>
      </c>
      <c r="B249" t="s">
        <v>533</v>
      </c>
      <c r="D249" t="str">
        <f>IF(A249='PrototypeData-logprob'!A249,".","N")</f>
        <v>.</v>
      </c>
      <c r="E249" t="str">
        <f t="shared" si="3"/>
        <v>N</v>
      </c>
      <c r="H249" s="8" t="s">
        <v>263</v>
      </c>
      <c r="I249" s="8" t="s">
        <v>264</v>
      </c>
      <c r="J249" s="8" t="s">
        <v>420</v>
      </c>
    </row>
    <row r="250" spans="1:10" hidden="1" x14ac:dyDescent="0.45">
      <c r="A250" t="s">
        <v>19</v>
      </c>
      <c r="B250" t="s">
        <v>533</v>
      </c>
      <c r="D250" t="str">
        <f>IF(A250='PrototypeData-logprob'!A250,".","N")</f>
        <v>.</v>
      </c>
      <c r="E250" t="str">
        <f t="shared" si="3"/>
        <v>N</v>
      </c>
      <c r="H250" s="8" t="s">
        <v>120</v>
      </c>
      <c r="I250" s="8" t="s">
        <v>121</v>
      </c>
      <c r="J250" s="8" t="s">
        <v>420</v>
      </c>
    </row>
    <row r="251" spans="1:10" hidden="1" x14ac:dyDescent="0.45">
      <c r="A251" t="s">
        <v>57</v>
      </c>
      <c r="B251" t="s">
        <v>533</v>
      </c>
      <c r="D251" t="str">
        <f>IF(A251='PrototypeData-logprob'!A251,".","N")</f>
        <v>.</v>
      </c>
      <c r="E251" t="str">
        <f t="shared" si="3"/>
        <v>N</v>
      </c>
      <c r="H251" s="8" t="s">
        <v>414</v>
      </c>
      <c r="I251" s="8" t="s">
        <v>99</v>
      </c>
      <c r="J251" s="8" t="s">
        <v>420</v>
      </c>
    </row>
    <row r="252" spans="1:10" hidden="1" x14ac:dyDescent="0.45">
      <c r="A252" t="s">
        <v>19</v>
      </c>
      <c r="B252" t="s">
        <v>533</v>
      </c>
      <c r="D252" t="str">
        <f>IF(A252='PrototypeData-logprob'!A252,".","N")</f>
        <v>.</v>
      </c>
      <c r="E252" t="str">
        <f t="shared" si="3"/>
        <v>N</v>
      </c>
      <c r="H252" s="8" t="s">
        <v>456</v>
      </c>
      <c r="I252" s="8" t="s">
        <v>457</v>
      </c>
      <c r="J252" s="10" t="s">
        <v>420</v>
      </c>
    </row>
    <row r="253" spans="1:10" hidden="1" x14ac:dyDescent="0.45">
      <c r="A253" t="s">
        <v>19</v>
      </c>
      <c r="B253" t="s">
        <v>533</v>
      </c>
      <c r="D253" t="str">
        <f>IF(A253='PrototypeData-logprob'!A253,".","N")</f>
        <v>.</v>
      </c>
      <c r="E253" t="str">
        <f t="shared" si="3"/>
        <v>N</v>
      </c>
      <c r="H253" s="8" t="s">
        <v>357</v>
      </c>
      <c r="I253" s="8" t="s">
        <v>358</v>
      </c>
      <c r="J253" s="8" t="s">
        <v>420</v>
      </c>
    </row>
    <row r="254" spans="1:10" hidden="1" x14ac:dyDescent="0.45">
      <c r="A254" t="s">
        <v>19</v>
      </c>
      <c r="B254" t="s">
        <v>65</v>
      </c>
      <c r="D254" t="str">
        <f>IF(A254='PrototypeData-logprob'!A254,".","N")</f>
        <v>.</v>
      </c>
      <c r="E254" t="str">
        <f t="shared" si="3"/>
        <v>N</v>
      </c>
      <c r="H254" s="8" t="s">
        <v>204</v>
      </c>
      <c r="I254" s="8" t="s">
        <v>205</v>
      </c>
      <c r="J254" s="8" t="s">
        <v>432</v>
      </c>
    </row>
    <row r="255" spans="1:10" hidden="1" x14ac:dyDescent="0.45">
      <c r="A255" t="s">
        <v>9</v>
      </c>
      <c r="B255" t="s">
        <v>533</v>
      </c>
      <c r="D255" t="str">
        <f>IF(A255='PrototypeData-logprob'!A255,".","N")</f>
        <v>.</v>
      </c>
      <c r="E255" t="str">
        <f t="shared" si="3"/>
        <v>N</v>
      </c>
      <c r="H255" s="8" t="s">
        <v>288</v>
      </c>
      <c r="I255" s="8" t="s">
        <v>289</v>
      </c>
      <c r="J255" s="8" t="s">
        <v>420</v>
      </c>
    </row>
    <row r="256" spans="1:10" hidden="1" x14ac:dyDescent="0.45">
      <c r="A256" t="s">
        <v>78</v>
      </c>
      <c r="B256" t="s">
        <v>78</v>
      </c>
      <c r="D256" t="str">
        <f>IF(A256='PrototypeData-logprob'!A256,".","N")</f>
        <v>.</v>
      </c>
      <c r="E256" t="str">
        <f t="shared" si="3"/>
        <v>.</v>
      </c>
      <c r="H256" s="8" t="s">
        <v>458</v>
      </c>
      <c r="I256" s="8" t="s">
        <v>459</v>
      </c>
      <c r="J256" s="8" t="s">
        <v>429</v>
      </c>
    </row>
    <row r="257" spans="1:10" hidden="1" x14ac:dyDescent="0.45">
      <c r="A257" t="s">
        <v>61</v>
      </c>
      <c r="B257" t="s">
        <v>61</v>
      </c>
      <c r="D257" t="str">
        <f>IF(A257='PrototypeData-logprob'!A257,".","N")</f>
        <v>.</v>
      </c>
      <c r="E257" t="str">
        <f t="shared" si="3"/>
        <v>.</v>
      </c>
      <c r="H257" s="8" t="s">
        <v>247</v>
      </c>
      <c r="I257" s="8" t="s">
        <v>248</v>
      </c>
      <c r="J257" s="8" t="s">
        <v>416</v>
      </c>
    </row>
    <row r="258" spans="1:10" hidden="1" x14ac:dyDescent="0.45">
      <c r="A258" t="s">
        <v>19</v>
      </c>
      <c r="B258" t="s">
        <v>533</v>
      </c>
      <c r="D258" t="str">
        <f>IF(A258='PrototypeData-logprob'!A258,".","N")</f>
        <v>.</v>
      </c>
      <c r="E258" t="str">
        <f t="shared" si="3"/>
        <v>N</v>
      </c>
      <c r="H258" s="8" t="s">
        <v>410</v>
      </c>
      <c r="I258" s="8" t="s">
        <v>411</v>
      </c>
      <c r="J258" s="8" t="s">
        <v>425</v>
      </c>
    </row>
    <row r="259" spans="1:10" hidden="1" x14ac:dyDescent="0.45">
      <c r="A259" t="s">
        <v>57</v>
      </c>
      <c r="B259" t="s">
        <v>87</v>
      </c>
      <c r="D259" t="str">
        <f>IF(A259='PrototypeData-logprob'!A259,".","N")</f>
        <v>.</v>
      </c>
      <c r="E259" t="str">
        <f t="shared" ref="E259:E322" si="4">IF(A259=B259,".","N")</f>
        <v>N</v>
      </c>
      <c r="H259" s="8" t="s">
        <v>389</v>
      </c>
      <c r="I259" s="8" t="s">
        <v>390</v>
      </c>
      <c r="J259" s="8" t="s">
        <v>420</v>
      </c>
    </row>
    <row r="260" spans="1:10" hidden="1" x14ac:dyDescent="0.45">
      <c r="A260" t="s">
        <v>19</v>
      </c>
      <c r="B260" t="s">
        <v>533</v>
      </c>
      <c r="D260" t="str">
        <f>IF(A260='PrototypeData-logprob'!A260,".","N")</f>
        <v>.</v>
      </c>
      <c r="E260" t="str">
        <f t="shared" si="4"/>
        <v>N</v>
      </c>
      <c r="H260" s="8" t="s">
        <v>277</v>
      </c>
      <c r="I260" s="8" t="s">
        <v>278</v>
      </c>
      <c r="J260" s="8" t="s">
        <v>437</v>
      </c>
    </row>
    <row r="261" spans="1:10" hidden="1" x14ac:dyDescent="0.45">
      <c r="A261" t="s">
        <v>57</v>
      </c>
      <c r="B261" t="s">
        <v>76</v>
      </c>
      <c r="D261" t="str">
        <f>IF(A261='PrototypeData-logprob'!A261,".","N")</f>
        <v>.</v>
      </c>
      <c r="E261" t="str">
        <f t="shared" si="4"/>
        <v>N</v>
      </c>
      <c r="H261" s="8" t="s">
        <v>133</v>
      </c>
      <c r="I261" s="8" t="s">
        <v>134</v>
      </c>
      <c r="J261" s="8" t="s">
        <v>428</v>
      </c>
    </row>
    <row r="262" spans="1:10" hidden="1" x14ac:dyDescent="0.45">
      <c r="A262" t="s">
        <v>57</v>
      </c>
      <c r="B262" t="s">
        <v>533</v>
      </c>
      <c r="D262" t="str">
        <f>IF(A262='PrototypeData-logprob'!A262,".","N")</f>
        <v>.</v>
      </c>
      <c r="E262" t="str">
        <f t="shared" si="4"/>
        <v>N</v>
      </c>
      <c r="H262" s="8" t="s">
        <v>460</v>
      </c>
      <c r="I262" s="8" t="s">
        <v>461</v>
      </c>
      <c r="J262" s="8" t="s">
        <v>420</v>
      </c>
    </row>
    <row r="263" spans="1:10" hidden="1" x14ac:dyDescent="0.45">
      <c r="A263" t="s">
        <v>73</v>
      </c>
      <c r="B263" t="s">
        <v>73</v>
      </c>
      <c r="D263" t="str">
        <f>IF(A263='PrototypeData-logprob'!A263,".","N")</f>
        <v>.</v>
      </c>
      <c r="E263" t="str">
        <f t="shared" si="4"/>
        <v>.</v>
      </c>
      <c r="H263" s="8" t="s">
        <v>165</v>
      </c>
      <c r="I263" s="8" t="s">
        <v>166</v>
      </c>
      <c r="J263" s="8" t="s">
        <v>424</v>
      </c>
    </row>
    <row r="264" spans="1:10" hidden="1" x14ac:dyDescent="0.45">
      <c r="A264" t="s">
        <v>80</v>
      </c>
      <c r="B264" t="s">
        <v>80</v>
      </c>
      <c r="D264" t="str">
        <f>IF(A264='PrototypeData-logprob'!A264,".","N")</f>
        <v>.</v>
      </c>
      <c r="E264" t="str">
        <f t="shared" si="4"/>
        <v>.</v>
      </c>
      <c r="H264" s="8" t="s">
        <v>325</v>
      </c>
      <c r="I264" s="8" t="s">
        <v>321</v>
      </c>
      <c r="J264" s="8" t="s">
        <v>429</v>
      </c>
    </row>
    <row r="265" spans="1:10" hidden="1" x14ac:dyDescent="0.45">
      <c r="A265" t="s">
        <v>65</v>
      </c>
      <c r="B265" t="s">
        <v>65</v>
      </c>
      <c r="D265" t="str">
        <f>IF(A265='PrototypeData-logprob'!A265,".","N")</f>
        <v>.</v>
      </c>
      <c r="E265" t="str">
        <f t="shared" si="4"/>
        <v>.</v>
      </c>
      <c r="H265" s="8" t="s">
        <v>316</v>
      </c>
      <c r="I265" s="8" t="s">
        <v>317</v>
      </c>
      <c r="J265" s="8" t="s">
        <v>427</v>
      </c>
    </row>
    <row r="266" spans="1:10" hidden="1" x14ac:dyDescent="0.45">
      <c r="A266" t="s">
        <v>57</v>
      </c>
      <c r="B266" t="s">
        <v>533</v>
      </c>
      <c r="D266" t="str">
        <f>IF(A266='PrototypeData-logprob'!A266,".","N")</f>
        <v>.</v>
      </c>
      <c r="E266" t="str">
        <f t="shared" si="4"/>
        <v>N</v>
      </c>
      <c r="H266" s="8" t="s">
        <v>206</v>
      </c>
      <c r="I266" s="8" t="s">
        <v>207</v>
      </c>
      <c r="J266" s="8" t="s">
        <v>433</v>
      </c>
    </row>
    <row r="267" spans="1:10" hidden="1" x14ac:dyDescent="0.45">
      <c r="A267" t="s">
        <v>19</v>
      </c>
      <c r="B267" t="s">
        <v>533</v>
      </c>
      <c r="D267" t="str">
        <f>IF(A267='PrototypeData-logprob'!A267,".","N")</f>
        <v>.</v>
      </c>
      <c r="E267" t="str">
        <f t="shared" si="4"/>
        <v>N</v>
      </c>
      <c r="H267" s="8" t="s">
        <v>375</v>
      </c>
      <c r="I267" s="8" t="s">
        <v>376</v>
      </c>
      <c r="J267" s="8" t="s">
        <v>425</v>
      </c>
    </row>
    <row r="268" spans="1:10" hidden="1" x14ac:dyDescent="0.45">
      <c r="A268" t="s">
        <v>19</v>
      </c>
      <c r="B268" t="s">
        <v>533</v>
      </c>
      <c r="D268" t="str">
        <f>IF(A268='PrototypeData-logprob'!A268,".","N")</f>
        <v>.</v>
      </c>
      <c r="E268" t="str">
        <f t="shared" si="4"/>
        <v>N</v>
      </c>
      <c r="H268" s="8" t="s">
        <v>129</v>
      </c>
      <c r="I268" s="8" t="s">
        <v>130</v>
      </c>
      <c r="J268" s="8" t="s">
        <v>426</v>
      </c>
    </row>
    <row r="269" spans="1:10" hidden="1" x14ac:dyDescent="0.45">
      <c r="A269" t="s">
        <v>57</v>
      </c>
      <c r="B269" t="s">
        <v>533</v>
      </c>
      <c r="D269" t="str">
        <f>IF(A269='PrototypeData-logprob'!A269,".","N")</f>
        <v>.</v>
      </c>
      <c r="E269" t="str">
        <f t="shared" si="4"/>
        <v>N</v>
      </c>
      <c r="H269" s="8" t="s">
        <v>462</v>
      </c>
      <c r="I269" s="8" t="s">
        <v>99</v>
      </c>
      <c r="J269" s="8" t="s">
        <v>418</v>
      </c>
    </row>
    <row r="270" spans="1:10" hidden="1" x14ac:dyDescent="0.45">
      <c r="A270" t="s">
        <v>57</v>
      </c>
      <c r="B270" t="s">
        <v>533</v>
      </c>
      <c r="D270" t="str">
        <f>IF(A270='PrototypeData-logprob'!A270,".","N")</f>
        <v>.</v>
      </c>
      <c r="E270" t="str">
        <f t="shared" si="4"/>
        <v>N</v>
      </c>
      <c r="H270" s="8" t="s">
        <v>313</v>
      </c>
      <c r="I270" s="8" t="s">
        <v>99</v>
      </c>
      <c r="J270" s="8" t="s">
        <v>420</v>
      </c>
    </row>
    <row r="271" spans="1:10" hidden="1" x14ac:dyDescent="0.45">
      <c r="A271" t="s">
        <v>19</v>
      </c>
      <c r="B271" t="s">
        <v>62</v>
      </c>
      <c r="D271" t="str">
        <f>IF(A271='PrototypeData-logprob'!A271,".","N")</f>
        <v>.</v>
      </c>
      <c r="E271" t="str">
        <f t="shared" si="4"/>
        <v>N</v>
      </c>
      <c r="H271" s="8" t="s">
        <v>145</v>
      </c>
      <c r="I271" s="8" t="s">
        <v>146</v>
      </c>
      <c r="J271" s="8" t="s">
        <v>417</v>
      </c>
    </row>
    <row r="272" spans="1:10" hidden="1" x14ac:dyDescent="0.45">
      <c r="A272" t="s">
        <v>65</v>
      </c>
      <c r="B272" t="s">
        <v>65</v>
      </c>
      <c r="D272" t="str">
        <f>IF(A272='PrototypeData-logprob'!A272,".","N")</f>
        <v>.</v>
      </c>
      <c r="E272" t="str">
        <f t="shared" si="4"/>
        <v>.</v>
      </c>
      <c r="H272" s="8" t="s">
        <v>211</v>
      </c>
      <c r="I272" s="8" t="s">
        <v>212</v>
      </c>
      <c r="J272" s="8" t="s">
        <v>427</v>
      </c>
    </row>
    <row r="273" spans="1:10" hidden="1" x14ac:dyDescent="0.45">
      <c r="A273" t="s">
        <v>74</v>
      </c>
      <c r="B273" t="s">
        <v>74</v>
      </c>
      <c r="D273" t="str">
        <f>IF(A273='PrototypeData-logprob'!A273,".","N")</f>
        <v>.</v>
      </c>
      <c r="E273" t="str">
        <f t="shared" si="4"/>
        <v>.</v>
      </c>
      <c r="H273" s="8" t="s">
        <v>377</v>
      </c>
      <c r="I273" s="8" t="s">
        <v>378</v>
      </c>
      <c r="J273" s="8" t="s">
        <v>426</v>
      </c>
    </row>
    <row r="274" spans="1:10" hidden="1" x14ac:dyDescent="0.45">
      <c r="A274" t="s">
        <v>78</v>
      </c>
      <c r="B274" t="s">
        <v>78</v>
      </c>
      <c r="D274" t="str">
        <f>IF(A274='PrototypeData-logprob'!A274,".","N")</f>
        <v>.</v>
      </c>
      <c r="E274" t="str">
        <f t="shared" si="4"/>
        <v>.</v>
      </c>
      <c r="H274" s="8" t="s">
        <v>391</v>
      </c>
      <c r="I274" s="8" t="s">
        <v>392</v>
      </c>
      <c r="J274" s="8" t="s">
        <v>429</v>
      </c>
    </row>
    <row r="275" spans="1:10" hidden="1" x14ac:dyDescent="0.45">
      <c r="A275" t="s">
        <v>76</v>
      </c>
      <c r="B275" t="s">
        <v>76</v>
      </c>
      <c r="D275" t="str">
        <f>IF(A275='PrototypeData-logprob'!A275,".","N")</f>
        <v>.</v>
      </c>
      <c r="E275" t="str">
        <f t="shared" si="4"/>
        <v>.</v>
      </c>
      <c r="H275" s="8" t="s">
        <v>172</v>
      </c>
      <c r="I275" s="8" t="s">
        <v>173</v>
      </c>
      <c r="J275" s="8" t="s">
        <v>428</v>
      </c>
    </row>
    <row r="276" spans="1:10" hidden="1" x14ac:dyDescent="0.45">
      <c r="A276" t="s">
        <v>57</v>
      </c>
      <c r="B276" t="s">
        <v>533</v>
      </c>
      <c r="D276" t="str">
        <f>IF(A276='PrototypeData-logprob'!A276,".","N")</f>
        <v>.</v>
      </c>
      <c r="E276" t="str">
        <f t="shared" si="4"/>
        <v>N</v>
      </c>
      <c r="H276" s="8" t="s">
        <v>312</v>
      </c>
      <c r="I276" s="8" t="s">
        <v>99</v>
      </c>
      <c r="J276" s="8" t="s">
        <v>420</v>
      </c>
    </row>
    <row r="277" spans="1:10" hidden="1" x14ac:dyDescent="0.45">
      <c r="A277" t="s">
        <v>88</v>
      </c>
      <c r="B277" t="s">
        <v>88</v>
      </c>
      <c r="D277" t="str">
        <f>IF(A277='PrototypeData-logprob'!A277,".","N")</f>
        <v>.</v>
      </c>
      <c r="E277" t="str">
        <f t="shared" si="4"/>
        <v>.</v>
      </c>
      <c r="H277" s="8" t="s">
        <v>400</v>
      </c>
      <c r="I277" s="8" t="s">
        <v>401</v>
      </c>
      <c r="J277" s="8" t="s">
        <v>438</v>
      </c>
    </row>
    <row r="278" spans="1:10" hidden="1" x14ac:dyDescent="0.45">
      <c r="A278" t="s">
        <v>79</v>
      </c>
      <c r="B278" t="s">
        <v>79</v>
      </c>
      <c r="D278" t="str">
        <f>IF(A278='PrototypeData-logprob'!A278,".","N")</f>
        <v>.</v>
      </c>
      <c r="E278" t="str">
        <f t="shared" si="4"/>
        <v>.</v>
      </c>
      <c r="H278" s="8" t="s">
        <v>217</v>
      </c>
      <c r="I278" s="8" t="s">
        <v>218</v>
      </c>
      <c r="J278" s="8" t="s">
        <v>434</v>
      </c>
    </row>
    <row r="279" spans="1:10" hidden="1" x14ac:dyDescent="0.45">
      <c r="A279" t="s">
        <v>66</v>
      </c>
      <c r="B279" t="s">
        <v>66</v>
      </c>
      <c r="D279" t="str">
        <f>IF(A279='PrototypeData-logprob'!A279,".","N")</f>
        <v>.</v>
      </c>
      <c r="E279" t="str">
        <f t="shared" si="4"/>
        <v>.</v>
      </c>
      <c r="H279" s="8" t="s">
        <v>118</v>
      </c>
      <c r="I279" s="8" t="s">
        <v>119</v>
      </c>
      <c r="J279" s="8" t="s">
        <v>421</v>
      </c>
    </row>
    <row r="280" spans="1:10" hidden="1" x14ac:dyDescent="0.45">
      <c r="A280" t="s">
        <v>57</v>
      </c>
      <c r="B280" t="s">
        <v>533</v>
      </c>
      <c r="D280" t="str">
        <f>IF(A280='PrototypeData-logprob'!A280,".","N")</f>
        <v>.</v>
      </c>
      <c r="E280" t="str">
        <f t="shared" si="4"/>
        <v>N</v>
      </c>
      <c r="H280" s="8" t="s">
        <v>154</v>
      </c>
      <c r="I280" s="8" t="s">
        <v>99</v>
      </c>
      <c r="J280" s="8" t="s">
        <v>420</v>
      </c>
    </row>
    <row r="281" spans="1:10" hidden="1" x14ac:dyDescent="0.45">
      <c r="A281" t="s">
        <v>84</v>
      </c>
      <c r="B281" t="s">
        <v>84</v>
      </c>
      <c r="D281" t="str">
        <f>IF(A281='PrototypeData-logprob'!A281,".","N")</f>
        <v>.</v>
      </c>
      <c r="E281" t="str">
        <f t="shared" si="4"/>
        <v>.</v>
      </c>
      <c r="H281" s="8" t="s">
        <v>294</v>
      </c>
      <c r="I281" s="8" t="s">
        <v>295</v>
      </c>
      <c r="J281" s="8" t="s">
        <v>438</v>
      </c>
    </row>
    <row r="282" spans="1:10" hidden="1" x14ac:dyDescent="0.45">
      <c r="A282" t="s">
        <v>19</v>
      </c>
      <c r="B282" t="s">
        <v>533</v>
      </c>
      <c r="D282" t="str">
        <f>IF(A282='PrototypeData-logprob'!A282,".","N")</f>
        <v>.</v>
      </c>
      <c r="E282" t="str">
        <f t="shared" si="4"/>
        <v>N</v>
      </c>
      <c r="H282" s="8" t="s">
        <v>463</v>
      </c>
      <c r="I282" s="8" t="s">
        <v>464</v>
      </c>
      <c r="J282" s="8" t="s">
        <v>436</v>
      </c>
    </row>
    <row r="283" spans="1:10" x14ac:dyDescent="0.45">
      <c r="A283" t="s">
        <v>74</v>
      </c>
      <c r="B283" t="s">
        <v>71</v>
      </c>
      <c r="D283" t="str">
        <f>IF(A283='PrototypeData-logprob'!A283,".","N")</f>
        <v>.</v>
      </c>
      <c r="E283" t="str">
        <f t="shared" si="4"/>
        <v>N</v>
      </c>
      <c r="F283" s="8" t="s">
        <v>514</v>
      </c>
      <c r="H283" s="8" t="s">
        <v>182</v>
      </c>
      <c r="I283" s="8" t="s">
        <v>99</v>
      </c>
      <c r="J283" s="8" t="s">
        <v>426</v>
      </c>
    </row>
    <row r="284" spans="1:10" hidden="1" x14ac:dyDescent="0.45">
      <c r="A284" t="s">
        <v>79</v>
      </c>
      <c r="B284" t="s">
        <v>79</v>
      </c>
      <c r="D284" t="str">
        <f>IF(A284='PrototypeData-logprob'!A284,".","N")</f>
        <v>.</v>
      </c>
      <c r="E284" t="str">
        <f t="shared" si="4"/>
        <v>.</v>
      </c>
      <c r="H284" s="8" t="s">
        <v>350</v>
      </c>
      <c r="I284" s="8" t="s">
        <v>351</v>
      </c>
      <c r="J284" s="8" t="s">
        <v>434</v>
      </c>
    </row>
    <row r="285" spans="1:10" hidden="1" x14ac:dyDescent="0.45">
      <c r="A285" t="s">
        <v>19</v>
      </c>
      <c r="B285" t="s">
        <v>533</v>
      </c>
      <c r="D285" t="str">
        <f>IF(A285='PrototypeData-logprob'!A285,".","N")</f>
        <v>.</v>
      </c>
      <c r="E285" t="str">
        <f t="shared" si="4"/>
        <v>N</v>
      </c>
      <c r="H285" s="8" t="s">
        <v>386</v>
      </c>
      <c r="I285" s="8" t="s">
        <v>387</v>
      </c>
      <c r="J285" s="8" t="s">
        <v>425</v>
      </c>
    </row>
    <row r="286" spans="1:10" hidden="1" x14ac:dyDescent="0.45">
      <c r="A286" t="s">
        <v>19</v>
      </c>
      <c r="B286" t="s">
        <v>66</v>
      </c>
      <c r="D286" t="str">
        <f>IF(A286='PrototypeData-logprob'!A286,".","N")</f>
        <v>.</v>
      </c>
      <c r="E286" t="str">
        <f t="shared" si="4"/>
        <v>N</v>
      </c>
      <c r="H286" s="8" t="s">
        <v>303</v>
      </c>
      <c r="I286" s="8" t="s">
        <v>304</v>
      </c>
      <c r="J286" s="8" t="s">
        <v>421</v>
      </c>
    </row>
    <row r="287" spans="1:10" hidden="1" x14ac:dyDescent="0.45">
      <c r="A287" t="s">
        <v>85</v>
      </c>
      <c r="B287" t="s">
        <v>85</v>
      </c>
      <c r="D287" t="str">
        <f>IF(A287='PrototypeData-logprob'!A287,".","N")</f>
        <v>.</v>
      </c>
      <c r="E287" t="str">
        <f t="shared" si="4"/>
        <v>.</v>
      </c>
      <c r="H287" s="8" t="s">
        <v>329</v>
      </c>
      <c r="I287" s="8" t="s">
        <v>330</v>
      </c>
      <c r="J287" s="8" t="s">
        <v>423</v>
      </c>
    </row>
    <row r="288" spans="1:10" hidden="1" x14ac:dyDescent="0.45">
      <c r="A288" t="s">
        <v>57</v>
      </c>
      <c r="B288" t="s">
        <v>533</v>
      </c>
      <c r="D288" t="str">
        <f>IF(A288='PrototypeData-logprob'!A288,".","N")</f>
        <v>.</v>
      </c>
      <c r="E288" t="str">
        <f t="shared" si="4"/>
        <v>N</v>
      </c>
      <c r="H288" s="8" t="s">
        <v>187</v>
      </c>
      <c r="I288" s="8" t="s">
        <v>99</v>
      </c>
      <c r="J288" s="8" t="s">
        <v>431</v>
      </c>
    </row>
    <row r="289" spans="1:10" hidden="1" x14ac:dyDescent="0.45">
      <c r="A289" t="s">
        <v>19</v>
      </c>
      <c r="B289" t="s">
        <v>533</v>
      </c>
      <c r="D289" t="str">
        <f>IF(A289='PrototypeData-logprob'!A289,".","N")</f>
        <v>.</v>
      </c>
      <c r="E289" t="str">
        <f t="shared" si="4"/>
        <v>N</v>
      </c>
      <c r="H289" s="8" t="s">
        <v>199</v>
      </c>
      <c r="I289" s="8" t="s">
        <v>200</v>
      </c>
      <c r="J289" s="8" t="s">
        <v>418</v>
      </c>
    </row>
    <row r="290" spans="1:10" hidden="1" x14ac:dyDescent="0.45">
      <c r="A290" t="s">
        <v>73</v>
      </c>
      <c r="B290" t="s">
        <v>73</v>
      </c>
      <c r="D290" t="str">
        <f>IF(A290='PrototypeData-logprob'!A290,".","N")</f>
        <v>.</v>
      </c>
      <c r="E290" t="str">
        <f t="shared" si="4"/>
        <v>.</v>
      </c>
      <c r="H290" s="8" t="s">
        <v>370</v>
      </c>
      <c r="I290" s="8" t="s">
        <v>371</v>
      </c>
      <c r="J290" s="8" t="s">
        <v>424</v>
      </c>
    </row>
    <row r="291" spans="1:10" hidden="1" x14ac:dyDescent="0.45">
      <c r="A291" t="s">
        <v>61</v>
      </c>
      <c r="B291" t="s">
        <v>61</v>
      </c>
      <c r="D291" t="str">
        <f>IF(A291='PrototypeData-logprob'!A291,".","N")</f>
        <v>.</v>
      </c>
      <c r="E291" t="str">
        <f t="shared" si="4"/>
        <v>.</v>
      </c>
      <c r="H291" s="8" t="s">
        <v>323</v>
      </c>
      <c r="I291" s="8" t="s">
        <v>324</v>
      </c>
      <c r="J291" s="8" t="s">
        <v>416</v>
      </c>
    </row>
    <row r="292" spans="1:10" hidden="1" x14ac:dyDescent="0.45">
      <c r="A292" t="s">
        <v>68</v>
      </c>
      <c r="B292" t="s">
        <v>68</v>
      </c>
      <c r="D292" t="str">
        <f>IF(A292='PrototypeData-logprob'!A292,".","N")</f>
        <v>.</v>
      </c>
      <c r="E292" t="str">
        <f t="shared" si="4"/>
        <v>.</v>
      </c>
      <c r="H292" s="8" t="s">
        <v>152</v>
      </c>
      <c r="I292" s="8" t="s">
        <v>153</v>
      </c>
      <c r="J292" s="8" t="s">
        <v>423</v>
      </c>
    </row>
    <row r="293" spans="1:10" hidden="1" x14ac:dyDescent="0.45">
      <c r="A293" t="s">
        <v>19</v>
      </c>
      <c r="B293" t="s">
        <v>533</v>
      </c>
      <c r="D293" t="str">
        <f>IF(A293='PrototypeData-logprob'!A293,".","N")</f>
        <v>.</v>
      </c>
      <c r="E293" t="str">
        <f t="shared" si="4"/>
        <v>N</v>
      </c>
      <c r="H293" s="8" t="s">
        <v>465</v>
      </c>
      <c r="I293" s="8" t="s">
        <v>466</v>
      </c>
      <c r="J293" s="8" t="s">
        <v>420</v>
      </c>
    </row>
    <row r="294" spans="1:10" hidden="1" x14ac:dyDescent="0.45">
      <c r="A294" t="s">
        <v>19</v>
      </c>
      <c r="B294" t="s">
        <v>65</v>
      </c>
      <c r="D294" t="str">
        <f>IF(A294='PrototypeData-logprob'!A294,".","N")</f>
        <v>.</v>
      </c>
      <c r="E294" t="str">
        <f t="shared" si="4"/>
        <v>N</v>
      </c>
      <c r="H294" s="8" t="s">
        <v>467</v>
      </c>
      <c r="I294" s="8" t="s">
        <v>468</v>
      </c>
      <c r="J294" s="8" t="s">
        <v>432</v>
      </c>
    </row>
    <row r="295" spans="1:10" hidden="1" x14ac:dyDescent="0.45">
      <c r="A295" t="s">
        <v>57</v>
      </c>
      <c r="B295" t="s">
        <v>73</v>
      </c>
      <c r="D295" t="str">
        <f>IF(A295='PrototypeData-logprob'!A295,".","N")</f>
        <v>.</v>
      </c>
      <c r="E295" t="str">
        <f t="shared" si="4"/>
        <v>N</v>
      </c>
      <c r="H295" s="8" t="s">
        <v>469</v>
      </c>
      <c r="I295" s="8" t="s">
        <v>99</v>
      </c>
      <c r="J295" s="8" t="s">
        <v>424</v>
      </c>
    </row>
    <row r="296" spans="1:10" hidden="1" x14ac:dyDescent="0.45">
      <c r="A296" t="s">
        <v>57</v>
      </c>
      <c r="B296" t="s">
        <v>73</v>
      </c>
      <c r="D296" t="str">
        <f>IF(A296='PrototypeData-logprob'!A296,".","N")</f>
        <v>.</v>
      </c>
      <c r="E296" t="str">
        <f t="shared" si="4"/>
        <v>N</v>
      </c>
      <c r="H296" s="8" t="s">
        <v>470</v>
      </c>
      <c r="I296" s="8" t="s">
        <v>99</v>
      </c>
      <c r="J296" s="8" t="s">
        <v>424</v>
      </c>
    </row>
    <row r="297" spans="1:10" hidden="1" x14ac:dyDescent="0.45">
      <c r="A297" t="s">
        <v>57</v>
      </c>
      <c r="B297" t="s">
        <v>77</v>
      </c>
      <c r="D297" t="str">
        <f>IF(A297='PrototypeData-logprob'!A297,".","N")</f>
        <v>.</v>
      </c>
      <c r="E297" t="str">
        <f t="shared" si="4"/>
        <v>N</v>
      </c>
      <c r="H297" s="8" t="s">
        <v>471</v>
      </c>
      <c r="I297" s="8" t="s">
        <v>99</v>
      </c>
      <c r="J297" s="8" t="s">
        <v>422</v>
      </c>
    </row>
    <row r="298" spans="1:10" hidden="1" x14ac:dyDescent="0.45">
      <c r="A298" t="s">
        <v>57</v>
      </c>
      <c r="B298" t="s">
        <v>533</v>
      </c>
      <c r="D298" t="str">
        <f>IF(A298='PrototypeData-logprob'!A298,".","N")</f>
        <v>.</v>
      </c>
      <c r="E298" t="str">
        <f t="shared" si="4"/>
        <v>N</v>
      </c>
      <c r="H298" s="8" t="s">
        <v>472</v>
      </c>
      <c r="I298" s="8" t="s">
        <v>99</v>
      </c>
      <c r="J298" s="8" t="s">
        <v>418</v>
      </c>
    </row>
    <row r="299" spans="1:10" hidden="1" x14ac:dyDescent="0.45">
      <c r="A299" t="s">
        <v>9</v>
      </c>
      <c r="B299" t="s">
        <v>533</v>
      </c>
      <c r="D299" t="str">
        <f>IF(A299='PrototypeData-logprob'!A299,".","N")</f>
        <v>.</v>
      </c>
      <c r="E299" t="str">
        <f t="shared" si="4"/>
        <v>N</v>
      </c>
      <c r="H299" s="8" t="s">
        <v>288</v>
      </c>
      <c r="I299" s="8" t="s">
        <v>289</v>
      </c>
      <c r="J299" s="8" t="s">
        <v>420</v>
      </c>
    </row>
    <row r="300" spans="1:10" hidden="1" x14ac:dyDescent="0.45">
      <c r="A300" t="s">
        <v>75</v>
      </c>
      <c r="B300" t="s">
        <v>75</v>
      </c>
      <c r="D300" t="str">
        <f>IF(A300='PrototypeData-logprob'!A300,".","N")</f>
        <v>.</v>
      </c>
      <c r="E300" t="str">
        <f t="shared" si="4"/>
        <v>.</v>
      </c>
      <c r="H300" s="8" t="s">
        <v>454</v>
      </c>
      <c r="I300" s="8" t="s">
        <v>455</v>
      </c>
      <c r="J300" s="8" t="s">
        <v>429</v>
      </c>
    </row>
    <row r="301" spans="1:10" hidden="1" x14ac:dyDescent="0.45">
      <c r="A301" t="s">
        <v>19</v>
      </c>
      <c r="B301" t="s">
        <v>533</v>
      </c>
      <c r="D301" t="str">
        <f>IF(A301='PrototypeData-logprob'!A301,".","N")</f>
        <v>.</v>
      </c>
      <c r="E301" t="str">
        <f t="shared" si="4"/>
        <v>N</v>
      </c>
      <c r="H301" s="8" t="s">
        <v>291</v>
      </c>
      <c r="I301" s="8" t="s">
        <v>292</v>
      </c>
      <c r="J301" s="8" t="s">
        <v>436</v>
      </c>
    </row>
    <row r="302" spans="1:10" hidden="1" x14ac:dyDescent="0.45">
      <c r="A302" t="s">
        <v>57</v>
      </c>
      <c r="B302" t="s">
        <v>73</v>
      </c>
      <c r="D302" t="str">
        <f>IF(A302='PrototypeData-logprob'!A302,".","N")</f>
        <v>.</v>
      </c>
      <c r="E302" t="str">
        <f t="shared" si="4"/>
        <v>N</v>
      </c>
      <c r="H302" s="8" t="s">
        <v>470</v>
      </c>
      <c r="I302" s="8" t="s">
        <v>99</v>
      </c>
      <c r="J302" s="8" t="s">
        <v>424</v>
      </c>
    </row>
    <row r="303" spans="1:10" hidden="1" x14ac:dyDescent="0.45">
      <c r="A303" t="s">
        <v>19</v>
      </c>
      <c r="B303" t="s">
        <v>533</v>
      </c>
      <c r="D303" t="str">
        <f>IF(A303='PrototypeData-logprob'!A303,".","N")</f>
        <v>.</v>
      </c>
      <c r="E303" t="str">
        <f t="shared" si="4"/>
        <v>N</v>
      </c>
      <c r="H303" s="8" t="s">
        <v>261</v>
      </c>
      <c r="I303" s="8" t="s">
        <v>262</v>
      </c>
      <c r="J303" s="8" t="s">
        <v>436</v>
      </c>
    </row>
    <row r="304" spans="1:10" hidden="1" x14ac:dyDescent="0.45">
      <c r="A304" t="s">
        <v>57</v>
      </c>
      <c r="B304" t="s">
        <v>533</v>
      </c>
      <c r="D304" t="str">
        <f>IF(A304='PrototypeData-logprob'!A304,".","N")</f>
        <v>.</v>
      </c>
      <c r="E304" t="str">
        <f t="shared" si="4"/>
        <v>N</v>
      </c>
      <c r="H304" s="8" t="s">
        <v>398</v>
      </c>
      <c r="I304" s="8" t="s">
        <v>399</v>
      </c>
      <c r="J304" s="8" t="s">
        <v>433</v>
      </c>
    </row>
    <row r="305" spans="1:10" hidden="1" x14ac:dyDescent="0.45">
      <c r="A305" t="s">
        <v>74</v>
      </c>
      <c r="B305" t="s">
        <v>74</v>
      </c>
      <c r="D305" t="str">
        <f>IF(A305='PrototypeData-logprob'!A305,".","N")</f>
        <v>.</v>
      </c>
      <c r="E305" t="str">
        <f t="shared" si="4"/>
        <v>.</v>
      </c>
      <c r="H305" s="8" t="s">
        <v>377</v>
      </c>
      <c r="I305" s="8" t="s">
        <v>378</v>
      </c>
      <c r="J305" s="8" t="s">
        <v>426</v>
      </c>
    </row>
    <row r="306" spans="1:10" hidden="1" x14ac:dyDescent="0.45">
      <c r="A306" t="s">
        <v>57</v>
      </c>
      <c r="B306" t="s">
        <v>533</v>
      </c>
      <c r="D306" t="str">
        <f>IF(A306='PrototypeData-logprob'!A306,".","N")</f>
        <v>.</v>
      </c>
      <c r="E306" t="str">
        <f t="shared" si="4"/>
        <v>N</v>
      </c>
      <c r="H306" s="8" t="s">
        <v>473</v>
      </c>
      <c r="I306" s="8" t="s">
        <v>474</v>
      </c>
      <c r="J306" s="8" t="s">
        <v>497</v>
      </c>
    </row>
    <row r="307" spans="1:10" hidden="1" x14ac:dyDescent="0.45">
      <c r="A307" t="s">
        <v>57</v>
      </c>
      <c r="B307" t="s">
        <v>533</v>
      </c>
      <c r="D307" t="str">
        <f>IF(A307='PrototypeData-logprob'!A307,".","N")</f>
        <v>.</v>
      </c>
      <c r="E307" t="str">
        <f t="shared" si="4"/>
        <v>N</v>
      </c>
      <c r="H307" s="8" t="s">
        <v>159</v>
      </c>
      <c r="I307" s="8" t="s">
        <v>99</v>
      </c>
      <c r="J307" s="8" t="s">
        <v>420</v>
      </c>
    </row>
    <row r="308" spans="1:10" hidden="1" x14ac:dyDescent="0.45">
      <c r="A308" t="s">
        <v>19</v>
      </c>
      <c r="B308" t="s">
        <v>65</v>
      </c>
      <c r="D308" t="str">
        <f>IF(A308='PrototypeData-logprob'!A308,".","N")</f>
        <v>.</v>
      </c>
      <c r="E308" t="str">
        <f t="shared" si="4"/>
        <v>N</v>
      </c>
      <c r="H308" s="8" t="s">
        <v>467</v>
      </c>
      <c r="I308" s="8" t="s">
        <v>468</v>
      </c>
      <c r="J308" s="8" t="s">
        <v>432</v>
      </c>
    </row>
    <row r="309" spans="1:10" hidden="1" x14ac:dyDescent="0.45">
      <c r="A309" t="s">
        <v>57</v>
      </c>
      <c r="B309" t="s">
        <v>533</v>
      </c>
      <c r="D309" t="str">
        <f>IF(A309='PrototypeData-logprob'!A309,".","N")</f>
        <v>.</v>
      </c>
      <c r="E309" t="str">
        <f t="shared" si="4"/>
        <v>N</v>
      </c>
      <c r="H309" s="8" t="s">
        <v>271</v>
      </c>
      <c r="I309" s="8" t="s">
        <v>99</v>
      </c>
      <c r="J309" s="8" t="s">
        <v>420</v>
      </c>
    </row>
    <row r="310" spans="1:10" hidden="1" x14ac:dyDescent="0.45">
      <c r="A310" t="s">
        <v>57</v>
      </c>
      <c r="B310" t="s">
        <v>69</v>
      </c>
      <c r="D310" t="str">
        <f>IF(A310='PrototypeData-logprob'!A310,".","N")</f>
        <v>.</v>
      </c>
      <c r="E310" t="str">
        <f t="shared" si="4"/>
        <v>N</v>
      </c>
      <c r="H310" s="8" t="s">
        <v>475</v>
      </c>
      <c r="I310" s="8" t="s">
        <v>476</v>
      </c>
      <c r="J310" s="8" t="s">
        <v>424</v>
      </c>
    </row>
    <row r="311" spans="1:10" hidden="1" x14ac:dyDescent="0.45">
      <c r="A311" t="s">
        <v>57</v>
      </c>
      <c r="B311" t="s">
        <v>533</v>
      </c>
      <c r="D311" t="str">
        <f>IF(A311='PrototypeData-logprob'!A311,".","N")</f>
        <v>.</v>
      </c>
      <c r="E311" t="str">
        <f t="shared" si="4"/>
        <v>N</v>
      </c>
      <c r="H311" s="8" t="s">
        <v>154</v>
      </c>
      <c r="I311" s="8" t="s">
        <v>99</v>
      </c>
      <c r="J311" s="8" t="s">
        <v>420</v>
      </c>
    </row>
    <row r="312" spans="1:10" hidden="1" x14ac:dyDescent="0.45">
      <c r="A312" t="s">
        <v>19</v>
      </c>
      <c r="B312" t="s">
        <v>533</v>
      </c>
      <c r="D312" t="str">
        <f>IF(A312='PrototypeData-logprob'!A312,".","N")</f>
        <v>.</v>
      </c>
      <c r="E312" t="str">
        <f t="shared" si="4"/>
        <v>N</v>
      </c>
      <c r="H312" s="8" t="s">
        <v>185</v>
      </c>
      <c r="I312" s="8" t="s">
        <v>186</v>
      </c>
      <c r="J312" s="8" t="s">
        <v>425</v>
      </c>
    </row>
    <row r="313" spans="1:10" hidden="1" x14ac:dyDescent="0.45">
      <c r="A313" t="s">
        <v>68</v>
      </c>
      <c r="B313" t="s">
        <v>68</v>
      </c>
      <c r="D313" t="str">
        <f>IF(A313='PrototypeData-logprob'!A313,".","N")</f>
        <v>.</v>
      </c>
      <c r="E313" t="str">
        <f t="shared" si="4"/>
        <v>.</v>
      </c>
      <c r="H313" s="8" t="s">
        <v>176</v>
      </c>
      <c r="I313" s="8" t="s">
        <v>177</v>
      </c>
      <c r="J313" s="8" t="s">
        <v>423</v>
      </c>
    </row>
    <row r="314" spans="1:10" hidden="1" x14ac:dyDescent="0.45">
      <c r="A314" t="s">
        <v>57</v>
      </c>
      <c r="B314" t="s">
        <v>533</v>
      </c>
      <c r="D314" t="str">
        <f>IF(A314='PrototypeData-logprob'!A314,".","N")</f>
        <v>.</v>
      </c>
      <c r="E314" t="str">
        <f t="shared" si="4"/>
        <v>N</v>
      </c>
      <c r="H314" s="8" t="s">
        <v>313</v>
      </c>
      <c r="I314" s="8" t="s">
        <v>99</v>
      </c>
      <c r="J314" s="8" t="s">
        <v>420</v>
      </c>
    </row>
    <row r="315" spans="1:10" x14ac:dyDescent="0.45">
      <c r="A315" t="s">
        <v>85</v>
      </c>
      <c r="B315" t="s">
        <v>68</v>
      </c>
      <c r="D315" t="str">
        <f>IF(A315='PrototypeData-logprob'!A315,".","N")</f>
        <v>.</v>
      </c>
      <c r="E315" t="str">
        <f t="shared" si="4"/>
        <v>N</v>
      </c>
      <c r="F315" s="8" t="s">
        <v>515</v>
      </c>
      <c r="H315" s="8" t="s">
        <v>477</v>
      </c>
      <c r="I315" s="8" t="s">
        <v>478</v>
      </c>
      <c r="J315" s="8" t="s">
        <v>423</v>
      </c>
    </row>
    <row r="316" spans="1:10" hidden="1" x14ac:dyDescent="0.45">
      <c r="A316" t="s">
        <v>57</v>
      </c>
      <c r="B316" t="s">
        <v>533</v>
      </c>
      <c r="D316" t="str">
        <f>IF(A316='PrototypeData-logprob'!A316,".","N")</f>
        <v>.</v>
      </c>
      <c r="E316" t="str">
        <f t="shared" si="4"/>
        <v>N</v>
      </c>
      <c r="H316" s="8" t="s">
        <v>479</v>
      </c>
      <c r="I316" s="8" t="s">
        <v>480</v>
      </c>
      <c r="J316" s="8" t="s">
        <v>498</v>
      </c>
    </row>
    <row r="317" spans="1:10" hidden="1" x14ac:dyDescent="0.45">
      <c r="A317" t="s">
        <v>74</v>
      </c>
      <c r="B317" t="s">
        <v>74</v>
      </c>
      <c r="D317" t="str">
        <f>IF(A317='PrototypeData-logprob'!A317,".","N")</f>
        <v>.</v>
      </c>
      <c r="E317" t="str">
        <f t="shared" si="4"/>
        <v>.</v>
      </c>
      <c r="H317" s="8" t="s">
        <v>178</v>
      </c>
      <c r="I317" s="8" t="s">
        <v>179</v>
      </c>
      <c r="J317" s="8" t="s">
        <v>426</v>
      </c>
    </row>
    <row r="318" spans="1:10" hidden="1" x14ac:dyDescent="0.45">
      <c r="A318" t="s">
        <v>75</v>
      </c>
      <c r="B318" t="s">
        <v>75</v>
      </c>
      <c r="D318" t="str">
        <f>IF(A318='PrototypeData-logprob'!A318,".","N")</f>
        <v>.</v>
      </c>
      <c r="E318" t="str">
        <f t="shared" si="4"/>
        <v>.</v>
      </c>
      <c r="H318" s="8" t="s">
        <v>412</v>
      </c>
      <c r="I318" s="8" t="s">
        <v>413</v>
      </c>
      <c r="J318" s="8" t="s">
        <v>429</v>
      </c>
    </row>
    <row r="319" spans="1:10" hidden="1" x14ac:dyDescent="0.45">
      <c r="A319" t="s">
        <v>73</v>
      </c>
      <c r="B319" t="s">
        <v>73</v>
      </c>
      <c r="D319" t="str">
        <f>IF(A319='PrototypeData-logprob'!A319,".","N")</f>
        <v>.</v>
      </c>
      <c r="E319" t="str">
        <f t="shared" si="4"/>
        <v>.</v>
      </c>
      <c r="H319" s="8" t="s">
        <v>370</v>
      </c>
      <c r="I319" s="8" t="s">
        <v>371</v>
      </c>
      <c r="J319" s="8" t="s">
        <v>424</v>
      </c>
    </row>
    <row r="320" spans="1:10" hidden="1" x14ac:dyDescent="0.45">
      <c r="A320" t="s">
        <v>19</v>
      </c>
      <c r="B320" t="s">
        <v>533</v>
      </c>
      <c r="D320" t="str">
        <f>IF(A320='PrototypeData-logprob'!A320,".","N")</f>
        <v>.</v>
      </c>
      <c r="E320" t="str">
        <f t="shared" si="4"/>
        <v>N</v>
      </c>
      <c r="H320" s="8" t="s">
        <v>386</v>
      </c>
      <c r="I320" s="8" t="s">
        <v>387</v>
      </c>
      <c r="J320" s="8" t="s">
        <v>425</v>
      </c>
    </row>
    <row r="321" spans="1:10" hidden="1" x14ac:dyDescent="0.45">
      <c r="A321" t="s">
        <v>57</v>
      </c>
      <c r="B321" t="s">
        <v>76</v>
      </c>
      <c r="D321" t="str">
        <f>IF(A321='PrototypeData-logprob'!A321,".","N")</f>
        <v>.</v>
      </c>
      <c r="E321" t="str">
        <f t="shared" si="4"/>
        <v>N</v>
      </c>
      <c r="H321" s="8" t="s">
        <v>133</v>
      </c>
      <c r="I321" s="8" t="s">
        <v>134</v>
      </c>
      <c r="J321" s="8" t="s">
        <v>428</v>
      </c>
    </row>
    <row r="322" spans="1:10" hidden="1" x14ac:dyDescent="0.45">
      <c r="A322" t="s">
        <v>57</v>
      </c>
      <c r="B322" t="s">
        <v>533</v>
      </c>
      <c r="D322" t="str">
        <f>IF(A322='PrototypeData-logprob'!A322,".","N")</f>
        <v>.</v>
      </c>
      <c r="E322" t="str">
        <f t="shared" si="4"/>
        <v>N</v>
      </c>
      <c r="H322" s="8" t="s">
        <v>481</v>
      </c>
      <c r="I322" s="8" t="s">
        <v>482</v>
      </c>
      <c r="J322" s="8" t="s">
        <v>497</v>
      </c>
    </row>
    <row r="323" spans="1:10" hidden="1" x14ac:dyDescent="0.45">
      <c r="A323" t="s">
        <v>57</v>
      </c>
      <c r="B323" t="s">
        <v>91</v>
      </c>
      <c r="D323" t="str">
        <f>IF(A323='PrototypeData-logprob'!A323,".","N")</f>
        <v>.</v>
      </c>
      <c r="E323" t="str">
        <f t="shared" ref="E323:E386" si="5">IF(A323=B323,".","N")</f>
        <v>N</v>
      </c>
      <c r="H323" s="8" t="s">
        <v>343</v>
      </c>
      <c r="I323" s="8" t="s">
        <v>344</v>
      </c>
      <c r="J323" s="8" t="s">
        <v>438</v>
      </c>
    </row>
    <row r="324" spans="1:10" hidden="1" x14ac:dyDescent="0.45">
      <c r="A324" t="s">
        <v>19</v>
      </c>
      <c r="B324" t="s">
        <v>533</v>
      </c>
      <c r="D324" t="str">
        <f>IF(A324='PrototypeData-logprob'!A324,".","N")</f>
        <v>.</v>
      </c>
      <c r="E324" t="str">
        <f t="shared" si="5"/>
        <v>N</v>
      </c>
      <c r="H324" s="8" t="s">
        <v>360</v>
      </c>
      <c r="I324" s="8" t="s">
        <v>361</v>
      </c>
      <c r="J324" s="8" t="s">
        <v>420</v>
      </c>
    </row>
    <row r="325" spans="1:10" hidden="1" x14ac:dyDescent="0.45">
      <c r="A325" t="s">
        <v>57</v>
      </c>
      <c r="B325" t="s">
        <v>533</v>
      </c>
      <c r="D325" t="str">
        <f>IF(A325='PrototypeData-logprob'!A325,".","N")</f>
        <v>.</v>
      </c>
      <c r="E325" t="str">
        <f t="shared" si="5"/>
        <v>N</v>
      </c>
      <c r="H325" s="8" t="s">
        <v>440</v>
      </c>
      <c r="I325" s="8" t="s">
        <v>99</v>
      </c>
      <c r="J325" s="8" t="s">
        <v>420</v>
      </c>
    </row>
    <row r="326" spans="1:10" hidden="1" x14ac:dyDescent="0.45">
      <c r="A326" t="s">
        <v>19</v>
      </c>
      <c r="B326" t="s">
        <v>533</v>
      </c>
      <c r="D326" t="str">
        <f>IF(A326='PrototypeData-logprob'!A326,".","N")</f>
        <v>.</v>
      </c>
      <c r="E326" t="str">
        <f t="shared" si="5"/>
        <v>N</v>
      </c>
      <c r="H326" s="8" t="s">
        <v>162</v>
      </c>
      <c r="I326" s="8" t="s">
        <v>163</v>
      </c>
      <c r="J326" s="8" t="s">
        <v>425</v>
      </c>
    </row>
    <row r="327" spans="1:10" hidden="1" x14ac:dyDescent="0.45">
      <c r="A327" t="s">
        <v>19</v>
      </c>
      <c r="B327" t="s">
        <v>533</v>
      </c>
      <c r="D327" t="str">
        <f>IF(A327='PrototypeData-logprob'!A327,".","N")</f>
        <v>.</v>
      </c>
      <c r="E327" t="str">
        <f t="shared" si="5"/>
        <v>N</v>
      </c>
      <c r="H327" s="8" t="s">
        <v>375</v>
      </c>
      <c r="I327" s="8" t="s">
        <v>376</v>
      </c>
      <c r="J327" s="8" t="s">
        <v>425</v>
      </c>
    </row>
    <row r="328" spans="1:10" x14ac:dyDescent="0.45">
      <c r="A328" t="s">
        <v>74</v>
      </c>
      <c r="B328" t="s">
        <v>533</v>
      </c>
      <c r="D328" t="str">
        <f>IF(A328='PrototypeData-logprob'!A328,".","N")</f>
        <v>.</v>
      </c>
      <c r="E328" t="str">
        <f t="shared" si="5"/>
        <v>N</v>
      </c>
      <c r="F328" s="8" t="s">
        <v>514</v>
      </c>
      <c r="H328" s="8" t="s">
        <v>372</v>
      </c>
      <c r="I328" s="8" t="s">
        <v>99</v>
      </c>
      <c r="J328" s="8" t="s">
        <v>426</v>
      </c>
    </row>
    <row r="329" spans="1:10" hidden="1" x14ac:dyDescent="0.45">
      <c r="A329" t="s">
        <v>78</v>
      </c>
      <c r="B329" t="s">
        <v>78</v>
      </c>
      <c r="D329" t="str">
        <f>IF(A329='PrototypeData-logprob'!A329,".","N")</f>
        <v>N</v>
      </c>
      <c r="E329" t="str">
        <f t="shared" si="5"/>
        <v>.</v>
      </c>
      <c r="H329" s="8" t="s">
        <v>391</v>
      </c>
      <c r="I329" s="8" t="s">
        <v>392</v>
      </c>
      <c r="J329" s="8" t="s">
        <v>429</v>
      </c>
    </row>
    <row r="330" spans="1:10" hidden="1" x14ac:dyDescent="0.45">
      <c r="A330" t="s">
        <v>57</v>
      </c>
      <c r="B330" t="s">
        <v>533</v>
      </c>
      <c r="D330" t="str">
        <f>IF(A330='PrototypeData-logprob'!A330,".","N")</f>
        <v>.</v>
      </c>
      <c r="E330" t="str">
        <f t="shared" si="5"/>
        <v>N</v>
      </c>
      <c r="H330" s="8" t="s">
        <v>263</v>
      </c>
      <c r="I330" s="8" t="s">
        <v>264</v>
      </c>
      <c r="J330" s="8" t="s">
        <v>420</v>
      </c>
    </row>
    <row r="331" spans="1:10" hidden="1" x14ac:dyDescent="0.45">
      <c r="A331" t="s">
        <v>19</v>
      </c>
      <c r="B331" t="s">
        <v>533</v>
      </c>
      <c r="D331" t="str">
        <f>IF(A331='PrototypeData-logprob'!A331,".","N")</f>
        <v>.</v>
      </c>
      <c r="E331" t="str">
        <f t="shared" si="5"/>
        <v>N</v>
      </c>
      <c r="H331" s="8" t="s">
        <v>111</v>
      </c>
      <c r="I331" s="8" t="s">
        <v>112</v>
      </c>
      <c r="J331" s="8" t="s">
        <v>421</v>
      </c>
    </row>
    <row r="332" spans="1:10" hidden="1" x14ac:dyDescent="0.45">
      <c r="A332" t="s">
        <v>19</v>
      </c>
      <c r="B332" t="s">
        <v>533</v>
      </c>
      <c r="D332" t="str">
        <f>IF(A332='PrototypeData-logprob'!A332,".","N")</f>
        <v>.</v>
      </c>
      <c r="E332" t="str">
        <f t="shared" si="5"/>
        <v>N</v>
      </c>
      <c r="H332" s="8" t="s">
        <v>233</v>
      </c>
      <c r="I332" s="8" t="s">
        <v>234</v>
      </c>
      <c r="J332" s="8" t="s">
        <v>425</v>
      </c>
    </row>
    <row r="333" spans="1:10" hidden="1" x14ac:dyDescent="0.45">
      <c r="A333" t="s">
        <v>78</v>
      </c>
      <c r="B333" t="s">
        <v>78</v>
      </c>
      <c r="D333" t="str">
        <f>IF(A333='PrototypeData-logprob'!A333,".","N")</f>
        <v>.</v>
      </c>
      <c r="E333" t="str">
        <f t="shared" si="5"/>
        <v>.</v>
      </c>
      <c r="H333" s="8" t="s">
        <v>458</v>
      </c>
      <c r="I333" s="8" t="s">
        <v>459</v>
      </c>
      <c r="J333" s="8" t="s">
        <v>429</v>
      </c>
    </row>
    <row r="334" spans="1:10" hidden="1" x14ac:dyDescent="0.45">
      <c r="A334" t="s">
        <v>77</v>
      </c>
      <c r="B334" t="s">
        <v>77</v>
      </c>
      <c r="D334" t="str">
        <f>IF(A334='PrototypeData-logprob'!A334,".","N")</f>
        <v>.</v>
      </c>
      <c r="E334" t="str">
        <f t="shared" si="5"/>
        <v>.</v>
      </c>
      <c r="H334" s="8" t="s">
        <v>451</v>
      </c>
      <c r="I334" s="8" t="s">
        <v>237</v>
      </c>
      <c r="J334" s="8" t="s">
        <v>422</v>
      </c>
    </row>
    <row r="335" spans="1:10" hidden="1" x14ac:dyDescent="0.45">
      <c r="A335" t="s">
        <v>57</v>
      </c>
      <c r="B335" t="s">
        <v>533</v>
      </c>
      <c r="D335" t="str">
        <f>IF(A335='PrototypeData-logprob'!A335,".","N")</f>
        <v>.</v>
      </c>
      <c r="E335" t="str">
        <f t="shared" si="5"/>
        <v>N</v>
      </c>
      <c r="H335" s="8" t="s">
        <v>472</v>
      </c>
      <c r="I335" s="8" t="s">
        <v>99</v>
      </c>
      <c r="J335" s="8" t="s">
        <v>418</v>
      </c>
    </row>
    <row r="336" spans="1:10" hidden="1" x14ac:dyDescent="0.45">
      <c r="A336" t="s">
        <v>19</v>
      </c>
      <c r="B336" t="s">
        <v>533</v>
      </c>
      <c r="D336" t="str">
        <f>IF(A336='PrototypeData-logprob'!A336,".","N")</f>
        <v>.</v>
      </c>
      <c r="E336" t="str">
        <f t="shared" si="5"/>
        <v>N</v>
      </c>
      <c r="H336" s="8" t="s">
        <v>122</v>
      </c>
      <c r="I336" s="8" t="s">
        <v>123</v>
      </c>
      <c r="J336" s="8" t="s">
        <v>425</v>
      </c>
    </row>
    <row r="337" spans="1:10" hidden="1" x14ac:dyDescent="0.45">
      <c r="A337" t="s">
        <v>19</v>
      </c>
      <c r="B337" t="s">
        <v>533</v>
      </c>
      <c r="D337" t="str">
        <f>IF(A337='PrototypeData-logprob'!A337,".","N")</f>
        <v>.</v>
      </c>
      <c r="E337" t="str">
        <f t="shared" si="5"/>
        <v>N</v>
      </c>
      <c r="H337" s="8" t="s">
        <v>157</v>
      </c>
      <c r="I337" s="8" t="s">
        <v>158</v>
      </c>
      <c r="J337" s="8" t="s">
        <v>430</v>
      </c>
    </row>
    <row r="338" spans="1:10" hidden="1" x14ac:dyDescent="0.45">
      <c r="A338" t="s">
        <v>19</v>
      </c>
      <c r="B338" t="s">
        <v>62</v>
      </c>
      <c r="D338" t="str">
        <f>IF(A338='PrototypeData-logprob'!A338,".","N")</f>
        <v>.</v>
      </c>
      <c r="E338" t="str">
        <f t="shared" si="5"/>
        <v>N</v>
      </c>
      <c r="H338" s="8" t="s">
        <v>145</v>
      </c>
      <c r="I338" s="8" t="s">
        <v>146</v>
      </c>
      <c r="J338" s="8" t="s">
        <v>417</v>
      </c>
    </row>
    <row r="339" spans="1:10" hidden="1" x14ac:dyDescent="0.45">
      <c r="A339" t="s">
        <v>57</v>
      </c>
      <c r="B339" t="s">
        <v>533</v>
      </c>
      <c r="D339" t="str">
        <f>IF(A339='PrototypeData-logprob'!A339,".","N")</f>
        <v>.</v>
      </c>
      <c r="E339" t="str">
        <f t="shared" si="5"/>
        <v>N</v>
      </c>
      <c r="H339" s="8" t="s">
        <v>389</v>
      </c>
      <c r="I339" s="8" t="s">
        <v>390</v>
      </c>
      <c r="J339" s="8" t="s">
        <v>420</v>
      </c>
    </row>
    <row r="340" spans="1:10" hidden="1" x14ac:dyDescent="0.45">
      <c r="A340" t="s">
        <v>57</v>
      </c>
      <c r="B340" t="s">
        <v>533</v>
      </c>
      <c r="D340" t="str">
        <f>IF(A340='PrototypeData-logprob'!A340,".","N")</f>
        <v>.</v>
      </c>
      <c r="E340" t="str">
        <f t="shared" si="5"/>
        <v>N</v>
      </c>
      <c r="H340" s="8" t="s">
        <v>449</v>
      </c>
      <c r="I340" s="8" t="s">
        <v>450</v>
      </c>
      <c r="J340" s="8" t="s">
        <v>420</v>
      </c>
    </row>
    <row r="341" spans="1:10" hidden="1" x14ac:dyDescent="0.45">
      <c r="A341" t="s">
        <v>68</v>
      </c>
      <c r="B341" t="s">
        <v>68</v>
      </c>
      <c r="D341" t="str">
        <f>IF(A341='PrototypeData-logprob'!A341,".","N")</f>
        <v>.</v>
      </c>
      <c r="E341" t="str">
        <f t="shared" si="5"/>
        <v>.</v>
      </c>
      <c r="H341" s="8" t="s">
        <v>152</v>
      </c>
      <c r="I341" s="8" t="s">
        <v>153</v>
      </c>
      <c r="J341" s="8" t="s">
        <v>423</v>
      </c>
    </row>
    <row r="342" spans="1:10" hidden="1" x14ac:dyDescent="0.45">
      <c r="A342" t="s">
        <v>71</v>
      </c>
      <c r="B342" t="s">
        <v>71</v>
      </c>
      <c r="D342" t="str">
        <f>IF(A342='PrototypeData-logprob'!A342,".","N")</f>
        <v>.</v>
      </c>
      <c r="E342" t="str">
        <f t="shared" si="5"/>
        <v>.</v>
      </c>
      <c r="H342" s="8" t="s">
        <v>219</v>
      </c>
      <c r="I342" s="8" t="s">
        <v>220</v>
      </c>
      <c r="J342" s="8" t="s">
        <v>426</v>
      </c>
    </row>
    <row r="343" spans="1:10" hidden="1" x14ac:dyDescent="0.45">
      <c r="A343" t="s">
        <v>79</v>
      </c>
      <c r="B343" t="s">
        <v>79</v>
      </c>
      <c r="D343" t="str">
        <f>IF(A343='PrototypeData-logprob'!A343,".","N")</f>
        <v>.</v>
      </c>
      <c r="E343" t="str">
        <f t="shared" si="5"/>
        <v>.</v>
      </c>
      <c r="H343" s="8" t="s">
        <v>350</v>
      </c>
      <c r="I343" s="8" t="s">
        <v>351</v>
      </c>
      <c r="J343" s="8" t="s">
        <v>434</v>
      </c>
    </row>
    <row r="344" spans="1:10" hidden="1" x14ac:dyDescent="0.45">
      <c r="A344" t="s">
        <v>57</v>
      </c>
      <c r="B344" t="s">
        <v>84</v>
      </c>
      <c r="D344" t="str">
        <f>IF(A344='PrototypeData-logprob'!A344,".","N")</f>
        <v>.</v>
      </c>
      <c r="E344" t="str">
        <f t="shared" si="5"/>
        <v>N</v>
      </c>
      <c r="H344" s="8" t="s">
        <v>294</v>
      </c>
      <c r="I344" s="8" t="s">
        <v>295</v>
      </c>
      <c r="J344" s="8" t="s">
        <v>438</v>
      </c>
    </row>
    <row r="345" spans="1:10" hidden="1" x14ac:dyDescent="0.45">
      <c r="A345" t="s">
        <v>57</v>
      </c>
      <c r="B345" t="s">
        <v>533</v>
      </c>
      <c r="D345" t="str">
        <f>IF(A345='PrototypeData-logprob'!A345,".","N")</f>
        <v>.</v>
      </c>
      <c r="E345" t="str">
        <f t="shared" si="5"/>
        <v>N</v>
      </c>
      <c r="H345" s="8" t="s">
        <v>98</v>
      </c>
      <c r="I345" s="8" t="s">
        <v>99</v>
      </c>
      <c r="J345" s="8" t="s">
        <v>418</v>
      </c>
    </row>
    <row r="346" spans="1:10" hidden="1" x14ac:dyDescent="0.45">
      <c r="A346" t="s">
        <v>57</v>
      </c>
      <c r="B346" t="s">
        <v>77</v>
      </c>
      <c r="D346" t="str">
        <f>IF(A346='PrototypeData-logprob'!A346,".","N")</f>
        <v>.</v>
      </c>
      <c r="E346" t="str">
        <f t="shared" si="5"/>
        <v>N</v>
      </c>
      <c r="H346" s="8" t="s">
        <v>471</v>
      </c>
      <c r="I346" s="8" t="s">
        <v>99</v>
      </c>
      <c r="J346" s="8" t="s">
        <v>422</v>
      </c>
    </row>
    <row r="347" spans="1:10" hidden="1" x14ac:dyDescent="0.45">
      <c r="A347" t="s">
        <v>19</v>
      </c>
      <c r="B347" t="s">
        <v>533</v>
      </c>
      <c r="D347" t="str">
        <f>IF(A347='PrototypeData-logprob'!A347,".","N")</f>
        <v>.</v>
      </c>
      <c r="E347" t="str">
        <f t="shared" si="5"/>
        <v>N</v>
      </c>
      <c r="H347" s="8" t="s">
        <v>120</v>
      </c>
      <c r="I347" s="8" t="s">
        <v>121</v>
      </c>
      <c r="J347" s="8" t="s">
        <v>420</v>
      </c>
    </row>
    <row r="348" spans="1:10" hidden="1" x14ac:dyDescent="0.45">
      <c r="A348" t="s">
        <v>75</v>
      </c>
      <c r="B348" t="s">
        <v>75</v>
      </c>
      <c r="D348" t="str">
        <f>IF(A348='PrototypeData-logprob'!A348,".","N")</f>
        <v>.</v>
      </c>
      <c r="E348" t="str">
        <f t="shared" si="5"/>
        <v>.</v>
      </c>
      <c r="H348" s="8" t="s">
        <v>155</v>
      </c>
      <c r="I348" s="8" t="s">
        <v>156</v>
      </c>
      <c r="J348" s="8" t="s">
        <v>429</v>
      </c>
    </row>
    <row r="349" spans="1:10" hidden="1" x14ac:dyDescent="0.45">
      <c r="A349" t="s">
        <v>19</v>
      </c>
      <c r="B349" t="s">
        <v>533</v>
      </c>
      <c r="D349" t="str">
        <f>IF(A349='PrototypeData-logprob'!A349,".","N")</f>
        <v>.</v>
      </c>
      <c r="E349" t="str">
        <f t="shared" si="5"/>
        <v>N</v>
      </c>
      <c r="H349" s="8" t="s">
        <v>238</v>
      </c>
      <c r="I349" s="8" t="s">
        <v>239</v>
      </c>
      <c r="J349" s="8" t="s">
        <v>435</v>
      </c>
    </row>
    <row r="350" spans="1:10" hidden="1" x14ac:dyDescent="0.45">
      <c r="A350" t="s">
        <v>57</v>
      </c>
      <c r="B350" t="s">
        <v>533</v>
      </c>
      <c r="D350" t="str">
        <f>IF(A350='PrototypeData-logprob'!A350,".","N")</f>
        <v>.</v>
      </c>
      <c r="E350" t="str">
        <f t="shared" si="5"/>
        <v>N</v>
      </c>
      <c r="H350" s="8" t="s">
        <v>312</v>
      </c>
      <c r="I350" s="8" t="s">
        <v>99</v>
      </c>
      <c r="J350" s="8" t="s">
        <v>420</v>
      </c>
    </row>
    <row r="351" spans="1:10" hidden="1" x14ac:dyDescent="0.45">
      <c r="A351" t="s">
        <v>85</v>
      </c>
      <c r="B351" t="s">
        <v>85</v>
      </c>
      <c r="D351" t="str">
        <f>IF(A351='PrototypeData-logprob'!A351,".","N")</f>
        <v>.</v>
      </c>
      <c r="E351" t="str">
        <f t="shared" si="5"/>
        <v>.</v>
      </c>
      <c r="H351" s="8" t="s">
        <v>329</v>
      </c>
      <c r="I351" s="8" t="s">
        <v>330</v>
      </c>
      <c r="J351" s="8" t="s">
        <v>423</v>
      </c>
    </row>
    <row r="352" spans="1:10" x14ac:dyDescent="0.45">
      <c r="A352" t="s">
        <v>74</v>
      </c>
      <c r="B352" t="s">
        <v>533</v>
      </c>
      <c r="D352" t="str">
        <f>IF(A352='PrototypeData-logprob'!A352,".","N")</f>
        <v>.</v>
      </c>
      <c r="E352" t="str">
        <f t="shared" si="5"/>
        <v>N</v>
      </c>
      <c r="F352" s="8" t="s">
        <v>514</v>
      </c>
      <c r="H352" s="8" t="s">
        <v>182</v>
      </c>
      <c r="I352" s="8" t="s">
        <v>99</v>
      </c>
      <c r="J352" s="8" t="s">
        <v>426</v>
      </c>
    </row>
    <row r="353" spans="1:10" hidden="1" x14ac:dyDescent="0.45">
      <c r="A353" t="s">
        <v>19</v>
      </c>
      <c r="B353" t="s">
        <v>533</v>
      </c>
      <c r="D353" t="str">
        <f>IF(A353='PrototypeData-logprob'!A353,".","N")</f>
        <v>.</v>
      </c>
      <c r="E353" t="str">
        <f t="shared" si="5"/>
        <v>N</v>
      </c>
      <c r="H353" s="8" t="s">
        <v>277</v>
      </c>
      <c r="I353" s="8" t="s">
        <v>278</v>
      </c>
      <c r="J353" s="8" t="s">
        <v>437</v>
      </c>
    </row>
    <row r="354" spans="1:10" hidden="1" x14ac:dyDescent="0.45">
      <c r="A354" t="s">
        <v>66</v>
      </c>
      <c r="B354" t="s">
        <v>66</v>
      </c>
      <c r="D354" t="str">
        <f>IF(A354='PrototypeData-logprob'!A354,".","N")</f>
        <v>.</v>
      </c>
      <c r="E354" t="str">
        <f t="shared" si="5"/>
        <v>.</v>
      </c>
      <c r="H354" s="8" t="s">
        <v>118</v>
      </c>
      <c r="I354" s="8" t="s">
        <v>119</v>
      </c>
      <c r="J354" s="8" t="s">
        <v>421</v>
      </c>
    </row>
    <row r="355" spans="1:10" hidden="1" x14ac:dyDescent="0.45">
      <c r="A355" t="s">
        <v>85</v>
      </c>
      <c r="B355" t="s">
        <v>85</v>
      </c>
      <c r="D355" t="str">
        <f>IF(A355='PrototypeData-logprob'!A355,".","N")</f>
        <v>.</v>
      </c>
      <c r="E355" t="str">
        <f t="shared" si="5"/>
        <v>.</v>
      </c>
      <c r="H355" s="8" t="s">
        <v>354</v>
      </c>
      <c r="I355" s="8" t="s">
        <v>355</v>
      </c>
      <c r="J355" s="8" t="s">
        <v>423</v>
      </c>
    </row>
    <row r="356" spans="1:10" hidden="1" x14ac:dyDescent="0.45">
      <c r="A356" t="s">
        <v>65</v>
      </c>
      <c r="B356" t="s">
        <v>65</v>
      </c>
      <c r="D356" t="str">
        <f>IF(A356='PrototypeData-logprob'!A356,".","N")</f>
        <v>.</v>
      </c>
      <c r="E356" t="str">
        <f t="shared" si="5"/>
        <v>.</v>
      </c>
      <c r="H356" s="8" t="s">
        <v>316</v>
      </c>
      <c r="I356" s="8" t="s">
        <v>317</v>
      </c>
      <c r="J356" s="8" t="s">
        <v>427</v>
      </c>
    </row>
    <row r="357" spans="1:10" hidden="1" x14ac:dyDescent="0.45">
      <c r="A357" t="s">
        <v>77</v>
      </c>
      <c r="B357" t="s">
        <v>77</v>
      </c>
      <c r="D357" t="str">
        <f>IF(A357='PrototypeData-logprob'!A357,".","N")</f>
        <v>.</v>
      </c>
      <c r="E357" t="str">
        <f t="shared" si="5"/>
        <v>.</v>
      </c>
      <c r="H357" s="8" t="s">
        <v>236</v>
      </c>
      <c r="I357" s="8" t="s">
        <v>237</v>
      </c>
      <c r="J357" s="8" t="s">
        <v>422</v>
      </c>
    </row>
    <row r="358" spans="1:10" hidden="1" x14ac:dyDescent="0.45">
      <c r="A358" t="s">
        <v>80</v>
      </c>
      <c r="B358" t="s">
        <v>80</v>
      </c>
      <c r="D358" t="str">
        <f>IF(A358='PrototypeData-logprob'!A358,".","N")</f>
        <v>.</v>
      </c>
      <c r="E358" t="str">
        <f t="shared" si="5"/>
        <v>.</v>
      </c>
      <c r="H358" s="8" t="s">
        <v>325</v>
      </c>
      <c r="I358" s="8" t="s">
        <v>321</v>
      </c>
      <c r="J358" s="8" t="s">
        <v>429</v>
      </c>
    </row>
    <row r="359" spans="1:10" hidden="1" x14ac:dyDescent="0.45">
      <c r="A359" t="s">
        <v>61</v>
      </c>
      <c r="B359" t="s">
        <v>61</v>
      </c>
      <c r="D359" t="str">
        <f>IF(A359='PrototypeData-logprob'!A359,".","N")</f>
        <v>.</v>
      </c>
      <c r="E359" t="str">
        <f t="shared" si="5"/>
        <v>.</v>
      </c>
      <c r="H359" s="8" t="s">
        <v>94</v>
      </c>
      <c r="I359" s="8" t="s">
        <v>95</v>
      </c>
      <c r="J359" s="8" t="s">
        <v>416</v>
      </c>
    </row>
    <row r="360" spans="1:10" hidden="1" x14ac:dyDescent="0.45">
      <c r="A360" t="s">
        <v>19</v>
      </c>
      <c r="B360" t="s">
        <v>533</v>
      </c>
      <c r="D360" t="str">
        <f>IF(A360='PrototypeData-logprob'!A360,".","N")</f>
        <v>.</v>
      </c>
      <c r="E360" t="str">
        <f t="shared" si="5"/>
        <v>N</v>
      </c>
      <c r="H360" s="8" t="s">
        <v>199</v>
      </c>
      <c r="I360" s="8" t="s">
        <v>200</v>
      </c>
      <c r="J360" s="8" t="s">
        <v>418</v>
      </c>
    </row>
    <row r="361" spans="1:10" hidden="1" x14ac:dyDescent="0.45">
      <c r="A361" t="s">
        <v>57</v>
      </c>
      <c r="B361" t="s">
        <v>80</v>
      </c>
      <c r="D361" t="str">
        <f>IF(A361='PrototypeData-logprob'!A361,".","N")</f>
        <v>.</v>
      </c>
      <c r="E361" t="str">
        <f t="shared" si="5"/>
        <v>N</v>
      </c>
      <c r="H361" s="8" t="s">
        <v>445</v>
      </c>
      <c r="I361" s="8" t="s">
        <v>446</v>
      </c>
      <c r="J361" s="8" t="s">
        <v>429</v>
      </c>
    </row>
    <row r="362" spans="1:10" hidden="1" x14ac:dyDescent="0.45">
      <c r="A362" t="s">
        <v>19</v>
      </c>
      <c r="B362" t="s">
        <v>533</v>
      </c>
      <c r="D362" t="str">
        <f>IF(A362='PrototypeData-logprob'!A362,".","N")</f>
        <v>.</v>
      </c>
      <c r="E362" t="str">
        <f t="shared" si="5"/>
        <v>N</v>
      </c>
      <c r="H362" s="8" t="s">
        <v>452</v>
      </c>
      <c r="I362" s="8" t="s">
        <v>453</v>
      </c>
      <c r="J362" s="8" t="s">
        <v>420</v>
      </c>
    </row>
    <row r="363" spans="1:10" hidden="1" x14ac:dyDescent="0.45">
      <c r="A363" t="s">
        <v>19</v>
      </c>
      <c r="B363" t="s">
        <v>533</v>
      </c>
      <c r="D363" t="str">
        <f>IF(A363='PrototypeData-logprob'!A363,".","N")</f>
        <v>.</v>
      </c>
      <c r="E363" t="str">
        <f t="shared" si="5"/>
        <v>N</v>
      </c>
      <c r="H363" s="8" t="s">
        <v>447</v>
      </c>
      <c r="I363" s="8" t="s">
        <v>448</v>
      </c>
      <c r="J363" s="8" t="s">
        <v>420</v>
      </c>
    </row>
    <row r="364" spans="1:10" hidden="1" x14ac:dyDescent="0.45">
      <c r="A364" t="s">
        <v>19</v>
      </c>
      <c r="B364" t="s">
        <v>65</v>
      </c>
      <c r="D364" t="str">
        <f>IF(A364='PrototypeData-logprob'!A364,".","N")</f>
        <v>.</v>
      </c>
      <c r="E364" t="str">
        <f t="shared" si="5"/>
        <v>N</v>
      </c>
      <c r="H364" s="8" t="s">
        <v>204</v>
      </c>
      <c r="I364" s="8" t="s">
        <v>205</v>
      </c>
      <c r="J364" s="9" t="s">
        <v>432</v>
      </c>
    </row>
    <row r="365" spans="1:10" hidden="1" x14ac:dyDescent="0.45">
      <c r="A365" t="s">
        <v>67</v>
      </c>
      <c r="B365" t="s">
        <v>67</v>
      </c>
      <c r="D365" t="str">
        <f>IF(A365='PrototypeData-logprob'!A365,".","N")</f>
        <v>.</v>
      </c>
      <c r="E365" t="str">
        <f t="shared" si="5"/>
        <v>.</v>
      </c>
      <c r="H365" s="8" t="s">
        <v>104</v>
      </c>
      <c r="I365" s="8" t="s">
        <v>105</v>
      </c>
      <c r="J365" s="8" t="s">
        <v>422</v>
      </c>
    </row>
    <row r="366" spans="1:10" hidden="1" x14ac:dyDescent="0.45">
      <c r="A366" t="s">
        <v>19</v>
      </c>
      <c r="B366" t="s">
        <v>533</v>
      </c>
      <c r="D366" t="str">
        <f>IF(A366='PrototypeData-logprob'!A366,".","N")</f>
        <v>.</v>
      </c>
      <c r="E366" t="str">
        <f t="shared" si="5"/>
        <v>N</v>
      </c>
      <c r="H366" s="8" t="s">
        <v>442</v>
      </c>
      <c r="I366" s="8" t="s">
        <v>443</v>
      </c>
      <c r="J366" s="8" t="s">
        <v>420</v>
      </c>
    </row>
    <row r="367" spans="1:10" hidden="1" x14ac:dyDescent="0.45">
      <c r="A367" t="s">
        <v>57</v>
      </c>
      <c r="B367" t="s">
        <v>540</v>
      </c>
      <c r="D367" t="str">
        <f>IF(A367='PrototypeData-logprob'!A367,".","N")</f>
        <v>.</v>
      </c>
      <c r="E367" t="str">
        <f t="shared" si="5"/>
        <v>N</v>
      </c>
      <c r="H367" s="8" t="s">
        <v>333</v>
      </c>
      <c r="I367" s="8" t="s">
        <v>334</v>
      </c>
      <c r="J367" s="8" t="s">
        <v>435</v>
      </c>
    </row>
    <row r="368" spans="1:10" hidden="1" x14ac:dyDescent="0.45">
      <c r="A368" t="s">
        <v>61</v>
      </c>
      <c r="B368" t="s">
        <v>61</v>
      </c>
      <c r="D368" t="str">
        <f>IF(A368='PrototypeData-logprob'!A368,".","N")</f>
        <v>.</v>
      </c>
      <c r="E368" t="str">
        <f t="shared" si="5"/>
        <v>.</v>
      </c>
      <c r="H368" s="8" t="s">
        <v>247</v>
      </c>
      <c r="I368" s="8" t="s">
        <v>248</v>
      </c>
      <c r="J368" s="8" t="s">
        <v>416</v>
      </c>
    </row>
    <row r="369" spans="1:10" hidden="1" x14ac:dyDescent="0.45">
      <c r="A369" t="s">
        <v>70</v>
      </c>
      <c r="B369" t="s">
        <v>70</v>
      </c>
      <c r="D369" t="str">
        <f>IF(A369='PrototypeData-logprob'!A369,".","N")</f>
        <v>.</v>
      </c>
      <c r="E369" t="str">
        <f t="shared" si="5"/>
        <v>.</v>
      </c>
      <c r="H369" s="8" t="s">
        <v>115</v>
      </c>
      <c r="I369" s="8" t="s">
        <v>116</v>
      </c>
      <c r="J369" s="8" t="s">
        <v>421</v>
      </c>
    </row>
    <row r="370" spans="1:10" hidden="1" x14ac:dyDescent="0.45">
      <c r="A370" t="s">
        <v>19</v>
      </c>
      <c r="B370" t="s">
        <v>533</v>
      </c>
      <c r="D370" t="str">
        <f>IF(A370='PrototypeData-logprob'!A370,".","N")</f>
        <v>.</v>
      </c>
      <c r="E370" t="str">
        <f t="shared" si="5"/>
        <v>N</v>
      </c>
      <c r="H370" s="8" t="s">
        <v>463</v>
      </c>
      <c r="I370" s="8" t="s">
        <v>464</v>
      </c>
      <c r="J370" s="8" t="s">
        <v>436</v>
      </c>
    </row>
    <row r="371" spans="1:10" hidden="1" x14ac:dyDescent="0.45">
      <c r="A371" t="s">
        <v>57</v>
      </c>
      <c r="B371" t="s">
        <v>84</v>
      </c>
      <c r="D371" t="str">
        <f>IF(A371='PrototypeData-logprob'!A371,".","N")</f>
        <v>.</v>
      </c>
      <c r="E371" t="str">
        <f t="shared" si="5"/>
        <v>N</v>
      </c>
      <c r="H371" s="8" t="s">
        <v>483</v>
      </c>
      <c r="I371" s="8" t="s">
        <v>484</v>
      </c>
      <c r="J371" s="8" t="s">
        <v>438</v>
      </c>
    </row>
    <row r="372" spans="1:10" hidden="1" x14ac:dyDescent="0.45">
      <c r="A372" t="s">
        <v>61</v>
      </c>
      <c r="B372" t="s">
        <v>61</v>
      </c>
      <c r="D372" t="str">
        <f>IF(A372='PrototypeData-logprob'!A372,".","N")</f>
        <v>.</v>
      </c>
      <c r="E372" t="str">
        <f t="shared" si="5"/>
        <v>.</v>
      </c>
      <c r="H372" s="8" t="s">
        <v>269</v>
      </c>
      <c r="I372" s="8" t="s">
        <v>270</v>
      </c>
      <c r="J372" s="8" t="s">
        <v>416</v>
      </c>
    </row>
    <row r="373" spans="1:10" hidden="1" x14ac:dyDescent="0.45">
      <c r="A373" t="s">
        <v>74</v>
      </c>
      <c r="B373" t="s">
        <v>74</v>
      </c>
      <c r="D373" t="str">
        <f>IF(A373='PrototypeData-logprob'!A373,".","N")</f>
        <v>.</v>
      </c>
      <c r="E373" t="str">
        <f t="shared" si="5"/>
        <v>.</v>
      </c>
      <c r="H373" s="8" t="s">
        <v>275</v>
      </c>
      <c r="I373" s="8" t="s">
        <v>276</v>
      </c>
      <c r="J373" s="8" t="s">
        <v>426</v>
      </c>
    </row>
    <row r="374" spans="1:10" hidden="1" x14ac:dyDescent="0.45">
      <c r="A374" t="s">
        <v>57</v>
      </c>
      <c r="B374" t="s">
        <v>533</v>
      </c>
      <c r="D374" t="str">
        <f>IF(A374='PrototypeData-logprob'!A374,".","N")</f>
        <v>.</v>
      </c>
      <c r="E374" t="str">
        <f t="shared" si="5"/>
        <v>N</v>
      </c>
      <c r="H374" s="8" t="s">
        <v>460</v>
      </c>
      <c r="I374" s="8" t="s">
        <v>461</v>
      </c>
      <c r="J374" s="8" t="s">
        <v>420</v>
      </c>
    </row>
    <row r="375" spans="1:10" hidden="1" x14ac:dyDescent="0.45">
      <c r="A375" t="s">
        <v>75</v>
      </c>
      <c r="B375" t="s">
        <v>75</v>
      </c>
      <c r="D375" t="str">
        <f>IF(A375='PrototypeData-logprob'!A375,".","N")</f>
        <v>.</v>
      </c>
      <c r="E375" t="str">
        <f t="shared" si="5"/>
        <v>.</v>
      </c>
      <c r="H375" s="8" t="s">
        <v>286</v>
      </c>
      <c r="I375" s="8" t="s">
        <v>287</v>
      </c>
      <c r="J375" s="8" t="s">
        <v>429</v>
      </c>
    </row>
    <row r="376" spans="1:10" hidden="1" x14ac:dyDescent="0.45">
      <c r="A376" t="s">
        <v>57</v>
      </c>
      <c r="B376" t="s">
        <v>73</v>
      </c>
      <c r="D376" t="str">
        <f>IF(A376='PrototypeData-logprob'!A376,".","N")</f>
        <v>.</v>
      </c>
      <c r="E376" t="str">
        <f t="shared" si="5"/>
        <v>N</v>
      </c>
      <c r="H376" s="8" t="s">
        <v>469</v>
      </c>
      <c r="I376" s="8" t="s">
        <v>99</v>
      </c>
      <c r="J376" s="8" t="s">
        <v>424</v>
      </c>
    </row>
    <row r="377" spans="1:10" hidden="1" x14ac:dyDescent="0.45">
      <c r="A377" t="s">
        <v>57</v>
      </c>
      <c r="B377" t="s">
        <v>533</v>
      </c>
      <c r="D377" t="str">
        <f>IF(A377='PrototypeData-logprob'!A377,".","N")</f>
        <v>.</v>
      </c>
      <c r="E377" t="str">
        <f t="shared" si="5"/>
        <v>N</v>
      </c>
      <c r="H377" s="8" t="s">
        <v>485</v>
      </c>
      <c r="I377" s="8" t="s">
        <v>486</v>
      </c>
      <c r="J377" s="8" t="s">
        <v>498</v>
      </c>
    </row>
    <row r="378" spans="1:10" x14ac:dyDescent="0.45">
      <c r="A378" t="s">
        <v>74</v>
      </c>
      <c r="B378" t="s">
        <v>533</v>
      </c>
      <c r="D378" t="str">
        <f>IF(A378='PrototypeData-logprob'!A378,".","N")</f>
        <v>.</v>
      </c>
      <c r="E378" t="str">
        <f t="shared" si="5"/>
        <v>N</v>
      </c>
      <c r="F378" s="8" t="s">
        <v>515</v>
      </c>
      <c r="H378" s="8" t="s">
        <v>379</v>
      </c>
      <c r="I378" s="8" t="s">
        <v>380</v>
      </c>
      <c r="J378" s="8" t="s">
        <v>426</v>
      </c>
    </row>
    <row r="379" spans="1:10" hidden="1" x14ac:dyDescent="0.45">
      <c r="A379" t="s">
        <v>76</v>
      </c>
      <c r="B379" t="s">
        <v>76</v>
      </c>
      <c r="D379" t="str">
        <f>IF(A379='PrototypeData-logprob'!A379,".","N")</f>
        <v>.</v>
      </c>
      <c r="E379" t="str">
        <f t="shared" si="5"/>
        <v>.</v>
      </c>
      <c r="H379" s="8" t="s">
        <v>172</v>
      </c>
      <c r="I379" s="8" t="s">
        <v>173</v>
      </c>
      <c r="J379" s="8" t="s">
        <v>428</v>
      </c>
    </row>
    <row r="380" spans="1:10" hidden="1" x14ac:dyDescent="0.45">
      <c r="A380" t="s">
        <v>61</v>
      </c>
      <c r="B380" t="s">
        <v>61</v>
      </c>
      <c r="D380" t="str">
        <f>IF(A380='PrototypeData-logprob'!A380,".","N")</f>
        <v>.</v>
      </c>
      <c r="E380" t="str">
        <f t="shared" si="5"/>
        <v>.</v>
      </c>
      <c r="H380" s="8" t="s">
        <v>213</v>
      </c>
      <c r="I380" s="8" t="s">
        <v>214</v>
      </c>
      <c r="J380" s="8" t="s">
        <v>416</v>
      </c>
    </row>
    <row r="381" spans="1:10" hidden="1" x14ac:dyDescent="0.45">
      <c r="A381" t="s">
        <v>57</v>
      </c>
      <c r="B381" t="s">
        <v>533</v>
      </c>
      <c r="D381" t="str">
        <f>IF(A381='PrototypeData-logprob'!A381,".","N")</f>
        <v>.</v>
      </c>
      <c r="E381" t="str">
        <f t="shared" si="5"/>
        <v>N</v>
      </c>
      <c r="H381" s="8" t="s">
        <v>206</v>
      </c>
      <c r="I381" s="8" t="s">
        <v>207</v>
      </c>
      <c r="J381" s="8" t="s">
        <v>433</v>
      </c>
    </row>
    <row r="382" spans="1:10" hidden="1" x14ac:dyDescent="0.45">
      <c r="A382" t="s">
        <v>57</v>
      </c>
      <c r="B382" t="s">
        <v>533</v>
      </c>
      <c r="D382" t="str">
        <f>IF(A382='PrototypeData-logprob'!A382,".","N")</f>
        <v>.</v>
      </c>
      <c r="E382" t="str">
        <f t="shared" si="5"/>
        <v>N</v>
      </c>
      <c r="H382" s="8" t="s">
        <v>187</v>
      </c>
      <c r="I382" s="8" t="s">
        <v>99</v>
      </c>
      <c r="J382" s="8" t="s">
        <v>431</v>
      </c>
    </row>
    <row r="383" spans="1:10" hidden="1" x14ac:dyDescent="0.45">
      <c r="A383" t="s">
        <v>19</v>
      </c>
      <c r="B383" t="s">
        <v>533</v>
      </c>
      <c r="D383" t="str">
        <f>IF(A383='PrototypeData-logprob'!A383,".","N")</f>
        <v>.</v>
      </c>
      <c r="E383" t="str">
        <f t="shared" si="5"/>
        <v>N</v>
      </c>
      <c r="H383" s="8" t="s">
        <v>487</v>
      </c>
      <c r="I383" s="8" t="s">
        <v>488</v>
      </c>
      <c r="J383" s="8" t="s">
        <v>430</v>
      </c>
    </row>
    <row r="384" spans="1:10" hidden="1" x14ac:dyDescent="0.45">
      <c r="A384" t="s">
        <v>74</v>
      </c>
      <c r="B384" t="s">
        <v>74</v>
      </c>
      <c r="D384" t="str">
        <f>IF(A384='PrototypeData-logprob'!A384,".","N")</f>
        <v>.</v>
      </c>
      <c r="E384" t="str">
        <f t="shared" si="5"/>
        <v>.</v>
      </c>
      <c r="H384" s="8" t="s">
        <v>138</v>
      </c>
      <c r="I384" s="8" t="s">
        <v>139</v>
      </c>
      <c r="J384" s="8" t="s">
        <v>426</v>
      </c>
    </row>
    <row r="385" spans="1:10" hidden="1" x14ac:dyDescent="0.45">
      <c r="A385" t="s">
        <v>57</v>
      </c>
      <c r="B385" t="s">
        <v>533</v>
      </c>
      <c r="D385" t="str">
        <f>IF(A385='PrototypeData-logprob'!A385,".","N")</f>
        <v>.</v>
      </c>
      <c r="E385" t="str">
        <f t="shared" si="5"/>
        <v>N</v>
      </c>
      <c r="H385" s="8" t="s">
        <v>489</v>
      </c>
      <c r="I385" s="8" t="s">
        <v>490</v>
      </c>
      <c r="J385" s="8" t="s">
        <v>498</v>
      </c>
    </row>
    <row r="386" spans="1:10" hidden="1" x14ac:dyDescent="0.45">
      <c r="A386" t="s">
        <v>57</v>
      </c>
      <c r="B386" t="s">
        <v>68</v>
      </c>
      <c r="D386" t="str">
        <f>IF(A386='PrototypeData-logprob'!A386,".","N")</f>
        <v>.</v>
      </c>
      <c r="E386" t="str">
        <f t="shared" si="5"/>
        <v>N</v>
      </c>
      <c r="H386" s="8" t="s">
        <v>491</v>
      </c>
      <c r="I386" s="8" t="s">
        <v>492</v>
      </c>
      <c r="J386" s="8" t="s">
        <v>423</v>
      </c>
    </row>
    <row r="387" spans="1:10" hidden="1" x14ac:dyDescent="0.45">
      <c r="A387" t="s">
        <v>19</v>
      </c>
      <c r="B387" t="s">
        <v>533</v>
      </c>
      <c r="D387" t="str">
        <f>IF(A387='PrototypeData-logprob'!A387,".","N")</f>
        <v>.</v>
      </c>
      <c r="E387" t="str">
        <f t="shared" ref="E387:E408" si="6">IF(A387=B387,".","N")</f>
        <v>N</v>
      </c>
      <c r="H387" s="8" t="s">
        <v>357</v>
      </c>
      <c r="I387" s="8" t="s">
        <v>358</v>
      </c>
      <c r="J387" s="8" t="s">
        <v>420</v>
      </c>
    </row>
    <row r="388" spans="1:10" hidden="1" x14ac:dyDescent="0.45">
      <c r="A388" t="s">
        <v>65</v>
      </c>
      <c r="B388" t="s">
        <v>65</v>
      </c>
      <c r="D388" t="str">
        <f>IF(A388='PrototypeData-logprob'!A388,".","N")</f>
        <v>.</v>
      </c>
      <c r="E388" t="str">
        <f t="shared" si="6"/>
        <v>.</v>
      </c>
      <c r="H388" s="8" t="s">
        <v>65</v>
      </c>
      <c r="I388" s="8" t="s">
        <v>395</v>
      </c>
      <c r="J388" s="8" t="s">
        <v>427</v>
      </c>
    </row>
    <row r="389" spans="1:10" hidden="1" x14ac:dyDescent="0.45">
      <c r="A389" t="s">
        <v>57</v>
      </c>
      <c r="B389" t="s">
        <v>533</v>
      </c>
      <c r="D389" t="str">
        <f>IF(A389='PrototypeData-logprob'!A389,".","N")</f>
        <v>.</v>
      </c>
      <c r="E389" t="str">
        <f t="shared" si="6"/>
        <v>N</v>
      </c>
      <c r="H389" s="8" t="s">
        <v>414</v>
      </c>
      <c r="I389" s="8" t="s">
        <v>99</v>
      </c>
      <c r="J389" s="8" t="s">
        <v>420</v>
      </c>
    </row>
    <row r="390" spans="1:10" hidden="1" x14ac:dyDescent="0.45">
      <c r="A390" t="s">
        <v>57</v>
      </c>
      <c r="B390" t="s">
        <v>533</v>
      </c>
      <c r="D390" t="str">
        <f>IF(A390='PrototypeData-logprob'!A390,".","N")</f>
        <v>.</v>
      </c>
      <c r="E390" t="str">
        <f t="shared" si="6"/>
        <v>N</v>
      </c>
      <c r="H390" s="8" t="s">
        <v>359</v>
      </c>
      <c r="I390" s="8" t="s">
        <v>99</v>
      </c>
      <c r="J390" s="8" t="s">
        <v>420</v>
      </c>
    </row>
    <row r="391" spans="1:10" hidden="1" x14ac:dyDescent="0.45">
      <c r="A391" t="s">
        <v>57</v>
      </c>
      <c r="B391" t="s">
        <v>533</v>
      </c>
      <c r="D391" t="str">
        <f>IF(A391='PrototypeData-logprob'!A391,".","N")</f>
        <v>.</v>
      </c>
      <c r="E391" t="str">
        <f t="shared" si="6"/>
        <v>N</v>
      </c>
      <c r="H391" s="8" t="s">
        <v>462</v>
      </c>
      <c r="I391" s="8" t="s">
        <v>99</v>
      </c>
      <c r="J391" s="8" t="s">
        <v>418</v>
      </c>
    </row>
    <row r="392" spans="1:10" hidden="1" x14ac:dyDescent="0.45">
      <c r="A392" t="s">
        <v>57</v>
      </c>
      <c r="B392" t="s">
        <v>533</v>
      </c>
      <c r="D392" t="str">
        <f>IF(A392='PrototypeData-logprob'!A392,".","N")</f>
        <v>.</v>
      </c>
      <c r="E392" t="str">
        <f t="shared" si="6"/>
        <v>N</v>
      </c>
      <c r="H392" s="8" t="s">
        <v>493</v>
      </c>
      <c r="I392" s="8" t="s">
        <v>494</v>
      </c>
      <c r="J392" s="8" t="s">
        <v>498</v>
      </c>
    </row>
    <row r="393" spans="1:10" hidden="1" x14ac:dyDescent="0.45">
      <c r="A393" t="s">
        <v>88</v>
      </c>
      <c r="B393" t="s">
        <v>88</v>
      </c>
      <c r="D393" t="str">
        <f>IF(A393='PrototypeData-logprob'!A393,".","N")</f>
        <v>.</v>
      </c>
      <c r="E393" t="str">
        <f t="shared" si="6"/>
        <v>.</v>
      </c>
      <c r="H393" s="8" t="s">
        <v>400</v>
      </c>
      <c r="I393" s="8" t="s">
        <v>401</v>
      </c>
      <c r="J393" s="8" t="s">
        <v>438</v>
      </c>
    </row>
    <row r="394" spans="1:10" hidden="1" x14ac:dyDescent="0.45">
      <c r="A394" t="s">
        <v>19</v>
      </c>
      <c r="B394" t="s">
        <v>533</v>
      </c>
      <c r="D394" t="str">
        <f>IF(A394='PrototypeData-logprob'!A394,".","N")</f>
        <v>.</v>
      </c>
      <c r="E394" t="str">
        <f t="shared" si="6"/>
        <v>N</v>
      </c>
      <c r="H394" s="8" t="s">
        <v>456</v>
      </c>
      <c r="I394" s="8" t="s">
        <v>457</v>
      </c>
      <c r="J394" s="8" t="s">
        <v>420</v>
      </c>
    </row>
    <row r="395" spans="1:10" hidden="1" x14ac:dyDescent="0.45">
      <c r="A395" t="s">
        <v>65</v>
      </c>
      <c r="B395" t="s">
        <v>65</v>
      </c>
      <c r="D395" t="str">
        <f>IF(A395='PrototypeData-logprob'!A395,".","N")</f>
        <v>.</v>
      </c>
      <c r="E395" t="str">
        <f t="shared" si="6"/>
        <v>.</v>
      </c>
      <c r="H395" s="8" t="s">
        <v>211</v>
      </c>
      <c r="I395" s="8" t="s">
        <v>212</v>
      </c>
      <c r="J395" s="8" t="s">
        <v>427</v>
      </c>
    </row>
    <row r="396" spans="1:10" hidden="1" x14ac:dyDescent="0.45">
      <c r="A396" t="s">
        <v>57</v>
      </c>
      <c r="B396" t="s">
        <v>533</v>
      </c>
      <c r="D396" t="str">
        <f>IF(A396='PrototypeData-logprob'!A396,".","N")</f>
        <v>.</v>
      </c>
      <c r="E396" t="str">
        <f t="shared" si="6"/>
        <v>N</v>
      </c>
      <c r="H396" s="8" t="s">
        <v>495</v>
      </c>
      <c r="I396" s="8" t="s">
        <v>496</v>
      </c>
      <c r="J396" s="8" t="s">
        <v>497</v>
      </c>
    </row>
    <row r="397" spans="1:10" hidden="1" x14ac:dyDescent="0.45">
      <c r="A397" t="s">
        <v>19</v>
      </c>
      <c r="B397" t="s">
        <v>533</v>
      </c>
      <c r="D397" t="str">
        <f>IF(A397='PrototypeData-logprob'!A397,".","N")</f>
        <v>.</v>
      </c>
      <c r="E397" t="str">
        <f t="shared" si="6"/>
        <v>N</v>
      </c>
      <c r="H397" s="8" t="s">
        <v>410</v>
      </c>
      <c r="I397" s="8" t="s">
        <v>411</v>
      </c>
      <c r="J397" s="8" t="s">
        <v>425</v>
      </c>
    </row>
    <row r="398" spans="1:10" hidden="1" x14ac:dyDescent="0.45">
      <c r="A398" t="s">
        <v>73</v>
      </c>
      <c r="B398" t="s">
        <v>73</v>
      </c>
      <c r="D398" t="str">
        <f>IF(A398='PrototypeData-logprob'!A398,".","N")</f>
        <v>.</v>
      </c>
      <c r="E398" t="str">
        <f t="shared" si="6"/>
        <v>.</v>
      </c>
      <c r="H398" s="8" t="s">
        <v>165</v>
      </c>
      <c r="I398" s="8" t="s">
        <v>166</v>
      </c>
      <c r="J398" s="8" t="s">
        <v>424</v>
      </c>
    </row>
    <row r="399" spans="1:10" hidden="1" x14ac:dyDescent="0.45">
      <c r="A399" t="s">
        <v>71</v>
      </c>
      <c r="B399" t="s">
        <v>71</v>
      </c>
      <c r="D399" t="str">
        <f>IF(A399='PrototypeData-logprob'!A399,".","N")</f>
        <v>.</v>
      </c>
      <c r="E399" t="str">
        <f t="shared" si="6"/>
        <v>.</v>
      </c>
      <c r="H399" s="8" t="s">
        <v>197</v>
      </c>
      <c r="I399" s="8" t="s">
        <v>198</v>
      </c>
      <c r="J399" s="8" t="s">
        <v>426</v>
      </c>
    </row>
    <row r="400" spans="1:10" hidden="1" x14ac:dyDescent="0.45">
      <c r="A400" t="s">
        <v>19</v>
      </c>
      <c r="B400" t="s">
        <v>533</v>
      </c>
      <c r="D400" t="str">
        <f>IF(A400='PrototypeData-logprob'!A400,".","N")</f>
        <v>.</v>
      </c>
      <c r="E400" t="str">
        <f t="shared" si="6"/>
        <v>N</v>
      </c>
      <c r="H400" s="8" t="s">
        <v>465</v>
      </c>
      <c r="I400" s="8" t="s">
        <v>466</v>
      </c>
      <c r="J400" s="8" t="s">
        <v>420</v>
      </c>
    </row>
    <row r="401" spans="1:10" hidden="1" x14ac:dyDescent="0.45">
      <c r="A401" t="s">
        <v>61</v>
      </c>
      <c r="B401" t="s">
        <v>61</v>
      </c>
      <c r="D401" t="str">
        <f>IF(A401='PrototypeData-logprob'!A401,".","N")</f>
        <v>.</v>
      </c>
      <c r="E401" t="str">
        <f t="shared" si="6"/>
        <v>.</v>
      </c>
      <c r="H401" s="8" t="s">
        <v>323</v>
      </c>
      <c r="I401" s="8" t="s">
        <v>324</v>
      </c>
      <c r="J401" s="8" t="s">
        <v>416</v>
      </c>
    </row>
    <row r="402" spans="1:10" hidden="1" x14ac:dyDescent="0.45">
      <c r="A402" t="s">
        <v>19</v>
      </c>
      <c r="B402" t="s">
        <v>533</v>
      </c>
      <c r="D402" t="str">
        <f>IF(A402='PrototypeData-logprob'!A402,".","N")</f>
        <v>.</v>
      </c>
      <c r="E402" t="str">
        <f t="shared" si="6"/>
        <v>N</v>
      </c>
      <c r="H402" s="8" t="s">
        <v>127</v>
      </c>
      <c r="I402" s="8" t="s">
        <v>128</v>
      </c>
      <c r="J402" s="8" t="s">
        <v>420</v>
      </c>
    </row>
    <row r="403" spans="1:10" hidden="1" x14ac:dyDescent="0.45">
      <c r="A403" t="s">
        <v>57</v>
      </c>
      <c r="B403" t="s">
        <v>533</v>
      </c>
      <c r="D403" t="str">
        <f>IF(A403='PrototypeData-logprob'!A403,".","N")</f>
        <v>.</v>
      </c>
      <c r="E403" t="str">
        <f t="shared" si="6"/>
        <v>N</v>
      </c>
      <c r="H403" s="8" t="s">
        <v>441</v>
      </c>
      <c r="I403" s="8" t="s">
        <v>99</v>
      </c>
      <c r="J403" s="8" t="s">
        <v>420</v>
      </c>
    </row>
    <row r="404" spans="1:10" hidden="1" x14ac:dyDescent="0.45">
      <c r="A404" t="s">
        <v>19</v>
      </c>
      <c r="B404" t="s">
        <v>533</v>
      </c>
      <c r="D404" t="str">
        <f>IF(A404='PrototypeData-logprob'!A404,".","N")</f>
        <v>.</v>
      </c>
      <c r="E404" t="str">
        <f t="shared" si="6"/>
        <v>N</v>
      </c>
      <c r="H404" s="8" t="s">
        <v>129</v>
      </c>
      <c r="I404" s="8" t="s">
        <v>130</v>
      </c>
      <c r="J404" s="8" t="s">
        <v>426</v>
      </c>
    </row>
    <row r="405" spans="1:10" hidden="1" x14ac:dyDescent="0.45">
      <c r="A405" t="s">
        <v>79</v>
      </c>
      <c r="B405" t="s">
        <v>79</v>
      </c>
      <c r="D405" t="str">
        <f>IF(A405='PrototypeData-logprob'!A405,".","N")</f>
        <v>.</v>
      </c>
      <c r="E405" t="str">
        <f t="shared" si="6"/>
        <v>.</v>
      </c>
      <c r="H405" s="8" t="s">
        <v>217</v>
      </c>
      <c r="I405" s="8" t="s">
        <v>218</v>
      </c>
      <c r="J405" s="8" t="s">
        <v>434</v>
      </c>
    </row>
    <row r="406" spans="1:10" hidden="1" x14ac:dyDescent="0.45">
      <c r="A406" t="s">
        <v>71</v>
      </c>
      <c r="B406" t="s">
        <v>71</v>
      </c>
      <c r="D406" t="str">
        <f>IF(A406='PrototypeData-logprob'!A406,".","N")</f>
        <v>.</v>
      </c>
      <c r="E406" t="str">
        <f t="shared" si="6"/>
        <v>.</v>
      </c>
      <c r="H406" s="8" t="s">
        <v>201</v>
      </c>
      <c r="I406" s="8" t="s">
        <v>202</v>
      </c>
      <c r="J406" s="8" t="s">
        <v>426</v>
      </c>
    </row>
    <row r="407" spans="1:10" hidden="1" x14ac:dyDescent="0.45">
      <c r="A407" t="s">
        <v>19</v>
      </c>
      <c r="B407" t="s">
        <v>65</v>
      </c>
      <c r="D407" t="str">
        <f>IF(A407='PrototypeData-logprob'!A407,".","N")</f>
        <v>.</v>
      </c>
      <c r="E407" t="str">
        <f t="shared" si="6"/>
        <v>N</v>
      </c>
      <c r="H407" s="8" t="s">
        <v>444</v>
      </c>
      <c r="I407" s="8" t="s">
        <v>99</v>
      </c>
      <c r="J407" s="8" t="s">
        <v>432</v>
      </c>
    </row>
    <row r="408" spans="1:10" hidden="1" x14ac:dyDescent="0.45">
      <c r="A408" t="s">
        <v>65</v>
      </c>
      <c r="B408" t="s">
        <v>65</v>
      </c>
      <c r="D408" t="str">
        <f>IF(A408='PrototypeData-logprob'!A408,".","N")</f>
        <v>.</v>
      </c>
      <c r="E408" t="str">
        <f t="shared" si="6"/>
        <v>.</v>
      </c>
      <c r="H408" s="8" t="s">
        <v>191</v>
      </c>
      <c r="I408" s="8" t="s">
        <v>192</v>
      </c>
      <c r="J408" s="8" t="s">
        <v>427</v>
      </c>
    </row>
  </sheetData>
  <autoFilter ref="A1:F408" xr:uid="{68283881-D611-47B9-A72F-0FE5247AA86A}">
    <filterColumn colId="0">
      <filters>
        <filter val="DensityIn"/>
        <filter val="DownholeRPM"/>
        <filter val="HookLoad"/>
        <filter val="MeasuredDepth"/>
      </filters>
    </filterColumn>
    <filterColumn colId="4">
      <filters>
        <filter val="N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Quantity-logprob</vt:lpstr>
      <vt:lpstr>Unit-logprob</vt:lpstr>
      <vt:lpstr>PrototypeData-logprob</vt:lpstr>
      <vt:lpstr>ID</vt:lpstr>
      <vt:lpstr>Non-ID</vt:lpstr>
      <vt:lpstr>Quantity-directRAG</vt:lpstr>
      <vt:lpstr>Unit-directRAG</vt:lpstr>
      <vt:lpstr>PrototypeData-directRAG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Zhang Liang</cp:lastModifiedBy>
  <dcterms:created xsi:type="dcterms:W3CDTF">2025-11-13T22:00:36Z</dcterms:created>
  <dcterms:modified xsi:type="dcterms:W3CDTF">2025-12-15T11:12:51Z</dcterms:modified>
</cp:coreProperties>
</file>